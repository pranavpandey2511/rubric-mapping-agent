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umiqgroup.sharepoint.com/sites/Eng-ThetaSoftware/Shared Documents/Deliverables/27. TopBuild DCF/Updated files for Rubric/Task Files/"/>
    </mc:Choice>
  </mc:AlternateContent>
  <xr:revisionPtr revIDLastSave="636" documentId="8_{25CD6C6B-8CFE-44C4-8F3A-AEB486398097}" xr6:coauthVersionLast="47" xr6:coauthVersionMax="47" xr10:uidLastSave="{F8C671F2-4EA4-49F3-A19D-645A245A2686}"/>
  <bookViews>
    <workbookView xWindow="28680" yWindow="-2160" windowWidth="29040" windowHeight="15720" xr2:uid="{00000000-000D-0000-FFFF-FFFF00000000}"/>
  </bookViews>
  <sheets>
    <sheet name="Revenue Build &amp; Growth Drivers" sheetId="4" r:id="rId1"/>
    <sheet name="Financial Statement Model" sheetId="3" r:id="rId2"/>
    <sheet name="Integrated DCF Model" sheetId="8" r:id="rId3"/>
    <sheet name="WACC Build" sheetId="6" r:id="rId4"/>
  </sheets>
  <externalReferences>
    <externalReference r:id="rId5"/>
  </externalReferences>
  <definedNames>
    <definedName name="Discount_Rate" localSheetId="2">'Integrated DCF Model'!$E$10</definedName>
    <definedName name="Discount_Rat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Tax">[1]DCF!$D$44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o+niJBz7xvjRa2ZGIzATKq3H8z1W4ayQoyimNnvOmsU="/>
    </ext>
  </extLst>
</workbook>
</file>

<file path=xl/calcChain.xml><?xml version="1.0" encoding="utf-8"?>
<calcChain xmlns="http://schemas.openxmlformats.org/spreadsheetml/2006/main">
  <c r="F311" i="3" l="1"/>
  <c r="E311" i="3"/>
  <c r="D311" i="3"/>
  <c r="H302" i="3" l="1"/>
  <c r="G302" i="3"/>
  <c r="F303" i="3"/>
  <c r="E303" i="3"/>
  <c r="G305" i="3"/>
  <c r="F294" i="3"/>
  <c r="F295" i="3" s="1"/>
  <c r="G295" i="3" s="1"/>
  <c r="E294" i="3"/>
  <c r="E295" i="3" s="1"/>
  <c r="D294" i="3"/>
  <c r="D295" i="3" s="1"/>
  <c r="E289" i="3" l="1"/>
  <c r="G303" i="3"/>
  <c r="F289" i="3"/>
  <c r="G289" i="3" s="1"/>
  <c r="G288" i="3" s="1"/>
  <c r="D298" i="3"/>
  <c r="E298" i="3"/>
  <c r="F298" i="3"/>
  <c r="G298" i="3" s="1"/>
  <c r="H298" i="3" s="1"/>
  <c r="I298" i="3" s="1"/>
  <c r="J298" i="3" s="1"/>
  <c r="K298" i="3" s="1"/>
  <c r="G291" i="3"/>
  <c r="H295" i="3"/>
  <c r="H289" i="3" l="1"/>
  <c r="H303" i="3"/>
  <c r="I295" i="3"/>
  <c r="I289" i="3"/>
  <c r="I303" i="3" l="1"/>
  <c r="J295" i="3"/>
  <c r="J289" i="3"/>
  <c r="J303" i="3" l="1"/>
  <c r="K295" i="3"/>
  <c r="K289" i="3"/>
  <c r="K303" i="3" l="1"/>
  <c r="E315" i="3"/>
  <c r="F315" i="3"/>
  <c r="G315" i="3" s="1"/>
  <c r="D315" i="3"/>
  <c r="F312" i="3"/>
  <c r="G312" i="3" s="1"/>
  <c r="E312" i="3"/>
  <c r="D312" i="3"/>
  <c r="H312" i="3" l="1"/>
  <c r="H315" i="3"/>
  <c r="D38" i="6"/>
  <c r="D18" i="6"/>
  <c r="D17" i="6"/>
  <c r="F260" i="3"/>
  <c r="E260" i="3"/>
  <c r="D260" i="3"/>
  <c r="F286" i="3"/>
  <c r="E286" i="3"/>
  <c r="I312" i="3" l="1"/>
  <c r="I315" i="3"/>
  <c r="I286" i="3"/>
  <c r="H286" i="3"/>
  <c r="G286" i="3"/>
  <c r="K286" i="3"/>
  <c r="J286" i="3"/>
  <c r="E120" i="8"/>
  <c r="J258" i="3"/>
  <c r="I258" i="3"/>
  <c r="H258" i="3"/>
  <c r="G258" i="3"/>
  <c r="D261" i="3"/>
  <c r="E237" i="3"/>
  <c r="F237" i="3" s="1"/>
  <c r="G237" i="3" s="1"/>
  <c r="H237" i="3" s="1"/>
  <c r="I237" i="3" s="1"/>
  <c r="J237" i="3" s="1"/>
  <c r="K237" i="3" s="1"/>
  <c r="E236" i="3"/>
  <c r="F236" i="3" s="1"/>
  <c r="G236" i="3" s="1"/>
  <c r="H236" i="3" s="1"/>
  <c r="I236" i="3" s="1"/>
  <c r="J236" i="3" s="1"/>
  <c r="K236" i="3" s="1"/>
  <c r="E235" i="3"/>
  <c r="F235" i="3" s="1"/>
  <c r="C254" i="3"/>
  <c r="C255" i="3"/>
  <c r="C256" i="3"/>
  <c r="C253" i="3"/>
  <c r="C248" i="3"/>
  <c r="C249" i="3"/>
  <c r="C250" i="3"/>
  <c r="C247" i="3"/>
  <c r="C242" i="3"/>
  <c r="C243" i="3"/>
  <c r="C244" i="3"/>
  <c r="C241" i="3"/>
  <c r="J312" i="3" l="1"/>
  <c r="J315" i="3"/>
  <c r="G235" i="3"/>
  <c r="G253" i="3" s="1"/>
  <c r="G254" i="3"/>
  <c r="G255" i="3"/>
  <c r="K312" i="3" l="1"/>
  <c r="K315" i="3"/>
  <c r="H235" i="3"/>
  <c r="I235" i="3" s="1"/>
  <c r="J235" i="3" s="1"/>
  <c r="K235" i="3" s="1"/>
  <c r="K14" i="4" l="1"/>
  <c r="J14" i="4"/>
  <c r="I14" i="4"/>
  <c r="H14" i="4"/>
  <c r="G14" i="4"/>
  <c r="F14" i="4"/>
  <c r="E14" i="4"/>
  <c r="D14" i="4"/>
  <c r="F27" i="4"/>
  <c r="E27" i="4"/>
  <c r="D27" i="4"/>
  <c r="G27" i="4" s="1"/>
  <c r="G23" i="4"/>
  <c r="H23" i="4" s="1"/>
  <c r="I23" i="4" s="1"/>
  <c r="J23" i="4" s="1"/>
  <c r="K23" i="4" s="1"/>
  <c r="H20" i="4"/>
  <c r="I20" i="4" s="1"/>
  <c r="J20" i="4" s="1"/>
  <c r="K20" i="4" s="1"/>
  <c r="G20" i="4"/>
  <c r="K24" i="4"/>
  <c r="J24" i="4"/>
  <c r="I24" i="4"/>
  <c r="H24" i="4"/>
  <c r="G24" i="4"/>
  <c r="K21" i="4"/>
  <c r="J21" i="4"/>
  <c r="I21" i="4"/>
  <c r="H21" i="4"/>
  <c r="G21" i="4"/>
  <c r="G26" i="4" l="1"/>
  <c r="H27" i="4"/>
  <c r="I27" i="4"/>
  <c r="I26" i="4" s="1"/>
  <c r="G250" i="3"/>
  <c r="F244" i="3"/>
  <c r="E244" i="3"/>
  <c r="E238" i="3" s="1"/>
  <c r="D244" i="3"/>
  <c r="D243" i="3"/>
  <c r="D153" i="3"/>
  <c r="F238" i="3" l="1"/>
  <c r="E261" i="3"/>
  <c r="H26" i="4"/>
  <c r="J27" i="4"/>
  <c r="J26" i="4" s="1"/>
  <c r="G238" i="3" l="1"/>
  <c r="F261" i="3"/>
  <c r="G261" i="3" s="1"/>
  <c r="G256" i="3"/>
  <c r="K27" i="4"/>
  <c r="K26" i="4" s="1"/>
  <c r="H261" i="3" l="1"/>
  <c r="I261" i="3" s="1"/>
  <c r="G259" i="3"/>
  <c r="G260" i="3"/>
  <c r="H238" i="3"/>
  <c r="I238" i="3" s="1"/>
  <c r="J238" i="3" s="1"/>
  <c r="K238" i="3" s="1"/>
  <c r="F181" i="3"/>
  <c r="E181" i="3"/>
  <c r="D181" i="3"/>
  <c r="D14" i="6"/>
  <c r="H247" i="3"/>
  <c r="H249" i="3"/>
  <c r="H248" i="3"/>
  <c r="I259" i="3" l="1"/>
  <c r="H259" i="3"/>
  <c r="I248" i="3"/>
  <c r="I254" i="3" s="1"/>
  <c r="H254" i="3"/>
  <c r="I249" i="3"/>
  <c r="I255" i="3" s="1"/>
  <c r="H255" i="3"/>
  <c r="I247" i="3"/>
  <c r="I253" i="3" s="1"/>
  <c r="H253" i="3"/>
  <c r="J261" i="3"/>
  <c r="J259" i="3" s="1"/>
  <c r="J248" i="3" l="1"/>
  <c r="J254" i="3" s="1"/>
  <c r="J249" i="3"/>
  <c r="J255" i="3" s="1"/>
  <c r="K261" i="3"/>
  <c r="K259" i="3" s="1"/>
  <c r="J247" i="3"/>
  <c r="J253" i="3" s="1"/>
  <c r="K249" i="3"/>
  <c r="K255" i="3" s="1"/>
  <c r="G34" i="8"/>
  <c r="F34" i="8"/>
  <c r="E90" i="8"/>
  <c r="K248" i="3" l="1"/>
  <c r="K254" i="3" s="1"/>
  <c r="K247" i="3"/>
  <c r="K253" i="3" s="1"/>
  <c r="F208" i="3"/>
  <c r="F183" i="3" s="1"/>
  <c r="E208" i="3"/>
  <c r="E183" i="3" s="1"/>
  <c r="D208" i="3"/>
  <c r="D183" i="3" s="1"/>
  <c r="F174" i="3"/>
  <c r="F160" i="3" s="1"/>
  <c r="E174" i="3"/>
  <c r="E160" i="3" s="1"/>
  <c r="D174" i="3"/>
  <c r="D160" i="3" s="1"/>
  <c r="F186" i="3"/>
  <c r="E186" i="3"/>
  <c r="D186" i="3"/>
  <c r="G186" i="3" l="1"/>
  <c r="H186" i="3" s="1"/>
  <c r="I186" i="3" s="1"/>
  <c r="J186" i="3" s="1"/>
  <c r="D337" i="3"/>
  <c r="K186" i="3" l="1"/>
  <c r="D32" i="4"/>
  <c r="D16" i="6" l="1"/>
  <c r="F24" i="4" l="1"/>
  <c r="E24" i="4"/>
  <c r="E334" i="3"/>
  <c r="D334" i="3"/>
  <c r="F329" i="3"/>
  <c r="E329" i="3"/>
  <c r="D329" i="3"/>
  <c r="F326" i="3"/>
  <c r="E326" i="3"/>
  <c r="D326" i="3"/>
  <c r="H277" i="3"/>
  <c r="I277" i="3" s="1"/>
  <c r="J277" i="3" s="1"/>
  <c r="K277" i="3" s="1"/>
  <c r="H250" i="3"/>
  <c r="G145" i="3"/>
  <c r="H145" i="3"/>
  <c r="I145" i="3"/>
  <c r="J145" i="3"/>
  <c r="K145" i="3"/>
  <c r="F140" i="3"/>
  <c r="E140" i="3"/>
  <c r="D140" i="3"/>
  <c r="F146" i="3"/>
  <c r="E146" i="3"/>
  <c r="D146" i="3"/>
  <c r="E323" i="3" l="1"/>
  <c r="E324" i="3" s="1"/>
  <c r="D323" i="3"/>
  <c r="D324" i="3" s="1"/>
  <c r="F323" i="3"/>
  <c r="F327" i="3" s="1"/>
  <c r="G327" i="3" s="1"/>
  <c r="H327" i="3" s="1"/>
  <c r="I327" i="3" s="1"/>
  <c r="J327" i="3" s="1"/>
  <c r="K327" i="3" s="1"/>
  <c r="I250" i="3"/>
  <c r="I256" i="3" s="1"/>
  <c r="H256" i="3"/>
  <c r="E144" i="3"/>
  <c r="F144" i="3"/>
  <c r="G138" i="3"/>
  <c r="F138" i="3"/>
  <c r="F139" i="3" s="1"/>
  <c r="E138" i="3"/>
  <c r="E139" i="3" s="1"/>
  <c r="D135" i="3"/>
  <c r="J250" i="3" l="1"/>
  <c r="J256" i="3" s="1"/>
  <c r="D327" i="3"/>
  <c r="G319" i="3"/>
  <c r="F324" i="3"/>
  <c r="G324" i="3" s="1"/>
  <c r="E327" i="3"/>
  <c r="J260" i="3"/>
  <c r="H260" i="3"/>
  <c r="I260" i="3"/>
  <c r="K250" i="3"/>
  <c r="K256" i="3" s="1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324" i="3" l="1"/>
  <c r="K260" i="3"/>
  <c r="D5" i="3"/>
  <c r="I324" i="3" l="1"/>
  <c r="D5" i="6"/>
  <c r="D6" i="6"/>
  <c r="D7" i="6"/>
  <c r="D8" i="6"/>
  <c r="D9" i="6"/>
  <c r="D5" i="8"/>
  <c r="D6" i="8"/>
  <c r="D7" i="8"/>
  <c r="D8" i="8"/>
  <c r="D9" i="8"/>
  <c r="D6" i="3"/>
  <c r="D7" i="3"/>
  <c r="D8" i="3"/>
  <c r="D9" i="3"/>
  <c r="J324" i="3" l="1"/>
  <c r="G37" i="3"/>
  <c r="H37" i="3"/>
  <c r="I37" i="3"/>
  <c r="J37" i="3"/>
  <c r="K37" i="3"/>
  <c r="F37" i="3"/>
  <c r="F48" i="4" s="1"/>
  <c r="E37" i="3"/>
  <c r="E48" i="4" s="1"/>
  <c r="D37" i="3"/>
  <c r="D48" i="4" s="1"/>
  <c r="D227" i="3"/>
  <c r="E224" i="3" s="1"/>
  <c r="E227" i="3" s="1"/>
  <c r="D222" i="3"/>
  <c r="K324" i="3" l="1"/>
  <c r="J117" i="8"/>
  <c r="K117" i="8" s="1"/>
  <c r="L117" i="8" s="1"/>
  <c r="H117" i="8"/>
  <c r="G117" i="8" s="1"/>
  <c r="F117" i="8" s="1"/>
  <c r="L91" i="8" l="1"/>
  <c r="J5" i="8"/>
  <c r="L90" i="8"/>
  <c r="E89" i="8"/>
  <c r="L89" i="8" s="1"/>
  <c r="J5" i="6"/>
  <c r="G47" i="8"/>
  <c r="F47" i="8"/>
  <c r="E47" i="8"/>
  <c r="G46" i="8"/>
  <c r="F46" i="8"/>
  <c r="E46" i="8"/>
  <c r="G43" i="8"/>
  <c r="F43" i="8"/>
  <c r="E43" i="8"/>
  <c r="G42" i="8"/>
  <c r="F42" i="8"/>
  <c r="E42" i="8"/>
  <c r="G41" i="8"/>
  <c r="F41" i="8"/>
  <c r="E41" i="8"/>
  <c r="G32" i="8"/>
  <c r="F32" i="8"/>
  <c r="G31" i="8"/>
  <c r="F31" i="8"/>
  <c r="G23" i="8"/>
  <c r="F23" i="8"/>
  <c r="E23" i="8"/>
  <c r="G20" i="8"/>
  <c r="F20" i="8"/>
  <c r="E20" i="8"/>
  <c r="G17" i="8"/>
  <c r="F17" i="8"/>
  <c r="E17" i="8"/>
  <c r="G14" i="8"/>
  <c r="F14" i="8"/>
  <c r="E14" i="8"/>
  <c r="E39" i="8"/>
  <c r="E12" i="8"/>
  <c r="C2" i="8"/>
  <c r="E122" i="8"/>
  <c r="E123" i="8" s="1"/>
  <c r="E124" i="8" s="1"/>
  <c r="E119" i="8"/>
  <c r="E118" i="8" s="1"/>
  <c r="J107" i="8"/>
  <c r="K107" i="8" s="1"/>
  <c r="L107" i="8" s="1"/>
  <c r="H107" i="8"/>
  <c r="G107" i="8" s="1"/>
  <c r="F107" i="8" s="1"/>
  <c r="D71" i="8"/>
  <c r="J6" i="8" s="1"/>
  <c r="C2" i="6"/>
  <c r="L17" i="6"/>
  <c r="H17" i="6"/>
  <c r="L52" i="6" s="1"/>
  <c r="D282" i="3"/>
  <c r="F278" i="3"/>
  <c r="G269" i="3"/>
  <c r="D155" i="3"/>
  <c r="E152" i="3" s="1"/>
  <c r="D232" i="3"/>
  <c r="D211" i="3"/>
  <c r="D149" i="3"/>
  <c r="D177" i="3"/>
  <c r="D108" i="3"/>
  <c r="D78" i="3"/>
  <c r="D44" i="3"/>
  <c r="G129" i="3"/>
  <c r="H129" i="3"/>
  <c r="I129" i="3"/>
  <c r="J129" i="3"/>
  <c r="K129" i="3"/>
  <c r="F130" i="3"/>
  <c r="E130" i="3"/>
  <c r="D130" i="3"/>
  <c r="F124" i="3"/>
  <c r="E124" i="3"/>
  <c r="D124" i="3"/>
  <c r="E122" i="3" s="1"/>
  <c r="K118" i="3"/>
  <c r="J118" i="3"/>
  <c r="I118" i="3"/>
  <c r="H118" i="3"/>
  <c r="G118" i="3"/>
  <c r="F119" i="3"/>
  <c r="E119" i="3"/>
  <c r="D119" i="3"/>
  <c r="F113" i="3"/>
  <c r="G111" i="3" s="1"/>
  <c r="E113" i="3"/>
  <c r="F111" i="3" s="1"/>
  <c r="D113" i="3"/>
  <c r="E111" i="3" s="1"/>
  <c r="F214" i="3"/>
  <c r="E214" i="3"/>
  <c r="D214" i="3"/>
  <c r="C54" i="8"/>
  <c r="F75" i="3"/>
  <c r="E75" i="3"/>
  <c r="D75" i="3"/>
  <c r="E38" i="3"/>
  <c r="F38" i="3"/>
  <c r="E39" i="3"/>
  <c r="F39" i="3"/>
  <c r="E40" i="3"/>
  <c r="F40" i="3"/>
  <c r="D40" i="3"/>
  <c r="D39" i="3"/>
  <c r="D38" i="3"/>
  <c r="G31" i="3"/>
  <c r="F41" i="3"/>
  <c r="E41" i="3"/>
  <c r="D41" i="3"/>
  <c r="G36" i="3"/>
  <c r="H36" i="3"/>
  <c r="I36" i="3"/>
  <c r="J36" i="3"/>
  <c r="K36" i="3"/>
  <c r="E36" i="3"/>
  <c r="E47" i="4" s="1"/>
  <c r="F36" i="3"/>
  <c r="F47" i="4" s="1"/>
  <c r="D36" i="3"/>
  <c r="D47" i="4" s="1"/>
  <c r="G35" i="3"/>
  <c r="H35" i="3"/>
  <c r="I35" i="3"/>
  <c r="J35" i="3"/>
  <c r="K35" i="3"/>
  <c r="E35" i="3"/>
  <c r="E46" i="4" s="1"/>
  <c r="F35" i="3"/>
  <c r="F46" i="4" s="1"/>
  <c r="D35" i="3"/>
  <c r="D46" i="4" s="1"/>
  <c r="F34" i="3"/>
  <c r="F117" i="3" s="1"/>
  <c r="E34" i="3"/>
  <c r="E117" i="3" s="1"/>
  <c r="D44" i="4"/>
  <c r="D12" i="4"/>
  <c r="D18" i="4"/>
  <c r="C2" i="4"/>
  <c r="E12" i="3"/>
  <c r="E32" i="4" l="1"/>
  <c r="E337" i="3"/>
  <c r="F145" i="3"/>
  <c r="F51" i="4" s="1"/>
  <c r="D145" i="3"/>
  <c r="D51" i="4" s="1"/>
  <c r="H31" i="3"/>
  <c r="E135" i="3"/>
  <c r="F12" i="3"/>
  <c r="F27" i="8"/>
  <c r="F26" i="8" s="1"/>
  <c r="F29" i="8" s="1"/>
  <c r="E145" i="3"/>
  <c r="E51" i="4" s="1"/>
  <c r="D22" i="6"/>
  <c r="G41" i="3"/>
  <c r="D217" i="3"/>
  <c r="E213" i="3" s="1"/>
  <c r="E217" i="3" s="1"/>
  <c r="F213" i="3" s="1"/>
  <c r="F217" i="3" s="1"/>
  <c r="G213" i="3" s="1"/>
  <c r="D229" i="3"/>
  <c r="E219" i="3"/>
  <c r="E229" i="3"/>
  <c r="F219" i="3"/>
  <c r="F229" i="3"/>
  <c r="E232" i="3"/>
  <c r="E222" i="3"/>
  <c r="F224" i="3"/>
  <c r="E27" i="8"/>
  <c r="E26" i="8" s="1"/>
  <c r="E29" i="8" s="1"/>
  <c r="D31" i="6"/>
  <c r="D33" i="6" s="1"/>
  <c r="G27" i="8"/>
  <c r="G26" i="8" s="1"/>
  <c r="G29" i="8" s="1"/>
  <c r="E48" i="8"/>
  <c r="F48" i="8"/>
  <c r="G44" i="8"/>
  <c r="F15" i="8"/>
  <c r="E44" i="8"/>
  <c r="D19" i="6"/>
  <c r="D21" i="6" s="1"/>
  <c r="H32" i="8"/>
  <c r="F12" i="8"/>
  <c r="F39" i="8"/>
  <c r="F14" i="6"/>
  <c r="J6" i="6"/>
  <c r="F44" i="8"/>
  <c r="G48" i="8"/>
  <c r="G15" i="8"/>
  <c r="F18" i="8"/>
  <c r="F21" i="8"/>
  <c r="F24" i="8"/>
  <c r="E18" i="8"/>
  <c r="E24" i="8"/>
  <c r="G21" i="8"/>
  <c r="E21" i="8"/>
  <c r="G18" i="8"/>
  <c r="G24" i="8"/>
  <c r="E282" i="3"/>
  <c r="F112" i="3"/>
  <c r="D161" i="3"/>
  <c r="E158" i="3" s="1"/>
  <c r="F118" i="3"/>
  <c r="F49" i="4" s="1"/>
  <c r="E44" i="3"/>
  <c r="E78" i="3"/>
  <c r="E108" i="3"/>
  <c r="E177" i="3"/>
  <c r="E149" i="3"/>
  <c r="E211" i="3"/>
  <c r="D219" i="3"/>
  <c r="E129" i="3"/>
  <c r="E50" i="4" s="1"/>
  <c r="E155" i="3"/>
  <c r="E128" i="3"/>
  <c r="E118" i="3"/>
  <c r="E49" i="4" s="1"/>
  <c r="E123" i="3"/>
  <c r="F122" i="3"/>
  <c r="F123" i="3" s="1"/>
  <c r="D118" i="3"/>
  <c r="D49" i="4" s="1"/>
  <c r="F128" i="3"/>
  <c r="E112" i="3"/>
  <c r="G122" i="3"/>
  <c r="D132" i="3"/>
  <c r="E132" i="3"/>
  <c r="E18" i="4"/>
  <c r="E44" i="4"/>
  <c r="F129" i="3"/>
  <c r="F50" i="4" s="1"/>
  <c r="E12" i="4"/>
  <c r="F132" i="3"/>
  <c r="I32" i="8" l="1"/>
  <c r="G219" i="3"/>
  <c r="H219" i="3" s="1"/>
  <c r="I219" i="3" s="1"/>
  <c r="F32" i="4"/>
  <c r="F337" i="3"/>
  <c r="I31" i="3"/>
  <c r="F222" i="3"/>
  <c r="F135" i="3"/>
  <c r="H41" i="3"/>
  <c r="D24" i="6"/>
  <c r="F227" i="3"/>
  <c r="G229" i="3"/>
  <c r="H229" i="3" s="1"/>
  <c r="E50" i="8"/>
  <c r="H27" i="8"/>
  <c r="F50" i="8"/>
  <c r="G50" i="8"/>
  <c r="D159" i="3"/>
  <c r="F282" i="3"/>
  <c r="G39" i="8"/>
  <c r="G12" i="8"/>
  <c r="D40" i="6"/>
  <c r="F152" i="3"/>
  <c r="F155" i="3" s="1"/>
  <c r="E161" i="3"/>
  <c r="F232" i="3"/>
  <c r="F211" i="3"/>
  <c r="F149" i="3"/>
  <c r="F177" i="3"/>
  <c r="F108" i="3"/>
  <c r="F78" i="3"/>
  <c r="F44" i="3"/>
  <c r="F18" i="4"/>
  <c r="F44" i="4"/>
  <c r="F12" i="4"/>
  <c r="G12" i="3"/>
  <c r="J219" i="3" l="1"/>
  <c r="K219" i="3" s="1"/>
  <c r="G32" i="4"/>
  <c r="G337" i="3"/>
  <c r="C168" i="3" s="1"/>
  <c r="J32" i="8"/>
  <c r="J31" i="3"/>
  <c r="G222" i="3"/>
  <c r="G135" i="3"/>
  <c r="I41" i="3"/>
  <c r="G224" i="3"/>
  <c r="E92" i="8"/>
  <c r="L92" i="8" s="1"/>
  <c r="I229" i="3"/>
  <c r="J229" i="3" s="1"/>
  <c r="F52" i="8"/>
  <c r="F33" i="8" s="1"/>
  <c r="F36" i="8" s="1"/>
  <c r="G52" i="8"/>
  <c r="G33" i="8" s="1"/>
  <c r="G36" i="8" s="1"/>
  <c r="I27" i="8"/>
  <c r="G282" i="3"/>
  <c r="H39" i="8"/>
  <c r="H12" i="8"/>
  <c r="D39" i="6"/>
  <c r="D41" i="6"/>
  <c r="G180" i="3"/>
  <c r="E159" i="3"/>
  <c r="F158" i="3"/>
  <c r="G152" i="3"/>
  <c r="F161" i="3"/>
  <c r="G211" i="3"/>
  <c r="G149" i="3"/>
  <c r="G177" i="3"/>
  <c r="G108" i="3"/>
  <c r="G78" i="3"/>
  <c r="G232" i="3"/>
  <c r="G44" i="3"/>
  <c r="H12" i="3"/>
  <c r="G44" i="4"/>
  <c r="G12" i="4"/>
  <c r="G18" i="4"/>
  <c r="C2" i="3"/>
  <c r="C202" i="3" l="1"/>
  <c r="G192" i="3"/>
  <c r="C195" i="3"/>
  <c r="H32" i="4"/>
  <c r="H337" i="3"/>
  <c r="C169" i="3" s="1"/>
  <c r="K31" i="3"/>
  <c r="K32" i="8"/>
  <c r="H222" i="3"/>
  <c r="H135" i="3"/>
  <c r="J41" i="3"/>
  <c r="K229" i="3"/>
  <c r="J27" i="8"/>
  <c r="D43" i="6"/>
  <c r="J7" i="8" s="1"/>
  <c r="H282" i="3"/>
  <c r="I39" i="8"/>
  <c r="I12" i="8"/>
  <c r="I55" i="8" s="1"/>
  <c r="H55" i="8"/>
  <c r="F159" i="3"/>
  <c r="G158" i="3"/>
  <c r="H211" i="3"/>
  <c r="H149" i="3"/>
  <c r="H177" i="3"/>
  <c r="H108" i="3"/>
  <c r="H44" i="3"/>
  <c r="H78" i="3"/>
  <c r="H232" i="3"/>
  <c r="I12" i="3"/>
  <c r="H44" i="4"/>
  <c r="H12" i="4"/>
  <c r="H18" i="4"/>
  <c r="C203" i="3" l="1"/>
  <c r="H192" i="3"/>
  <c r="C196" i="3"/>
  <c r="I32" i="4"/>
  <c r="I337" i="3"/>
  <c r="C170" i="3" s="1"/>
  <c r="L32" i="8"/>
  <c r="K41" i="3"/>
  <c r="L27" i="8" s="1"/>
  <c r="I222" i="3"/>
  <c r="I135" i="3"/>
  <c r="H57" i="8"/>
  <c r="I57" i="8"/>
  <c r="K27" i="8"/>
  <c r="F55" i="8"/>
  <c r="I282" i="3"/>
  <c r="J39" i="8"/>
  <c r="J12" i="8"/>
  <c r="I232" i="3"/>
  <c r="I211" i="3"/>
  <c r="I149" i="3"/>
  <c r="I177" i="3"/>
  <c r="I192" i="3" s="1"/>
  <c r="I108" i="3"/>
  <c r="I78" i="3"/>
  <c r="I44" i="3"/>
  <c r="J12" i="3"/>
  <c r="I44" i="4"/>
  <c r="I12" i="4"/>
  <c r="I18" i="4"/>
  <c r="C204" i="3" l="1"/>
  <c r="C197" i="3"/>
  <c r="J32" i="4"/>
  <c r="J337" i="3"/>
  <c r="C171" i="3" s="1"/>
  <c r="J222" i="3"/>
  <c r="J135" i="3"/>
  <c r="J282" i="3"/>
  <c r="K39" i="8"/>
  <c r="K12" i="8"/>
  <c r="K55" i="8" s="1"/>
  <c r="J55" i="8"/>
  <c r="J232" i="3"/>
  <c r="J211" i="3"/>
  <c r="J149" i="3"/>
  <c r="J177" i="3"/>
  <c r="J192" i="3" s="1"/>
  <c r="J108" i="3"/>
  <c r="J78" i="3"/>
  <c r="J44" i="3"/>
  <c r="K12" i="3"/>
  <c r="J44" i="4"/>
  <c r="J12" i="4"/>
  <c r="J18" i="4"/>
  <c r="C205" i="3" l="1"/>
  <c r="C198" i="3"/>
  <c r="K32" i="4"/>
  <c r="K337" i="3"/>
  <c r="C172" i="3" s="1"/>
  <c r="K222" i="3"/>
  <c r="K135" i="3"/>
  <c r="J57" i="8"/>
  <c r="K57" i="8"/>
  <c r="K282" i="3"/>
  <c r="L39" i="8"/>
  <c r="L12" i="8"/>
  <c r="K232" i="3"/>
  <c r="K211" i="3"/>
  <c r="K149" i="3"/>
  <c r="K177" i="3"/>
  <c r="K108" i="3"/>
  <c r="K78" i="3"/>
  <c r="K44" i="3"/>
  <c r="K44" i="4"/>
  <c r="K18" i="4"/>
  <c r="K12" i="4"/>
  <c r="C206" i="3" l="1"/>
  <c r="K192" i="3"/>
  <c r="C199" i="3"/>
  <c r="L55" i="8"/>
  <c r="L57" i="8" l="1"/>
  <c r="E21" i="4" l="1"/>
  <c r="F21" i="4"/>
  <c r="E15" i="4" l="1"/>
  <c r="F15" i="4"/>
  <c r="G15" i="4" l="1"/>
  <c r="G34" i="3" s="1"/>
  <c r="I15" i="4" l="1"/>
  <c r="I34" i="3" s="1"/>
  <c r="G65" i="3"/>
  <c r="G117" i="3"/>
  <c r="G113" i="3" s="1"/>
  <c r="G66" i="3"/>
  <c r="G54" i="3"/>
  <c r="G14" i="3"/>
  <c r="G61" i="3"/>
  <c r="G55" i="3"/>
  <c r="G49" i="3"/>
  <c r="G52" i="3"/>
  <c r="G67" i="3"/>
  <c r="H15" i="4"/>
  <c r="H34" i="3" s="1"/>
  <c r="H117" i="3" s="1"/>
  <c r="G294" i="3" l="1"/>
  <c r="G307" i="3"/>
  <c r="G293" i="3"/>
  <c r="G98" i="3" s="1"/>
  <c r="G323" i="3"/>
  <c r="H319" i="3" s="1"/>
  <c r="G311" i="3"/>
  <c r="G314" i="3" s="1"/>
  <c r="G322" i="3" s="1"/>
  <c r="G181" i="3"/>
  <c r="H195" i="3" s="1"/>
  <c r="J15" i="4"/>
  <c r="J34" i="3" s="1"/>
  <c r="J117" i="3" s="1"/>
  <c r="H55" i="3"/>
  <c r="H61" i="3"/>
  <c r="I61" i="3" s="1"/>
  <c r="H47" i="8"/>
  <c r="G16" i="3"/>
  <c r="G18" i="3"/>
  <c r="H14" i="3"/>
  <c r="G119" i="3"/>
  <c r="G17" i="3"/>
  <c r="G265" i="3"/>
  <c r="H14" i="8"/>
  <c r="H15" i="8" s="1"/>
  <c r="G82" i="3"/>
  <c r="H54" i="3"/>
  <c r="H67" i="3"/>
  <c r="I67" i="3" s="1"/>
  <c r="H66" i="3"/>
  <c r="I66" i="3" s="1"/>
  <c r="G91" i="3"/>
  <c r="H52" i="3"/>
  <c r="H91" i="3" s="1"/>
  <c r="H113" i="3"/>
  <c r="G47" i="3"/>
  <c r="G112" i="3"/>
  <c r="H111" i="3"/>
  <c r="H43" i="8"/>
  <c r="H49" i="3"/>
  <c r="H65" i="3"/>
  <c r="I65" i="3" s="1"/>
  <c r="I117" i="3"/>
  <c r="H288" i="3" l="1"/>
  <c r="H307" i="3"/>
  <c r="H294" i="3"/>
  <c r="H293" i="3"/>
  <c r="H98" i="3" s="1"/>
  <c r="G321" i="3"/>
  <c r="G320" i="3" s="1"/>
  <c r="G332" i="3" s="1"/>
  <c r="G297" i="3"/>
  <c r="G300" i="3" s="1"/>
  <c r="H291" i="3"/>
  <c r="G292" i="3"/>
  <c r="G306" i="3" s="1"/>
  <c r="G308" i="3" s="1"/>
  <c r="H305" i="3" s="1"/>
  <c r="G326" i="3"/>
  <c r="G329" i="3" s="1"/>
  <c r="H323" i="3"/>
  <c r="H321" i="3" s="1"/>
  <c r="H311" i="3"/>
  <c r="H314" i="3" s="1"/>
  <c r="H322" i="3" s="1"/>
  <c r="H83" i="3"/>
  <c r="G195" i="3"/>
  <c r="G83" i="3"/>
  <c r="G333" i="3"/>
  <c r="G88" i="3"/>
  <c r="K195" i="3"/>
  <c r="I195" i="3"/>
  <c r="J195" i="3"/>
  <c r="I55" i="3"/>
  <c r="J55" i="3" s="1"/>
  <c r="H41" i="8"/>
  <c r="I14" i="3"/>
  <c r="H181" i="3"/>
  <c r="K15" i="4"/>
  <c r="K34" i="3" s="1"/>
  <c r="K117" i="3" s="1"/>
  <c r="H82" i="3"/>
  <c r="I47" i="8"/>
  <c r="I52" i="3"/>
  <c r="J52" i="3" s="1"/>
  <c r="J91" i="3" s="1"/>
  <c r="I113" i="3"/>
  <c r="I47" i="3" s="1"/>
  <c r="H112" i="3"/>
  <c r="I111" i="3"/>
  <c r="H47" i="3"/>
  <c r="H16" i="3"/>
  <c r="H18" i="3"/>
  <c r="H119" i="3"/>
  <c r="H265" i="3"/>
  <c r="H17" i="3"/>
  <c r="I14" i="8"/>
  <c r="I15" i="8" s="1"/>
  <c r="I49" i="3"/>
  <c r="J43" i="8" s="1"/>
  <c r="I43" i="8"/>
  <c r="H17" i="8"/>
  <c r="H18" i="8" s="1"/>
  <c r="G19" i="3"/>
  <c r="G15" i="3"/>
  <c r="G146" i="3" s="1"/>
  <c r="G144" i="3" s="1"/>
  <c r="G140" i="3" s="1"/>
  <c r="I54" i="3"/>
  <c r="J54" i="3" s="1"/>
  <c r="J67" i="3"/>
  <c r="J65" i="3"/>
  <c r="J66" i="3"/>
  <c r="J61" i="3"/>
  <c r="J47" i="8"/>
  <c r="I288" i="3" l="1"/>
  <c r="H326" i="3"/>
  <c r="H329" i="3" s="1"/>
  <c r="H333" i="3"/>
  <c r="H297" i="3"/>
  <c r="H300" i="3" s="1"/>
  <c r="H292" i="3"/>
  <c r="H306" i="3" s="1"/>
  <c r="H308" i="3" s="1"/>
  <c r="I291" i="3"/>
  <c r="I294" i="3"/>
  <c r="I293" i="3"/>
  <c r="I98" i="3" s="1"/>
  <c r="I319" i="3"/>
  <c r="H320" i="3"/>
  <c r="H332" i="3" s="1"/>
  <c r="I323" i="3"/>
  <c r="I321" i="3" s="1"/>
  <c r="I311" i="3"/>
  <c r="I314" i="3" s="1"/>
  <c r="I322" i="3" s="1"/>
  <c r="G285" i="3"/>
  <c r="I181" i="3"/>
  <c r="I197" i="3" s="1"/>
  <c r="I41" i="8"/>
  <c r="J14" i="3"/>
  <c r="H88" i="3"/>
  <c r="H196" i="3"/>
  <c r="I196" i="3"/>
  <c r="J196" i="3"/>
  <c r="K196" i="3"/>
  <c r="I18" i="3"/>
  <c r="I16" i="3"/>
  <c r="J17" i="8" s="1"/>
  <c r="I265" i="3"/>
  <c r="J14" i="8"/>
  <c r="J15" i="8" s="1"/>
  <c r="I119" i="3"/>
  <c r="I17" i="3"/>
  <c r="I91" i="3"/>
  <c r="G59" i="3"/>
  <c r="H138" i="3"/>
  <c r="G139" i="3"/>
  <c r="J113" i="3"/>
  <c r="J47" i="3" s="1"/>
  <c r="J111" i="3"/>
  <c r="I112" i="3"/>
  <c r="J49" i="3"/>
  <c r="K43" i="8" s="1"/>
  <c r="I82" i="3"/>
  <c r="K66" i="3"/>
  <c r="G38" i="3"/>
  <c r="H23" i="8"/>
  <c r="H15" i="3"/>
  <c r="H19" i="3"/>
  <c r="I17" i="8"/>
  <c r="I18" i="8" s="1"/>
  <c r="G130" i="3"/>
  <c r="G128" i="3" s="1"/>
  <c r="G124" i="3" s="1"/>
  <c r="J41" i="8"/>
  <c r="K54" i="3"/>
  <c r="J82" i="3"/>
  <c r="K67" i="3"/>
  <c r="K55" i="3"/>
  <c r="K61" i="3"/>
  <c r="K47" i="8"/>
  <c r="K65" i="3"/>
  <c r="K52" i="3"/>
  <c r="K91" i="3" s="1"/>
  <c r="I305" i="3" l="1"/>
  <c r="I302" i="3"/>
  <c r="I307" i="3" s="1"/>
  <c r="J288" i="3"/>
  <c r="I326" i="3"/>
  <c r="I329" i="3" s="1"/>
  <c r="J319" i="3"/>
  <c r="J311" i="3"/>
  <c r="J314" i="3" s="1"/>
  <c r="J322" i="3" s="1"/>
  <c r="J294" i="3"/>
  <c r="J293" i="3"/>
  <c r="J98" i="3" s="1"/>
  <c r="I297" i="3"/>
  <c r="I300" i="3"/>
  <c r="J291" i="3"/>
  <c r="I292" i="3"/>
  <c r="I306" i="3" s="1"/>
  <c r="I320" i="3"/>
  <c r="I332" i="3" s="1"/>
  <c r="I333" i="3"/>
  <c r="I83" i="3"/>
  <c r="J83" i="3"/>
  <c r="I88" i="3"/>
  <c r="K197" i="3"/>
  <c r="J17" i="3"/>
  <c r="J323" i="3"/>
  <c r="J197" i="3"/>
  <c r="H285" i="3"/>
  <c r="J181" i="3"/>
  <c r="J198" i="3" s="1"/>
  <c r="H26" i="8"/>
  <c r="H29" i="8" s="1"/>
  <c r="J119" i="3"/>
  <c r="K14" i="3"/>
  <c r="J18" i="3"/>
  <c r="J16" i="3"/>
  <c r="J15" i="3" s="1"/>
  <c r="J146" i="3" s="1"/>
  <c r="K14" i="8"/>
  <c r="K15" i="8" s="1"/>
  <c r="J265" i="3"/>
  <c r="I15" i="3"/>
  <c r="I146" i="3" s="1"/>
  <c r="J18" i="8"/>
  <c r="I19" i="3"/>
  <c r="I38" i="3" s="1"/>
  <c r="K111" i="3"/>
  <c r="H130" i="3"/>
  <c r="H128" i="3" s="1"/>
  <c r="H124" i="3" s="1"/>
  <c r="H146" i="3"/>
  <c r="H144" i="3" s="1"/>
  <c r="H140" i="3" s="1"/>
  <c r="K113" i="3"/>
  <c r="L47" i="8"/>
  <c r="K49" i="3"/>
  <c r="L43" i="8" s="1"/>
  <c r="J112" i="3"/>
  <c r="K82" i="3"/>
  <c r="H122" i="3"/>
  <c r="G123" i="3"/>
  <c r="G132" i="3"/>
  <c r="G48" i="3"/>
  <c r="H24" i="8"/>
  <c r="H46" i="8"/>
  <c r="H48" i="8" s="1"/>
  <c r="H38" i="3"/>
  <c r="I23" i="8"/>
  <c r="K41" i="8"/>
  <c r="I308" i="3" l="1"/>
  <c r="K288" i="3"/>
  <c r="J297" i="3"/>
  <c r="J300" i="3" s="1"/>
  <c r="K291" i="3"/>
  <c r="J292" i="3"/>
  <c r="J306" i="3" s="1"/>
  <c r="K311" i="3"/>
  <c r="K314" i="3" s="1"/>
  <c r="K322" i="3" s="1"/>
  <c r="K293" i="3"/>
  <c r="K98" i="3" s="1"/>
  <c r="K294" i="3"/>
  <c r="L14" i="8"/>
  <c r="L15" i="8" s="1"/>
  <c r="K323" i="3"/>
  <c r="K319" i="3"/>
  <c r="K321" i="3"/>
  <c r="J326" i="3"/>
  <c r="J329" i="3" s="1"/>
  <c r="J321" i="3"/>
  <c r="J88" i="3"/>
  <c r="K198" i="3"/>
  <c r="I285" i="3"/>
  <c r="G85" i="3"/>
  <c r="I26" i="8"/>
  <c r="I29" i="8" s="1"/>
  <c r="K181" i="3"/>
  <c r="K199" i="3" s="1"/>
  <c r="J144" i="3"/>
  <c r="K16" i="3"/>
  <c r="K15" i="3" s="1"/>
  <c r="K130" i="3" s="1"/>
  <c r="K18" i="3"/>
  <c r="K265" i="3"/>
  <c r="M14" i="3"/>
  <c r="J130" i="3"/>
  <c r="K119" i="3"/>
  <c r="J19" i="3"/>
  <c r="K23" i="8" s="1"/>
  <c r="K17" i="8"/>
  <c r="K18" i="8" s="1"/>
  <c r="K17" i="3"/>
  <c r="I130" i="3"/>
  <c r="J23" i="8"/>
  <c r="K112" i="3"/>
  <c r="K47" i="3"/>
  <c r="I144" i="3"/>
  <c r="I140" i="3" s="1"/>
  <c r="H59" i="3"/>
  <c r="I46" i="8" s="1"/>
  <c r="I48" i="8" s="1"/>
  <c r="I138" i="3"/>
  <c r="H139" i="3"/>
  <c r="H42" i="8"/>
  <c r="H44" i="8" s="1"/>
  <c r="H50" i="8" s="1"/>
  <c r="H52" i="8" s="1"/>
  <c r="H33" i="8" s="1"/>
  <c r="I122" i="3"/>
  <c r="H48" i="3"/>
  <c r="H123" i="3"/>
  <c r="H132" i="3"/>
  <c r="I24" i="8"/>
  <c r="J305" i="3" l="1"/>
  <c r="J302" i="3"/>
  <c r="J307" i="3" s="1"/>
  <c r="J308" i="3" s="1"/>
  <c r="K333" i="3"/>
  <c r="J285" i="3"/>
  <c r="K83" i="3"/>
  <c r="K297" i="3"/>
  <c r="K300" i="3" s="1"/>
  <c r="K292" i="3"/>
  <c r="K306" i="3" s="1"/>
  <c r="J320" i="3"/>
  <c r="J332" i="3" s="1"/>
  <c r="J333" i="3"/>
  <c r="K326" i="3"/>
  <c r="K329" i="3" s="1"/>
  <c r="K320" i="3"/>
  <c r="K332" i="3" s="1"/>
  <c r="K88" i="3"/>
  <c r="L41" i="8"/>
  <c r="I42" i="8"/>
  <c r="I44" i="8" s="1"/>
  <c r="I50" i="8" s="1"/>
  <c r="I52" i="8" s="1"/>
  <c r="I33" i="8" s="1"/>
  <c r="K26" i="8"/>
  <c r="K29" i="8" s="1"/>
  <c r="J24" i="8"/>
  <c r="J26" i="8"/>
  <c r="J29" i="8" s="1"/>
  <c r="H85" i="3"/>
  <c r="J38" i="3"/>
  <c r="K128" i="3"/>
  <c r="L17" i="8"/>
  <c r="L18" i="8" s="1"/>
  <c r="K146" i="3"/>
  <c r="K144" i="3" s="1"/>
  <c r="J128" i="3"/>
  <c r="M16" i="3"/>
  <c r="K19" i="3"/>
  <c r="K38" i="3" s="1"/>
  <c r="I128" i="3"/>
  <c r="I124" i="3" s="1"/>
  <c r="I132" i="3" s="1"/>
  <c r="J140" i="3"/>
  <c r="I59" i="3"/>
  <c r="J46" i="8" s="1"/>
  <c r="J48" i="8" s="1"/>
  <c r="I139" i="3"/>
  <c r="J138" i="3"/>
  <c r="K24" i="8"/>
  <c r="K305" i="3" l="1"/>
  <c r="K302" i="3"/>
  <c r="K307" i="3" s="1"/>
  <c r="K308" i="3" s="1"/>
  <c r="K285" i="3"/>
  <c r="J124" i="3"/>
  <c r="J48" i="3" s="1"/>
  <c r="M19" i="3"/>
  <c r="L23" i="8"/>
  <c r="L24" i="8" s="1"/>
  <c r="I48" i="3"/>
  <c r="I123" i="3"/>
  <c r="J122" i="3"/>
  <c r="J123" i="3" s="1"/>
  <c r="K140" i="3"/>
  <c r="J59" i="3"/>
  <c r="K46" i="8" s="1"/>
  <c r="K48" i="8" s="1"/>
  <c r="J139" i="3"/>
  <c r="K138" i="3"/>
  <c r="K124" i="3"/>
  <c r="K48" i="3" s="1"/>
  <c r="L42" i="8" s="1"/>
  <c r="L44" i="8" s="1"/>
  <c r="K122" i="3"/>
  <c r="J132" i="3" l="1"/>
  <c r="J42" i="8"/>
  <c r="J44" i="8" s="1"/>
  <c r="J50" i="8" s="1"/>
  <c r="J52" i="8" s="1"/>
  <c r="J33" i="8" s="1"/>
  <c r="J85" i="3"/>
  <c r="I85" i="3"/>
  <c r="K42" i="8"/>
  <c r="K44" i="8" s="1"/>
  <c r="K50" i="8" s="1"/>
  <c r="L26" i="8"/>
  <c r="L29" i="8" s="1"/>
  <c r="K59" i="3"/>
  <c r="L46" i="8" s="1"/>
  <c r="L48" i="8" s="1"/>
  <c r="L50" i="8" s="1"/>
  <c r="K139" i="3"/>
  <c r="K132" i="3"/>
  <c r="K123" i="3"/>
  <c r="K52" i="8" l="1"/>
  <c r="K33" i="8" s="1"/>
  <c r="K85" i="3"/>
  <c r="L52" i="8"/>
  <c r="L33" i="8" s="1"/>
  <c r="F334" i="3" l="1"/>
  <c r="G331" i="3" s="1"/>
  <c r="G334" i="3" s="1"/>
  <c r="H331" i="3" s="1"/>
  <c r="H334" i="3" s="1"/>
  <c r="I331" i="3" s="1"/>
  <c r="I334" i="3" s="1"/>
  <c r="J331" i="3" s="1"/>
  <c r="J334" i="3" s="1"/>
  <c r="K331" i="3" s="1"/>
  <c r="K334" i="3" s="1"/>
  <c r="H64" i="3" l="1"/>
  <c r="G64" i="3"/>
  <c r="I64" i="3" l="1"/>
  <c r="K64" i="3" l="1"/>
  <c r="J64" i="3"/>
  <c r="E110" i="8" l="1"/>
  <c r="E109" i="8" s="1"/>
  <c r="E108" i="8" s="1"/>
  <c r="E112" i="8"/>
  <c r="E113" i="8" s="1"/>
  <c r="E114" i="8" s="1"/>
  <c r="G20" i="3" l="1"/>
  <c r="H20" i="3"/>
  <c r="I20" i="3"/>
  <c r="J20" i="3"/>
  <c r="K20" i="3"/>
  <c r="G21" i="3"/>
  <c r="H21" i="3"/>
  <c r="I21" i="3"/>
  <c r="J21" i="3"/>
  <c r="K21" i="3"/>
  <c r="G23" i="3"/>
  <c r="H23" i="3"/>
  <c r="I23" i="3"/>
  <c r="J23" i="3"/>
  <c r="K23" i="3"/>
  <c r="M23" i="3"/>
  <c r="G24" i="3"/>
  <c r="H24" i="3"/>
  <c r="I24" i="3"/>
  <c r="J24" i="3"/>
  <c r="K24" i="3"/>
  <c r="G25" i="3"/>
  <c r="H25" i="3"/>
  <c r="I25" i="3"/>
  <c r="J25" i="3"/>
  <c r="K25" i="3"/>
  <c r="G26" i="3"/>
  <c r="H26" i="3"/>
  <c r="I26" i="3"/>
  <c r="J26" i="3"/>
  <c r="K26" i="3"/>
  <c r="M26" i="3"/>
  <c r="G28" i="3"/>
  <c r="H28" i="3"/>
  <c r="I28" i="3"/>
  <c r="J28" i="3"/>
  <c r="K28" i="3"/>
  <c r="G29" i="3"/>
  <c r="H29" i="3"/>
  <c r="I29" i="3"/>
  <c r="J29" i="3"/>
  <c r="K29" i="3"/>
  <c r="M29" i="3"/>
  <c r="G39" i="3"/>
  <c r="H39" i="3"/>
  <c r="I39" i="3"/>
  <c r="J39" i="3"/>
  <c r="K39" i="3"/>
  <c r="G40" i="3"/>
  <c r="H40" i="3"/>
  <c r="I40" i="3"/>
  <c r="J40" i="3"/>
  <c r="K40" i="3"/>
  <c r="G46" i="3"/>
  <c r="H46" i="3"/>
  <c r="I46" i="3"/>
  <c r="J46" i="3"/>
  <c r="K46" i="3"/>
  <c r="M46" i="3"/>
  <c r="G50" i="3"/>
  <c r="H50" i="3"/>
  <c r="I50" i="3"/>
  <c r="J50" i="3"/>
  <c r="K50" i="3"/>
  <c r="G51" i="3"/>
  <c r="H51" i="3"/>
  <c r="I51" i="3"/>
  <c r="J51" i="3"/>
  <c r="K51" i="3"/>
  <c r="G53" i="3"/>
  <c r="H53" i="3"/>
  <c r="I53" i="3"/>
  <c r="J53" i="3"/>
  <c r="K53" i="3"/>
  <c r="G56" i="3"/>
  <c r="H56" i="3"/>
  <c r="I56" i="3"/>
  <c r="J56" i="3"/>
  <c r="K56" i="3"/>
  <c r="G58" i="3"/>
  <c r="H58" i="3"/>
  <c r="I58" i="3"/>
  <c r="J58" i="3"/>
  <c r="K58" i="3"/>
  <c r="G62" i="3"/>
  <c r="H62" i="3"/>
  <c r="I62" i="3"/>
  <c r="J62" i="3"/>
  <c r="K62" i="3"/>
  <c r="G68" i="3"/>
  <c r="H68" i="3"/>
  <c r="I68" i="3"/>
  <c r="J68" i="3"/>
  <c r="K68" i="3"/>
  <c r="G70" i="3"/>
  <c r="H70" i="3"/>
  <c r="I70" i="3"/>
  <c r="J70" i="3"/>
  <c r="K70" i="3"/>
  <c r="G71" i="3"/>
  <c r="H71" i="3"/>
  <c r="I71" i="3"/>
  <c r="J71" i="3"/>
  <c r="K71" i="3"/>
  <c r="G73" i="3"/>
  <c r="H73" i="3"/>
  <c r="I73" i="3"/>
  <c r="J73" i="3"/>
  <c r="K73" i="3"/>
  <c r="G75" i="3"/>
  <c r="H75" i="3"/>
  <c r="I75" i="3"/>
  <c r="J75" i="3"/>
  <c r="K75" i="3"/>
  <c r="G80" i="3"/>
  <c r="H80" i="3"/>
  <c r="I80" i="3"/>
  <c r="J80" i="3"/>
  <c r="K80" i="3"/>
  <c r="G81" i="3"/>
  <c r="H81" i="3"/>
  <c r="I81" i="3"/>
  <c r="J81" i="3"/>
  <c r="K81" i="3"/>
  <c r="G84" i="3"/>
  <c r="H84" i="3"/>
  <c r="I84" i="3"/>
  <c r="J84" i="3"/>
  <c r="K84" i="3"/>
  <c r="G86" i="3"/>
  <c r="H86" i="3"/>
  <c r="I86" i="3"/>
  <c r="J86" i="3"/>
  <c r="K86" i="3"/>
  <c r="G89" i="3"/>
  <c r="H89" i="3"/>
  <c r="I89" i="3"/>
  <c r="J89" i="3"/>
  <c r="K89" i="3"/>
  <c r="G93" i="3"/>
  <c r="H93" i="3"/>
  <c r="I93" i="3"/>
  <c r="J93" i="3"/>
  <c r="K93" i="3"/>
  <c r="G96" i="3"/>
  <c r="H96" i="3"/>
  <c r="I96" i="3"/>
  <c r="J96" i="3"/>
  <c r="K96" i="3"/>
  <c r="G97" i="3"/>
  <c r="H97" i="3"/>
  <c r="I97" i="3"/>
  <c r="J97" i="3"/>
  <c r="K97" i="3"/>
  <c r="G99" i="3"/>
  <c r="H99" i="3"/>
  <c r="I99" i="3"/>
  <c r="J99" i="3"/>
  <c r="K99" i="3"/>
  <c r="G103" i="3"/>
  <c r="H103" i="3"/>
  <c r="I103" i="3"/>
  <c r="J103" i="3"/>
  <c r="K103" i="3"/>
  <c r="H152" i="3"/>
  <c r="I152" i="3"/>
  <c r="J152" i="3"/>
  <c r="K152" i="3"/>
  <c r="G153" i="3"/>
  <c r="H153" i="3"/>
  <c r="I153" i="3"/>
  <c r="J153" i="3"/>
  <c r="K153" i="3"/>
  <c r="G155" i="3"/>
  <c r="H155" i="3"/>
  <c r="I155" i="3"/>
  <c r="J155" i="3"/>
  <c r="K155" i="3"/>
  <c r="H158" i="3"/>
  <c r="I158" i="3"/>
  <c r="J158" i="3"/>
  <c r="K158" i="3"/>
  <c r="G159" i="3"/>
  <c r="H159" i="3"/>
  <c r="I159" i="3"/>
  <c r="J159" i="3"/>
  <c r="K159" i="3"/>
  <c r="G160" i="3"/>
  <c r="H160" i="3"/>
  <c r="I160" i="3"/>
  <c r="J160" i="3"/>
  <c r="K160" i="3"/>
  <c r="G161" i="3"/>
  <c r="H161" i="3"/>
  <c r="I161" i="3"/>
  <c r="J161" i="3"/>
  <c r="K161" i="3"/>
  <c r="G168" i="3"/>
  <c r="H168" i="3"/>
  <c r="I168" i="3"/>
  <c r="J168" i="3"/>
  <c r="K168" i="3"/>
  <c r="H169" i="3"/>
  <c r="I169" i="3"/>
  <c r="J169" i="3"/>
  <c r="K169" i="3"/>
  <c r="I170" i="3"/>
  <c r="J170" i="3"/>
  <c r="K170" i="3"/>
  <c r="J171" i="3"/>
  <c r="K171" i="3"/>
  <c r="K172" i="3"/>
  <c r="G174" i="3"/>
  <c r="H174" i="3"/>
  <c r="I174" i="3"/>
  <c r="J174" i="3"/>
  <c r="K174" i="3"/>
  <c r="H180" i="3"/>
  <c r="I180" i="3"/>
  <c r="J180" i="3"/>
  <c r="K180" i="3"/>
  <c r="G182" i="3"/>
  <c r="H182" i="3"/>
  <c r="I182" i="3"/>
  <c r="J182" i="3"/>
  <c r="K182" i="3"/>
  <c r="G183" i="3"/>
  <c r="H183" i="3"/>
  <c r="I183" i="3"/>
  <c r="J183" i="3"/>
  <c r="K183" i="3"/>
  <c r="G184" i="3"/>
  <c r="H184" i="3"/>
  <c r="I184" i="3"/>
  <c r="J184" i="3"/>
  <c r="K184" i="3"/>
  <c r="M184" i="3"/>
  <c r="G202" i="3"/>
  <c r="H202" i="3"/>
  <c r="I202" i="3"/>
  <c r="J202" i="3"/>
  <c r="K202" i="3"/>
  <c r="H203" i="3"/>
  <c r="I203" i="3"/>
  <c r="J203" i="3"/>
  <c r="K203" i="3"/>
  <c r="I204" i="3"/>
  <c r="J204" i="3"/>
  <c r="K204" i="3"/>
  <c r="J205" i="3"/>
  <c r="K205" i="3"/>
  <c r="K206" i="3"/>
  <c r="G208" i="3"/>
  <c r="H208" i="3"/>
  <c r="I208" i="3"/>
  <c r="J208" i="3"/>
  <c r="K208" i="3"/>
  <c r="H213" i="3"/>
  <c r="I213" i="3"/>
  <c r="J213" i="3"/>
  <c r="K213" i="3"/>
  <c r="G214" i="3"/>
  <c r="H214" i="3"/>
  <c r="I214" i="3"/>
  <c r="J214" i="3"/>
  <c r="K214" i="3"/>
  <c r="G215" i="3"/>
  <c r="H215" i="3"/>
  <c r="I215" i="3"/>
  <c r="J215" i="3"/>
  <c r="K215" i="3"/>
  <c r="G217" i="3"/>
  <c r="H217" i="3"/>
  <c r="I217" i="3"/>
  <c r="J217" i="3"/>
  <c r="K217" i="3"/>
  <c r="H224" i="3"/>
  <c r="I224" i="3"/>
  <c r="J224" i="3"/>
  <c r="K224" i="3"/>
  <c r="G225" i="3"/>
  <c r="H225" i="3"/>
  <c r="I225" i="3"/>
  <c r="J225" i="3"/>
  <c r="K225" i="3"/>
  <c r="G227" i="3"/>
  <c r="H227" i="3"/>
  <c r="I227" i="3"/>
  <c r="J227" i="3"/>
  <c r="K227" i="3"/>
  <c r="G264" i="3"/>
  <c r="H264" i="3"/>
  <c r="I264" i="3"/>
  <c r="J264" i="3"/>
  <c r="K264" i="3"/>
  <c r="H269" i="3"/>
  <c r="I269" i="3"/>
  <c r="J269" i="3"/>
  <c r="K269" i="3"/>
  <c r="G270" i="3"/>
  <c r="H270" i="3"/>
  <c r="I270" i="3"/>
  <c r="J270" i="3"/>
  <c r="K270" i="3"/>
  <c r="G271" i="3"/>
  <c r="H271" i="3"/>
  <c r="I271" i="3"/>
  <c r="J271" i="3"/>
  <c r="K271" i="3"/>
  <c r="G274" i="3"/>
  <c r="H274" i="3"/>
  <c r="I274" i="3"/>
  <c r="J274" i="3"/>
  <c r="K274" i="3"/>
  <c r="G278" i="3"/>
  <c r="H278" i="3"/>
  <c r="I278" i="3"/>
  <c r="J278" i="3"/>
  <c r="K278" i="3"/>
  <c r="G279" i="3"/>
  <c r="H279" i="3"/>
  <c r="I279" i="3"/>
  <c r="J279" i="3"/>
  <c r="K279" i="3"/>
  <c r="G339" i="3"/>
  <c r="H339" i="3"/>
  <c r="I339" i="3"/>
  <c r="J339" i="3"/>
  <c r="K339" i="3"/>
  <c r="G341" i="3"/>
  <c r="H341" i="3"/>
  <c r="I341" i="3"/>
  <c r="J341" i="3"/>
  <c r="K341" i="3"/>
  <c r="G344" i="3"/>
  <c r="H344" i="3"/>
  <c r="I344" i="3"/>
  <c r="J344" i="3"/>
  <c r="K344" i="3"/>
  <c r="G345" i="3"/>
  <c r="H345" i="3"/>
  <c r="I345" i="3"/>
  <c r="J345" i="3"/>
  <c r="K345" i="3"/>
  <c r="G346" i="3"/>
  <c r="H346" i="3"/>
  <c r="I346" i="3"/>
  <c r="J346" i="3"/>
  <c r="K346" i="3"/>
  <c r="H20" i="8"/>
  <c r="I20" i="8"/>
  <c r="J20" i="8"/>
  <c r="K20" i="8"/>
  <c r="L20" i="8"/>
  <c r="N20" i="8"/>
  <c r="H21" i="8"/>
  <c r="I21" i="8"/>
  <c r="J21" i="8"/>
  <c r="K21" i="8"/>
  <c r="L21" i="8"/>
  <c r="H31" i="8"/>
  <c r="I31" i="8"/>
  <c r="J31" i="8"/>
  <c r="K31" i="8"/>
  <c r="L31" i="8"/>
  <c r="H34" i="8"/>
  <c r="I34" i="8"/>
  <c r="J34" i="8"/>
  <c r="K34" i="8"/>
  <c r="L34" i="8"/>
  <c r="H36" i="8"/>
  <c r="I36" i="8"/>
  <c r="J36" i="8"/>
  <c r="K36" i="8"/>
  <c r="L36" i="8"/>
  <c r="N36" i="8"/>
  <c r="H59" i="8"/>
  <c r="I59" i="8"/>
  <c r="J59" i="8"/>
  <c r="K59" i="8"/>
  <c r="L59" i="8"/>
  <c r="H61" i="8"/>
  <c r="I61" i="8"/>
  <c r="J61" i="8"/>
  <c r="K61" i="8"/>
  <c r="L61" i="8"/>
  <c r="E80" i="8"/>
  <c r="L80" i="8"/>
  <c r="E81" i="8"/>
  <c r="L81" i="8"/>
  <c r="E83" i="8"/>
  <c r="L83" i="8"/>
  <c r="E84" i="8"/>
  <c r="L84" i="8"/>
  <c r="E85" i="8"/>
  <c r="L85" i="8"/>
  <c r="E87" i="8"/>
  <c r="L87" i="8"/>
  <c r="E93" i="8"/>
  <c r="L93" i="8"/>
  <c r="E95" i="8"/>
  <c r="L95" i="8"/>
  <c r="E96" i="8"/>
  <c r="L96" i="8"/>
  <c r="E99" i="8"/>
  <c r="L99" i="8"/>
  <c r="E100" i="8"/>
  <c r="L100" i="8"/>
  <c r="E101" i="8"/>
  <c r="L101" i="8"/>
  <c r="E107" i="8"/>
  <c r="E117" i="8"/>
</calcChain>
</file>

<file path=xl/sharedStrings.xml><?xml version="1.0" encoding="utf-8"?>
<sst xmlns="http://schemas.openxmlformats.org/spreadsheetml/2006/main" count="447" uniqueCount="308">
  <si>
    <t>$ in thousands except per unit</t>
  </si>
  <si>
    <t>Company Name</t>
  </si>
  <si>
    <t>TopBuild Corp.</t>
  </si>
  <si>
    <t>Ticker</t>
  </si>
  <si>
    <t>BLD</t>
  </si>
  <si>
    <t>Valuation Date</t>
  </si>
  <si>
    <t>Latest Adj. Closing Share Price Date</t>
  </si>
  <si>
    <t>Latest Adj. Closing Share Price</t>
  </si>
  <si>
    <t>Revenue Projection</t>
  </si>
  <si>
    <t>Historical</t>
  </si>
  <si>
    <t>Projected</t>
  </si>
  <si>
    <t>Total Revenues</t>
  </si>
  <si>
    <t>% growth</t>
  </si>
  <si>
    <t>Segmental Revenue Schedule</t>
  </si>
  <si>
    <t>Installation Revenue</t>
  </si>
  <si>
    <t>Specialty Distribution</t>
  </si>
  <si>
    <t>Intercompany Eliminations</t>
  </si>
  <si>
    <t>Eliminations as % of Gross Revenue</t>
  </si>
  <si>
    <t>Growth Driver Assumptions</t>
  </si>
  <si>
    <t>Segment Revenue Growth Drivers</t>
  </si>
  <si>
    <t>% growth attribution for Installation segment</t>
  </si>
  <si>
    <t>Selling prices</t>
  </si>
  <si>
    <t>Volumes</t>
  </si>
  <si>
    <t>Acquisitions</t>
  </si>
  <si>
    <t>% growth attribution for Specialty Distribution segment</t>
  </si>
  <si>
    <t>General Growth Drivers</t>
  </si>
  <si>
    <t>Operating Expenses</t>
  </si>
  <si>
    <t>Gross Profit Margin</t>
  </si>
  <si>
    <t>SG&amp;A % Revenue</t>
  </si>
  <si>
    <t>Other Operating Expense % of Revenue</t>
  </si>
  <si>
    <t>Days Sales Outstanding</t>
  </si>
  <si>
    <t>Inventory Turnover</t>
  </si>
  <si>
    <t>Days Payables Outstanding</t>
  </si>
  <si>
    <t>Acquisition spend allocation to:</t>
  </si>
  <si>
    <t>Goodwill</t>
  </si>
  <si>
    <t>Intangibles</t>
  </si>
  <si>
    <t>PPE</t>
  </si>
  <si>
    <t>$ in thousands except per share</t>
  </si>
  <si>
    <t>Circ toggle (1=on, 0=off)</t>
  </si>
  <si>
    <t xml:space="preserve">                                                                                      </t>
  </si>
  <si>
    <t>Income Statement</t>
  </si>
  <si>
    <t>5 Year</t>
  </si>
  <si>
    <t>CAGR</t>
  </si>
  <si>
    <t>Less: Cost of Sales</t>
  </si>
  <si>
    <t>Gross Profit</t>
  </si>
  <si>
    <t>SG&amp;A Expense</t>
  </si>
  <si>
    <t>Other Operating Expense</t>
  </si>
  <si>
    <t>Operating Profit (EBIT)</t>
  </si>
  <si>
    <t>Nonoperating Income</t>
  </si>
  <si>
    <t>Interest Expense</t>
  </si>
  <si>
    <t>Unusual Expenses</t>
  </si>
  <si>
    <t>Pre-tax Profit</t>
  </si>
  <si>
    <t>Income Taxes</t>
  </si>
  <si>
    <t>Minority interest</t>
  </si>
  <si>
    <t>Net Income</t>
  </si>
  <si>
    <t>Depreciation and Amortization</t>
  </si>
  <si>
    <t>EBITDA</t>
  </si>
  <si>
    <t>Stock Compensation and Exercise of Options</t>
  </si>
  <si>
    <t>Growth Rates and Margins</t>
  </si>
  <si>
    <t>Revenue Growth</t>
  </si>
  <si>
    <t>SG&amp;A % of Revenue</t>
  </si>
  <si>
    <t>EBIT Margin</t>
  </si>
  <si>
    <t>EBITDA Margin</t>
  </si>
  <si>
    <t>Profit Margin</t>
  </si>
  <si>
    <t>Effective Tax Rate</t>
  </si>
  <si>
    <t>Balance Sheet</t>
  </si>
  <si>
    <t>Cash &amp; Short-Term Investments</t>
  </si>
  <si>
    <t>Short-Term Receivables</t>
  </si>
  <si>
    <t>Inventories</t>
  </si>
  <si>
    <t>Other Current Assets</t>
  </si>
  <si>
    <t>Total Current Assets</t>
  </si>
  <si>
    <t>Net Property, Plant &amp; Equipment</t>
  </si>
  <si>
    <t>Total Long-Term Investments</t>
  </si>
  <si>
    <t>Intangible Assets</t>
  </si>
  <si>
    <t>Deferred Tax Assets</t>
  </si>
  <si>
    <t>Other Assets</t>
  </si>
  <si>
    <t>Total Assets</t>
  </si>
  <si>
    <t>ST Debt &amp; Curr. Portion LT Debt</t>
  </si>
  <si>
    <t>Accounts Payable</t>
  </si>
  <si>
    <t>Income Tax Payable</t>
  </si>
  <si>
    <t>Other Current Liabilities</t>
  </si>
  <si>
    <t>Total Current Liabilities</t>
  </si>
  <si>
    <t>Long-Term Debt</t>
  </si>
  <si>
    <t>Provision for Risks &amp; Charges</t>
  </si>
  <si>
    <t>Deferred Tax Liabilities</t>
  </si>
  <si>
    <t>Other Liabilities</t>
  </si>
  <si>
    <t>Total Liabilities</t>
  </si>
  <si>
    <t>Total Shareholder's Equity</t>
  </si>
  <si>
    <t>Total Equity</t>
  </si>
  <si>
    <t>Total Liabilities and Equity</t>
  </si>
  <si>
    <t>Balance Check</t>
  </si>
  <si>
    <t>Cash Flow Statement</t>
  </si>
  <si>
    <t>Depreciation, Depletion &amp; Amortization</t>
  </si>
  <si>
    <t>Deferred Taxes &amp; Investment Tax Credit</t>
  </si>
  <si>
    <t>Other Funds</t>
  </si>
  <si>
    <t>Funds from Operations</t>
  </si>
  <si>
    <t>Changes in Working Capital</t>
  </si>
  <si>
    <t>Cash Flow From Operating Activities</t>
  </si>
  <si>
    <t>Capital Expenditures</t>
  </si>
  <si>
    <t>Net Assets from Acquisitions</t>
  </si>
  <si>
    <t>Sale of Fixed Assets &amp; Businesses</t>
  </si>
  <si>
    <t>Purchase/Sale of Investments</t>
  </si>
  <si>
    <t>Cash Flow From Investing Activities</t>
  </si>
  <si>
    <t>Change in Capital Stock</t>
  </si>
  <si>
    <t>Issuance/Reduction of Debt, Net</t>
  </si>
  <si>
    <t>Dividends</t>
  </si>
  <si>
    <t>Cash Flow From Financing Activities</t>
  </si>
  <si>
    <t>Effect of Exchange Rate on Cash and Equivalents</t>
  </si>
  <si>
    <t>Net Change in Cash During Period</t>
  </si>
  <si>
    <t>Line Item Schedules</t>
  </si>
  <si>
    <t>Current Assets Schedule</t>
  </si>
  <si>
    <t>Accounts Receivable</t>
  </si>
  <si>
    <t>Beginning of Period</t>
  </si>
  <si>
    <t>Increase (Decrease)</t>
  </si>
  <si>
    <t>End of Period</t>
  </si>
  <si>
    <t>A/R Forecasting Approach (1=Rev Growth, 2=DSO)</t>
  </si>
  <si>
    <t>Revenue Growth Rate (Approach 1)</t>
  </si>
  <si>
    <t>Days Sales Outstanding (Approach 2)</t>
  </si>
  <si>
    <t>Revenue</t>
  </si>
  <si>
    <t>Inventory Forecasting Approach (1=Cost of Sales Growth, 2=Turnover)</t>
  </si>
  <si>
    <t>Cost of Sales Growth Rate (Approach 1)</t>
  </si>
  <si>
    <t>Inventory Turnover (Approach 2)</t>
  </si>
  <si>
    <t>Cost of Sales</t>
  </si>
  <si>
    <t>Current Assets (Ex. Cash and Other current assets)</t>
  </si>
  <si>
    <t>Current Liabilities Schedule</t>
  </si>
  <si>
    <t>A/P Forecasting Approach (1=Cost of Sales Growth, 2=DPO)</t>
  </si>
  <si>
    <t>Days Payables Outstanding (Approach 2)</t>
  </si>
  <si>
    <t>Intangibles Schedule</t>
  </si>
  <si>
    <t>Plus: Acquisitions, sale and related adjustments</t>
  </si>
  <si>
    <t>Less: Effect of foreign currency translation</t>
  </si>
  <si>
    <t>Plus: Additional changes to Intangibles</t>
  </si>
  <si>
    <t>Less: Amortization</t>
  </si>
  <si>
    <t>Amortization of Intangibles</t>
  </si>
  <si>
    <t>Amortization of Existing assets</t>
  </si>
  <si>
    <t>Useful life (years) of Acquired Intangibles</t>
  </si>
  <si>
    <t>Amortization of Intangibles from Acquisitions in:</t>
  </si>
  <si>
    <t>Total Amortization</t>
  </si>
  <si>
    <t>PP&amp;E and Depreciation Schedule</t>
  </si>
  <si>
    <t>Property, Plant and Equipment</t>
  </si>
  <si>
    <t>Plus: Capital Expenditures</t>
  </si>
  <si>
    <t>Plus: Additions from acquisitions (in forecast years)</t>
  </si>
  <si>
    <t>Less: Depreciation</t>
  </si>
  <si>
    <t>CapEx as % of Revenue</t>
  </si>
  <si>
    <t>Depreciation</t>
  </si>
  <si>
    <t>Useful life (years) of existing PPE</t>
  </si>
  <si>
    <t>Useful life (years) of new PPE</t>
  </si>
  <si>
    <t>Depreciation of Existing assets</t>
  </si>
  <si>
    <t>Depreciation of Assets from CapEx in:</t>
  </si>
  <si>
    <t>Depreciation of Assets from Acquisitions in:</t>
  </si>
  <si>
    <t>Total Depreciation</t>
  </si>
  <si>
    <t>Retained Earnings Schedule</t>
  </si>
  <si>
    <t>Plus: Net Income</t>
  </si>
  <si>
    <t>Less: Dividends Paid and Declared</t>
  </si>
  <si>
    <t>Less: Other Adjustments</t>
  </si>
  <si>
    <t>Dividend Payout Ratio</t>
  </si>
  <si>
    <t>Non-controlling Interest Schedule</t>
  </si>
  <si>
    <t>Plus: Net Income attributable to NCI</t>
  </si>
  <si>
    <t>Net income attributable to NCI as % of total Net Income</t>
  </si>
  <si>
    <t>Debt &amp; Interest Schedule (ex. Leases)</t>
  </si>
  <si>
    <t>Principal amount (End of period)</t>
  </si>
  <si>
    <t>Senior Debt due 2029</t>
  </si>
  <si>
    <t>Senior Debt due 2032</t>
  </si>
  <si>
    <t>Term loan due 2026</t>
  </si>
  <si>
    <t>Equipment notes</t>
  </si>
  <si>
    <t>Draw (Paydown)</t>
  </si>
  <si>
    <t>Interest rates</t>
  </si>
  <si>
    <t>Interest expense</t>
  </si>
  <si>
    <t>Current portion of Long-term Debt</t>
  </si>
  <si>
    <t>Non-current portion of Long-term Debt</t>
  </si>
  <si>
    <t>Total Interest Expense on Long-term Debt</t>
  </si>
  <si>
    <t>Unamortized debt premium and issuance costs</t>
  </si>
  <si>
    <t>Needs Analysis</t>
  </si>
  <si>
    <t>Pre-revolver Cash Balance</t>
  </si>
  <si>
    <t>Target Minimum Cash</t>
  </si>
  <si>
    <t>Target Minimum Cash as a % of Revenue</t>
  </si>
  <si>
    <t>Short-term Bank Credit/Revolver</t>
  </si>
  <si>
    <t>Beginning of Period (BOP)</t>
  </si>
  <si>
    <t>Weighted Average Interest Rate</t>
  </si>
  <si>
    <t>Cash and Equivalents</t>
  </si>
  <si>
    <t>End of Period Balance (from B/S)</t>
  </si>
  <si>
    <t>Interest Income</t>
  </si>
  <si>
    <t>Lease Schedule</t>
  </si>
  <si>
    <t>Finance lease liabilities</t>
  </si>
  <si>
    <t>Interest on Finance Lease Obligations</t>
  </si>
  <si>
    <t>Interest rate</t>
  </si>
  <si>
    <t>Operating lease liabilities</t>
  </si>
  <si>
    <t>Acquisition Schedule</t>
  </si>
  <si>
    <t>Cashflow from Operations less CapEx</t>
  </si>
  <si>
    <t>Acquisition spend</t>
  </si>
  <si>
    <t>% of CFO minus CapEx</t>
  </si>
  <si>
    <t>Allocation to Goodwill</t>
  </si>
  <si>
    <t>Allocation to Intangibles</t>
  </si>
  <si>
    <t>Allocation to PPE</t>
  </si>
  <si>
    <t>Values</t>
  </si>
  <si>
    <t>Basic Shares Outstanding</t>
  </si>
  <si>
    <t>Fully Diluted Shares Outstanding</t>
  </si>
  <si>
    <t>Discount Rate (WACC)</t>
  </si>
  <si>
    <t>Midyear Adjustment (1=on, 0=off)</t>
  </si>
  <si>
    <t>Unlevered Free Cash Flow</t>
  </si>
  <si>
    <t>YoY Growth Rate (%)</t>
  </si>
  <si>
    <t>Gross Margin (%)</t>
  </si>
  <si>
    <t>EBITDA Margin (%)</t>
  </si>
  <si>
    <t>EBIT Margin (%)</t>
  </si>
  <si>
    <t>Tax on EBIT</t>
  </si>
  <si>
    <t>Tax Rate (%)</t>
  </si>
  <si>
    <t>NOPAT/EBIAT</t>
  </si>
  <si>
    <t>Plus: Depreciation and Amortization</t>
  </si>
  <si>
    <t>Plus: Stock Compensation</t>
  </si>
  <si>
    <t>Less: Change in Net Working Capital</t>
  </si>
  <si>
    <t>Less: Capital Expenditures &amp; Acquisition Spend</t>
  </si>
  <si>
    <t>Unlevered Free Cash Flow (UFCF)</t>
  </si>
  <si>
    <t>Net Working Capital Schedule</t>
  </si>
  <si>
    <t>Current Assets (Ex. Cash)</t>
  </si>
  <si>
    <t>Current Liabilities</t>
  </si>
  <si>
    <t>Net Working Capital</t>
  </si>
  <si>
    <t>Change in Net Working Capital</t>
  </si>
  <si>
    <t>Stub %</t>
  </si>
  <si>
    <t>Stub Year</t>
  </si>
  <si>
    <t>Year 2</t>
  </si>
  <si>
    <t>Year 3</t>
  </si>
  <si>
    <t>Year 4</t>
  </si>
  <si>
    <t>Year 5</t>
  </si>
  <si>
    <t>Dates for Discounting UFCF</t>
  </si>
  <si>
    <t>Periods for Discounting UFCF</t>
  </si>
  <si>
    <t>Stub-adjusted Unlevered Free Cash Flow (UFCF)</t>
  </si>
  <si>
    <t>PV of Stub-adjusted UFCFs</t>
  </si>
  <si>
    <t>Basic to Fully Diluted Shares Bridge (in 000s)</t>
  </si>
  <si>
    <t>Basic Shares</t>
  </si>
  <si>
    <t>Restricted Stock</t>
  </si>
  <si>
    <t>Options/Warrants</t>
  </si>
  <si>
    <t>Convertible Debt</t>
  </si>
  <si>
    <t>Convertible Preferred Stock</t>
  </si>
  <si>
    <t>Terminal Value and Equity Value Bridge</t>
  </si>
  <si>
    <t>Terminal Value - Multiples Method</t>
  </si>
  <si>
    <t>Terminal Value - Perpetual Growth Method</t>
  </si>
  <si>
    <t>EV/EBITDA</t>
  </si>
  <si>
    <t>Terminal UFCF Growth Rate</t>
  </si>
  <si>
    <t>Implied Terminal Value</t>
  </si>
  <si>
    <t>Implied Terminal UFCF Growth Rate</t>
  </si>
  <si>
    <t>Implied Terminal EV/EBITDA</t>
  </si>
  <si>
    <t>Plus: PV of Terminal Value</t>
  </si>
  <si>
    <t>Plus: Sum of PV of Stub-adjusted UFCFs</t>
  </si>
  <si>
    <t>Implied Enterprise Value</t>
  </si>
  <si>
    <t>% of Implied EV from Terminal Value</t>
  </si>
  <si>
    <t>Plus: Cash and Cash Equivalents</t>
  </si>
  <si>
    <t>Less: Debt &amp; Capital Leases (excl. Operating Leases)</t>
  </si>
  <si>
    <t>Less: Preferred Stock</t>
  </si>
  <si>
    <t>Less: Non-controlling Interest</t>
  </si>
  <si>
    <t>Implied Equity Value</t>
  </si>
  <si>
    <t>Implied Share Price</t>
  </si>
  <si>
    <t>Premium (Discount) to Current Price</t>
  </si>
  <si>
    <t>Implied Y1 Multiples</t>
  </si>
  <si>
    <t>EV / Revenue</t>
  </si>
  <si>
    <t xml:space="preserve">EV / EBITDA </t>
  </si>
  <si>
    <t>EV / EBIT</t>
  </si>
  <si>
    <t>Data Tables and Football Field</t>
  </si>
  <si>
    <t>EV/EBITDA Multiple</t>
  </si>
  <si>
    <t>Cost of Debt Calculation</t>
  </si>
  <si>
    <t>Beta (β) Calculator</t>
  </si>
  <si>
    <t>Total Interest Expenses</t>
  </si>
  <si>
    <t>S&amp;P 500 Index</t>
  </si>
  <si>
    <t>Date</t>
  </si>
  <si>
    <t>Adj. Close Price</t>
  </si>
  <si>
    <t>Return (%)</t>
  </si>
  <si>
    <t>Current Portion of LT Debt &amp; Finance leases</t>
  </si>
  <si>
    <t>LT Debt &amp; Finance leases (Ex. Current Portion)</t>
  </si>
  <si>
    <t>Total Debt</t>
  </si>
  <si>
    <t>Pre-tax Cost of Debt</t>
  </si>
  <si>
    <t>Effective Cost of Debt</t>
  </si>
  <si>
    <t>Cost of Equity Calculation</t>
  </si>
  <si>
    <t>Equity Risk Premium</t>
  </si>
  <si>
    <t>Risk-free Rate</t>
  </si>
  <si>
    <t>Company Beta</t>
  </si>
  <si>
    <t>Cost of Equity</t>
  </si>
  <si>
    <t>Capital Structure and WACC</t>
  </si>
  <si>
    <t>% of Total Capital</t>
  </si>
  <si>
    <t>Equity Value</t>
  </si>
  <si>
    <t>Weighted Average Cost of Capital (WACC)</t>
  </si>
  <si>
    <t>Company Beta (3Y Monthly) &gt;&gt;</t>
  </si>
  <si>
    <t>Total lease cost</t>
  </si>
  <si>
    <t>Lease cost as % of revenue</t>
  </si>
  <si>
    <t>Cash payment for operating leases</t>
  </si>
  <si>
    <t>Cash payment as % of total lease cost</t>
  </si>
  <si>
    <t>Operating lease discount rate</t>
  </si>
  <si>
    <t>Operating lease liabilities BOP</t>
  </si>
  <si>
    <t xml:space="preserve">  Plus: New lease additions</t>
  </si>
  <si>
    <t xml:space="preserve">  Plus: Interest accretion</t>
  </si>
  <si>
    <t xml:space="preserve">  Less: Cash lease payments</t>
  </si>
  <si>
    <t>Operating lease liabilities EOP</t>
  </si>
  <si>
    <t>Operating lease liabilities EOP as % of revenue</t>
  </si>
  <si>
    <t>Current portion of lease liabilities</t>
  </si>
  <si>
    <t>Current lease liabilities as a % of total</t>
  </si>
  <si>
    <t>Non-current portion of lease liabilities</t>
  </si>
  <si>
    <t>Total ROU assets BOP</t>
  </si>
  <si>
    <t xml:space="preserve">  Less: ROU amortization</t>
  </si>
  <si>
    <t>Total ROU assets EOP</t>
  </si>
  <si>
    <t>Cash payments on Finance Lease Obligations</t>
  </si>
  <si>
    <t xml:space="preserve">  Plus: New finance lease additions</t>
  </si>
  <si>
    <t xml:space="preserve">  Less: Cash principal payments</t>
  </si>
  <si>
    <t>Finance lease liabilities BOP</t>
  </si>
  <si>
    <t>Finance lease liabilities EOP</t>
  </si>
  <si>
    <t>Finance lease liabilities EOP as % of revenue</t>
  </si>
  <si>
    <t>Finance Lease assets EOP</t>
  </si>
  <si>
    <t>Finance Lease assets BOP</t>
  </si>
  <si>
    <t>Cash payments as % of beginning lease balance</t>
  </si>
  <si>
    <t xml:space="preserve">  Less: Amortization</t>
  </si>
  <si>
    <t>Amortization on Finance Lease Assets</t>
  </si>
  <si>
    <t>Amortization as % of beginning lease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</si>
</sst>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 * #,##0.00_ ;_ * \-#,##0.00_ ;_ * &quot;-&quot;??_ ;_ @_ "/>
    <numFmt numFmtId="164" formatCode="&quot;$&quot;#,##0.00_);[Red]\(&quot;$&quot;#,##0.00\)"/>
    <numFmt numFmtId="165" formatCode="_(* #,##0_);_(* \(#,##0\);_(* &quot;-&quot;_);_(@_)"/>
    <numFmt numFmtId="166" formatCode="&quot;FY&quot;\ yyyy"/>
    <numFmt numFmtId="167" formatCode="0.0%_);\(0.0%\);@_)"/>
    <numFmt numFmtId="168" formatCode="#,##0.0_);\(#,##0.0\)"/>
    <numFmt numFmtId="169" formatCode="0\ &quot;days&quot;"/>
    <numFmt numFmtId="170" formatCode="0.0%"/>
    <numFmt numFmtId="171" formatCode="#,##0\ &quot;days&quot;_);\(#,##0\ &quot;days&quot;\)"/>
    <numFmt numFmtId="172" formatCode="_(* #,##0.000_);_(* \(#,##0.000\);_(* &quot;-&quot;_);_(@_)"/>
    <numFmt numFmtId="173" formatCode="_([$$-409]* #,##0.00_);_([$$-409]* \(#,##0.00\);_([$$-409]* &quot;-&quot;??_);_(@_)"/>
    <numFmt numFmtId="174" formatCode="0.0%_);\(0.0%\)"/>
    <numFmt numFmtId="175" formatCode="#,##0_);\(#,##0\);\-\ "/>
    <numFmt numFmtId="176" formatCode="0.0\x_);\(0.0\x\);\-\ "/>
    <numFmt numFmtId="177" formatCode="0.00\x_);\(0.00\x\);\-\ "/>
    <numFmt numFmtId="178" formatCode="#,##0.00_);\(#,##0.00\);\-\ "/>
    <numFmt numFmtId="179" formatCode="0.00%_);\(0.00%\)"/>
    <numFmt numFmtId="180" formatCode="0.000%_);\(0.000%\)"/>
    <numFmt numFmtId="181" formatCode="#,##0.0_);\(#,##0.0\);\-\ "/>
    <numFmt numFmtId="182" formatCode="0\ &quot;years &quot;"/>
  </numFmts>
  <fonts count="4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70C0"/>
      <name val="Calibri"/>
      <family val="2"/>
    </font>
    <font>
      <u/>
      <sz val="11"/>
      <color theme="1"/>
      <name val="Calibri"/>
      <family val="2"/>
    </font>
    <font>
      <sz val="11"/>
      <color theme="9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Courier New"/>
      <family val="1"/>
    </font>
    <font>
      <sz val="11"/>
      <color theme="0"/>
      <name val="Calibri (Body)"/>
    </font>
    <font>
      <b/>
      <sz val="11"/>
      <color theme="0"/>
      <name val="Calibri (Body)"/>
    </font>
    <font>
      <b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theme="8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FF"/>
      <name val="Calibri"/>
      <family val="2"/>
    </font>
    <font>
      <sz val="11"/>
      <color rgb="FF196B24"/>
      <name val="Calibri"/>
      <family val="2"/>
    </font>
    <font>
      <b/>
      <sz val="11"/>
      <color rgb="FF0000FF"/>
      <name val="Calibri"/>
      <family val="2"/>
    </font>
    <font>
      <sz val="11"/>
      <color rgb="FF196B24"/>
      <name val="Calibri"/>
      <family val="2"/>
      <scheme val="minor"/>
    </font>
    <font>
      <i/>
      <sz val="11"/>
      <color rgb="FF196B24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A02B93"/>
      <name val="Calibri"/>
      <family val="2"/>
    </font>
    <font>
      <b/>
      <sz val="11"/>
      <color rgb="FF196B24"/>
      <name val="Calibri"/>
      <family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1F3864"/>
        <bgColor rgb="FF1F3864"/>
      </patternFill>
    </fill>
    <fill>
      <patternFill patternType="solid">
        <fgColor rgb="FFD8D8D8"/>
        <bgColor indexed="64"/>
      </patternFill>
    </fill>
    <fill>
      <patternFill patternType="solid">
        <fgColor rgb="FFFEF2CB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dotted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auto="1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dotted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6" fillId="0" borderId="9"/>
    <xf numFmtId="9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6" fillId="0" borderId="9"/>
    <xf numFmtId="43" fontId="6" fillId="0" borderId="9" applyFont="0" applyFill="0" applyBorder="0" applyAlignment="0" applyProtection="0"/>
    <xf numFmtId="0" fontId="6" fillId="0" borderId="9"/>
  </cellStyleXfs>
  <cellXfs count="417">
    <xf numFmtId="0" fontId="0" fillId="0" borderId="0" xfId="0"/>
    <xf numFmtId="0" fontId="7" fillId="0" borderId="1" xfId="0" applyFont="1" applyBorder="1"/>
    <xf numFmtId="0" fontId="8" fillId="0" borderId="1" xfId="0" applyFont="1" applyBorder="1"/>
    <xf numFmtId="0" fontId="9" fillId="0" borderId="2" xfId="0" applyFont="1" applyBorder="1" applyAlignment="1">
      <alignment horizontal="left"/>
    </xf>
    <xf numFmtId="0" fontId="8" fillId="0" borderId="2" xfId="0" applyFont="1" applyBorder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37" fontId="10" fillId="0" borderId="0" xfId="0" applyNumberFormat="1" applyFont="1" applyAlignment="1">
      <alignment horizontal="left"/>
    </xf>
    <xf numFmtId="166" fontId="13" fillId="2" borderId="4" xfId="0" applyNumberFormat="1" applyFont="1" applyFill="1" applyBorder="1" applyAlignment="1">
      <alignment horizontal="center"/>
    </xf>
    <xf numFmtId="166" fontId="13" fillId="2" borderId="5" xfId="0" applyNumberFormat="1" applyFont="1" applyFill="1" applyBorder="1" applyAlignment="1">
      <alignment horizontal="center"/>
    </xf>
    <xf numFmtId="0" fontId="15" fillId="0" borderId="0" xfId="0" applyFont="1"/>
    <xf numFmtId="0" fontId="9" fillId="0" borderId="0" xfId="0" applyFont="1"/>
    <xf numFmtId="37" fontId="8" fillId="0" borderId="0" xfId="0" applyNumberFormat="1" applyFont="1"/>
    <xf numFmtId="0" fontId="8" fillId="4" borderId="8" xfId="0" applyFont="1" applyFill="1" applyBorder="1" applyAlignment="1">
      <alignment horizontal="center" vertical="center"/>
    </xf>
    <xf numFmtId="3" fontId="8" fillId="0" borderId="0" xfId="0" applyNumberFormat="1" applyFont="1"/>
    <xf numFmtId="168" fontId="15" fillId="0" borderId="0" xfId="0" applyNumberFormat="1" applyFont="1"/>
    <xf numFmtId="0" fontId="8" fillId="0" borderId="0" xfId="0" applyFont="1"/>
    <xf numFmtId="37" fontId="0" fillId="0" borderId="0" xfId="0" applyNumberFormat="1"/>
    <xf numFmtId="0" fontId="21" fillId="0" borderId="0" xfId="0" applyFont="1"/>
    <xf numFmtId="0" fontId="22" fillId="0" borderId="9" xfId="0" applyFont="1" applyBorder="1"/>
    <xf numFmtId="0" fontId="15" fillId="0" borderId="9" xfId="0" applyFont="1" applyBorder="1"/>
    <xf numFmtId="37" fontId="15" fillId="0" borderId="9" xfId="0" applyNumberFormat="1" applyFont="1" applyBorder="1"/>
    <xf numFmtId="0" fontId="0" fillId="0" borderId="9" xfId="0" applyBorder="1"/>
    <xf numFmtId="170" fontId="20" fillId="0" borderId="0" xfId="0" applyNumberFormat="1" applyFont="1"/>
    <xf numFmtId="0" fontId="24" fillId="0" borderId="0" xfId="0" applyFont="1"/>
    <xf numFmtId="170" fontId="9" fillId="0" borderId="9" xfId="0" applyNumberFormat="1" applyFont="1" applyBorder="1"/>
    <xf numFmtId="168" fontId="15" fillId="0" borderId="9" xfId="0" applyNumberFormat="1" applyFont="1" applyBorder="1"/>
    <xf numFmtId="0" fontId="6" fillId="0" borderId="9" xfId="4"/>
    <xf numFmtId="0" fontId="7" fillId="0" borderId="1" xfId="4" applyFont="1" applyBorder="1"/>
    <xf numFmtId="0" fontId="8" fillId="0" borderId="1" xfId="4" applyFont="1" applyBorder="1"/>
    <xf numFmtId="0" fontId="9" fillId="0" borderId="2" xfId="4" applyFont="1" applyBorder="1" applyAlignment="1">
      <alignment horizontal="left"/>
    </xf>
    <xf numFmtId="0" fontId="8" fillId="0" borderId="2" xfId="4" applyFont="1" applyBorder="1"/>
    <xf numFmtId="0" fontId="9" fillId="0" borderId="9" xfId="4" applyFont="1" applyAlignment="1">
      <alignment horizontal="left"/>
    </xf>
    <xf numFmtId="0" fontId="8" fillId="0" borderId="9" xfId="4" applyFont="1" applyAlignment="1">
      <alignment horizontal="left"/>
    </xf>
    <xf numFmtId="0" fontId="11" fillId="0" borderId="9" xfId="4" applyFont="1"/>
    <xf numFmtId="37" fontId="10" fillId="0" borderId="9" xfId="4" applyNumberFormat="1" applyFont="1" applyAlignment="1">
      <alignment horizontal="left"/>
    </xf>
    <xf numFmtId="0" fontId="12" fillId="0" borderId="9" xfId="4" applyFont="1" applyAlignment="1">
      <alignment horizontal="left"/>
    </xf>
    <xf numFmtId="0" fontId="13" fillId="2" borderId="9" xfId="4" applyFont="1" applyFill="1"/>
    <xf numFmtId="166" fontId="13" fillId="2" borderId="4" xfId="4" applyNumberFormat="1" applyFont="1" applyFill="1" applyBorder="1" applyAlignment="1">
      <alignment horizontal="center"/>
    </xf>
    <xf numFmtId="166" fontId="13" fillId="2" borderId="5" xfId="4" applyNumberFormat="1" applyFont="1" applyFill="1" applyBorder="1" applyAlignment="1">
      <alignment horizontal="center"/>
    </xf>
    <xf numFmtId="0" fontId="15" fillId="0" borderId="9" xfId="4" applyFont="1"/>
    <xf numFmtId="167" fontId="25" fillId="0" borderId="9" xfId="4" applyNumberFormat="1" applyFont="1"/>
    <xf numFmtId="167" fontId="25" fillId="0" borderId="10" xfId="4" applyNumberFormat="1" applyFont="1" applyBorder="1"/>
    <xf numFmtId="0" fontId="7" fillId="0" borderId="2" xfId="4" applyFont="1" applyBorder="1"/>
    <xf numFmtId="0" fontId="13" fillId="2" borderId="9" xfId="4" applyFont="1" applyFill="1" applyAlignment="1">
      <alignment vertical="top"/>
    </xf>
    <xf numFmtId="167" fontId="8" fillId="0" borderId="9" xfId="4" applyNumberFormat="1" applyFont="1" applyAlignment="1">
      <alignment horizontal="center"/>
    </xf>
    <xf numFmtId="0" fontId="13" fillId="2" borderId="9" xfId="0" applyFont="1" applyFill="1" applyBorder="1" applyAlignment="1">
      <alignment horizontal="center"/>
    </xf>
    <xf numFmtId="167" fontId="17" fillId="5" borderId="9" xfId="0" applyNumberFormat="1" applyFont="1" applyFill="1" applyBorder="1" applyAlignment="1">
      <alignment horizontal="center"/>
    </xf>
    <xf numFmtId="0" fontId="7" fillId="0" borderId="2" xfId="0" applyFont="1" applyBorder="1"/>
    <xf numFmtId="0" fontId="13" fillId="2" borderId="9" xfId="0" applyFont="1" applyFill="1" applyBorder="1"/>
    <xf numFmtId="0" fontId="8" fillId="0" borderId="10" xfId="0" applyFont="1" applyBorder="1"/>
    <xf numFmtId="37" fontId="8" fillId="0" borderId="10" xfId="0" applyNumberFormat="1" applyFont="1" applyBorder="1"/>
    <xf numFmtId="0" fontId="15" fillId="0" borderId="0" xfId="0" applyFont="1" applyAlignment="1">
      <alignment horizontal="left"/>
    </xf>
    <xf numFmtId="169" fontId="8" fillId="0" borderId="0" xfId="0" applyNumberFormat="1" applyFont="1"/>
    <xf numFmtId="169" fontId="8" fillId="0" borderId="10" xfId="0" applyNumberFormat="1" applyFont="1" applyBorder="1"/>
    <xf numFmtId="0" fontId="11" fillId="0" borderId="0" xfId="0" applyFont="1" applyAlignment="1">
      <alignment horizontal="left"/>
    </xf>
    <xf numFmtId="167" fontId="17" fillId="0" borderId="0" xfId="0" applyNumberFormat="1" applyFont="1"/>
    <xf numFmtId="0" fontId="15" fillId="0" borderId="7" xfId="0" applyFont="1" applyBorder="1" applyAlignment="1">
      <alignment horizontal="left"/>
    </xf>
    <xf numFmtId="0" fontId="0" fillId="6" borderId="0" xfId="0" applyFill="1"/>
    <xf numFmtId="37" fontId="15" fillId="6" borderId="0" xfId="0" applyNumberFormat="1" applyFont="1" applyFill="1"/>
    <xf numFmtId="0" fontId="0" fillId="0" borderId="9" xfId="0" applyBorder="1" applyAlignment="1">
      <alignment wrapText="1"/>
    </xf>
    <xf numFmtId="14" fontId="6" fillId="0" borderId="9" xfId="4" applyNumberFormat="1" applyAlignment="1">
      <alignment horizontal="right"/>
    </xf>
    <xf numFmtId="0" fontId="9" fillId="0" borderId="9" xfId="4" applyFont="1"/>
    <xf numFmtId="0" fontId="13" fillId="2" borderId="9" xfId="4" applyFont="1" applyFill="1" applyAlignment="1">
      <alignment horizontal="left"/>
    </xf>
    <xf numFmtId="0" fontId="15" fillId="7" borderId="7" xfId="4" applyFont="1" applyFill="1" applyBorder="1"/>
    <xf numFmtId="0" fontId="8" fillId="7" borderId="7" xfId="4" applyFont="1" applyFill="1" applyBorder="1"/>
    <xf numFmtId="43" fontId="8" fillId="0" borderId="9" xfId="5" applyFont="1"/>
    <xf numFmtId="0" fontId="15" fillId="0" borderId="12" xfId="0" applyFont="1" applyBorder="1"/>
    <xf numFmtId="170" fontId="9" fillId="0" borderId="10" xfId="0" applyNumberFormat="1" applyFont="1" applyBorder="1"/>
    <xf numFmtId="168" fontId="15" fillId="0" borderId="10" xfId="0" applyNumberFormat="1" applyFont="1" applyBorder="1"/>
    <xf numFmtId="0" fontId="31" fillId="0" borderId="9" xfId="4" applyFont="1" applyAlignment="1">
      <alignment horizontal="center"/>
    </xf>
    <xf numFmtId="0" fontId="15" fillId="0" borderId="7" xfId="4" applyFont="1" applyBorder="1" applyAlignment="1">
      <alignment horizontal="left"/>
    </xf>
    <xf numFmtId="0" fontId="32" fillId="0" borderId="9" xfId="4" applyFont="1" applyAlignment="1">
      <alignment horizontal="left"/>
    </xf>
    <xf numFmtId="0" fontId="32" fillId="0" borderId="9" xfId="4" applyFont="1" applyAlignment="1">
      <alignment horizontal="right"/>
    </xf>
    <xf numFmtId="14" fontId="32" fillId="0" borderId="9" xfId="4" applyNumberFormat="1" applyFont="1" applyAlignment="1">
      <alignment horizontal="right"/>
    </xf>
    <xf numFmtId="0" fontId="6" fillId="0" borderId="9" xfId="6"/>
    <xf numFmtId="0" fontId="15" fillId="9" borderId="12" xfId="4" applyFont="1" applyFill="1" applyBorder="1"/>
    <xf numFmtId="0" fontId="15" fillId="9" borderId="12" xfId="4" applyFont="1" applyFill="1" applyBorder="1" applyAlignment="1">
      <alignment horizontal="right"/>
    </xf>
    <xf numFmtId="0" fontId="8" fillId="0" borderId="2" xfId="4" applyFont="1" applyBorder="1" applyAlignment="1">
      <alignment horizontal="center"/>
    </xf>
    <xf numFmtId="0" fontId="6" fillId="0" borderId="9" xfId="4" applyAlignment="1">
      <alignment horizontal="center"/>
    </xf>
    <xf numFmtId="0" fontId="7" fillId="0" borderId="1" xfId="6" applyFont="1" applyBorder="1"/>
    <xf numFmtId="0" fontId="8" fillId="0" borderId="1" xfId="6" applyFont="1" applyBorder="1"/>
    <xf numFmtId="0" fontId="9" fillId="0" borderId="2" xfId="6" applyFont="1" applyBorder="1" applyAlignment="1">
      <alignment horizontal="left"/>
    </xf>
    <xf numFmtId="0" fontId="8" fillId="0" borderId="2" xfId="6" applyFont="1" applyBorder="1"/>
    <xf numFmtId="0" fontId="9" fillId="0" borderId="9" xfId="6" applyFont="1" applyAlignment="1">
      <alignment horizontal="left"/>
    </xf>
    <xf numFmtId="0" fontId="8" fillId="0" borderId="9" xfId="6" applyFont="1" applyAlignment="1">
      <alignment horizontal="left"/>
    </xf>
    <xf numFmtId="0" fontId="6" fillId="0" borderId="9" xfId="6" applyAlignment="1">
      <alignment horizontal="left"/>
    </xf>
    <xf numFmtId="0" fontId="8" fillId="4" borderId="8" xfId="6" applyFont="1" applyFill="1" applyBorder="1" applyAlignment="1">
      <alignment horizontal="center" vertical="center"/>
    </xf>
    <xf numFmtId="15" fontId="6" fillId="0" borderId="9" xfId="6" applyNumberFormat="1"/>
    <xf numFmtId="0" fontId="13" fillId="2" borderId="9" xfId="6" applyFont="1" applyFill="1"/>
    <xf numFmtId="0" fontId="13" fillId="2" borderId="9" xfId="6" applyFont="1" applyFill="1" applyAlignment="1">
      <alignment horizontal="center"/>
    </xf>
    <xf numFmtId="166" fontId="13" fillId="2" borderId="4" xfId="6" applyNumberFormat="1" applyFont="1" applyFill="1" applyBorder="1" applyAlignment="1">
      <alignment horizontal="center"/>
    </xf>
    <xf numFmtId="166" fontId="13" fillId="2" borderId="5" xfId="6" applyNumberFormat="1" applyFont="1" applyFill="1" applyBorder="1" applyAlignment="1">
      <alignment horizontal="center"/>
    </xf>
    <xf numFmtId="0" fontId="9" fillId="0" borderId="9" xfId="6" applyFont="1"/>
    <xf numFmtId="37" fontId="8" fillId="0" borderId="10" xfId="6" applyNumberFormat="1" applyFont="1" applyBorder="1"/>
    <xf numFmtId="0" fontId="15" fillId="0" borderId="9" xfId="6" applyFont="1"/>
    <xf numFmtId="37" fontId="15" fillId="0" borderId="9" xfId="6" applyNumberFormat="1" applyFont="1"/>
    <xf numFmtId="0" fontId="15" fillId="0" borderId="7" xfId="6" applyFont="1" applyBorder="1"/>
    <xf numFmtId="165" fontId="8" fillId="0" borderId="9" xfId="6" applyNumberFormat="1" applyFont="1"/>
    <xf numFmtId="0" fontId="13" fillId="2" borderId="9" xfId="6" applyFont="1" applyFill="1" applyAlignment="1">
      <alignment horizontal="left"/>
    </xf>
    <xf numFmtId="170" fontId="13" fillId="2" borderId="9" xfId="6" applyNumberFormat="1" applyFont="1" applyFill="1" applyAlignment="1">
      <alignment horizontal="center"/>
    </xf>
    <xf numFmtId="170" fontId="13" fillId="2" borderId="4" xfId="6" applyNumberFormat="1" applyFont="1" applyFill="1" applyBorder="1" applyAlignment="1">
      <alignment horizontal="center"/>
    </xf>
    <xf numFmtId="166" fontId="13" fillId="2" borderId="9" xfId="6" applyNumberFormat="1" applyFont="1" applyFill="1" applyAlignment="1">
      <alignment horizontal="center"/>
    </xf>
    <xf numFmtId="15" fontId="13" fillId="2" borderId="4" xfId="6" applyNumberFormat="1" applyFont="1" applyFill="1" applyBorder="1" applyAlignment="1">
      <alignment horizontal="center"/>
    </xf>
    <xf numFmtId="14" fontId="8" fillId="0" borderId="9" xfId="6" applyNumberFormat="1" applyFont="1"/>
    <xf numFmtId="4" fontId="9" fillId="0" borderId="9" xfId="6" applyNumberFormat="1" applyFont="1"/>
    <xf numFmtId="39" fontId="9" fillId="0" borderId="9" xfId="6" applyNumberFormat="1" applyFont="1"/>
    <xf numFmtId="39" fontId="15" fillId="0" borderId="9" xfId="6" applyNumberFormat="1" applyFont="1"/>
    <xf numFmtId="164" fontId="8" fillId="0" borderId="9" xfId="6" applyNumberFormat="1" applyFont="1"/>
    <xf numFmtId="0" fontId="15" fillId="7" borderId="7" xfId="6" applyFont="1" applyFill="1" applyBorder="1"/>
    <xf numFmtId="0" fontId="8" fillId="7" borderId="7" xfId="6" applyFont="1" applyFill="1" applyBorder="1"/>
    <xf numFmtId="0" fontId="8" fillId="0" borderId="9" xfId="6" applyFont="1"/>
    <xf numFmtId="0" fontId="17" fillId="0" borderId="9" xfId="6" applyFont="1"/>
    <xf numFmtId="0" fontId="28" fillId="0" borderId="9" xfId="6" applyFont="1"/>
    <xf numFmtId="172" fontId="8" fillId="0" borderId="9" xfId="6" applyNumberFormat="1" applyFont="1"/>
    <xf numFmtId="0" fontId="17" fillId="0" borderId="9" xfId="6" applyFont="1" applyAlignment="1">
      <alignment horizontal="left"/>
    </xf>
    <xf numFmtId="0" fontId="17" fillId="0" borderId="7" xfId="6" applyFont="1" applyBorder="1" applyAlignment="1">
      <alignment horizontal="left"/>
    </xf>
    <xf numFmtId="0" fontId="28" fillId="0" borderId="7" xfId="6" applyFont="1" applyBorder="1"/>
    <xf numFmtId="0" fontId="8" fillId="0" borderId="7" xfId="6" applyFont="1" applyBorder="1"/>
    <xf numFmtId="0" fontId="15" fillId="7" borderId="9" xfId="6" applyFont="1" applyFill="1"/>
    <xf numFmtId="0" fontId="28" fillId="7" borderId="9" xfId="6" applyFont="1" applyFill="1"/>
    <xf numFmtId="165" fontId="15" fillId="0" borderId="9" xfId="6" applyNumberFormat="1" applyFont="1"/>
    <xf numFmtId="0" fontId="8" fillId="7" borderId="9" xfId="6" applyFont="1" applyFill="1"/>
    <xf numFmtId="0" fontId="25" fillId="0" borderId="9" xfId="6" applyFont="1"/>
    <xf numFmtId="0" fontId="15" fillId="7" borderId="11" xfId="6" applyFont="1" applyFill="1" applyBorder="1" applyAlignment="1">
      <alignment horizontal="left"/>
    </xf>
    <xf numFmtId="0" fontId="28" fillId="7" borderId="11" xfId="6" applyFont="1" applyFill="1" applyBorder="1"/>
    <xf numFmtId="0" fontId="8" fillId="7" borderId="11" xfId="6" applyFont="1" applyFill="1" applyBorder="1"/>
    <xf numFmtId="0" fontId="15" fillId="3" borderId="14" xfId="6" applyFont="1" applyFill="1" applyBorder="1"/>
    <xf numFmtId="0" fontId="15" fillId="3" borderId="11" xfId="6" applyFont="1" applyFill="1" applyBorder="1"/>
    <xf numFmtId="173" fontId="15" fillId="3" borderId="15" xfId="6" applyNumberFormat="1" applyFont="1" applyFill="1" applyBorder="1"/>
    <xf numFmtId="0" fontId="15" fillId="3" borderId="16" xfId="6" applyFont="1" applyFill="1" applyBorder="1"/>
    <xf numFmtId="0" fontId="15" fillId="3" borderId="7" xfId="6" applyFont="1" applyFill="1" applyBorder="1"/>
    <xf numFmtId="0" fontId="13" fillId="8" borderId="9" xfId="6" applyFont="1" applyFill="1" applyAlignment="1">
      <alignment horizontal="left"/>
    </xf>
    <xf numFmtId="173" fontId="30" fillId="2" borderId="14" xfId="6" applyNumberFormat="1" applyFont="1" applyFill="1" applyBorder="1"/>
    <xf numFmtId="37" fontId="15" fillId="6" borderId="7" xfId="6" applyNumberFormat="1" applyFont="1" applyFill="1" applyBorder="1"/>
    <xf numFmtId="0" fontId="6" fillId="6" borderId="9" xfId="6" applyFill="1"/>
    <xf numFmtId="37" fontId="8" fillId="6" borderId="10" xfId="6" applyNumberFormat="1" applyFont="1" applyFill="1" applyBorder="1"/>
    <xf numFmtId="37" fontId="15" fillId="6" borderId="9" xfId="6" applyNumberFormat="1" applyFont="1" applyFill="1"/>
    <xf numFmtId="37" fontId="15" fillId="6" borderId="10" xfId="6" applyNumberFormat="1" applyFont="1" applyFill="1" applyBorder="1"/>
    <xf numFmtId="37" fontId="15" fillId="6" borderId="6" xfId="6" applyNumberFormat="1" applyFont="1" applyFill="1" applyBorder="1"/>
    <xf numFmtId="0" fontId="6" fillId="0" borderId="9" xfId="6" applyAlignment="1">
      <alignment wrapText="1"/>
    </xf>
    <xf numFmtId="37" fontId="0" fillId="0" borderId="9" xfId="0" applyNumberFormat="1" applyBorder="1"/>
    <xf numFmtId="174" fontId="0" fillId="0" borderId="0" xfId="0" applyNumberFormat="1"/>
    <xf numFmtId="175" fontId="26" fillId="0" borderId="9" xfId="0" applyNumberFormat="1" applyFont="1" applyBorder="1"/>
    <xf numFmtId="175" fontId="26" fillId="0" borderId="10" xfId="0" applyNumberFormat="1" applyFont="1" applyBorder="1"/>
    <xf numFmtId="175" fontId="8" fillId="0" borderId="0" xfId="0" applyNumberFormat="1" applyFont="1"/>
    <xf numFmtId="175" fontId="27" fillId="0" borderId="9" xfId="3" applyNumberFormat="1" applyFont="1" applyFill="1" applyBorder="1"/>
    <xf numFmtId="175" fontId="27" fillId="0" borderId="10" xfId="3" applyNumberFormat="1" applyFont="1" applyFill="1" applyBorder="1"/>
    <xf numFmtId="175" fontId="15" fillId="0" borderId="0" xfId="0" applyNumberFormat="1" applyFont="1"/>
    <xf numFmtId="175" fontId="27" fillId="0" borderId="9" xfId="0" applyNumberFormat="1" applyFont="1" applyBorder="1"/>
    <xf numFmtId="175" fontId="27" fillId="0" borderId="10" xfId="0" applyNumberFormat="1" applyFont="1" applyBorder="1"/>
    <xf numFmtId="175" fontId="0" fillId="0" borderId="0" xfId="0" applyNumberFormat="1"/>
    <xf numFmtId="174" fontId="8" fillId="6" borderId="9" xfId="0" applyNumberFormat="1" applyFont="1" applyFill="1" applyBorder="1"/>
    <xf numFmtId="174" fontId="17" fillId="0" borderId="9" xfId="0" applyNumberFormat="1" applyFont="1" applyBorder="1" applyAlignment="1">
      <alignment horizontal="right"/>
    </xf>
    <xf numFmtId="174" fontId="17" fillId="0" borderId="10" xfId="0" applyNumberFormat="1" applyFont="1" applyBorder="1" applyAlignment="1">
      <alignment horizontal="right"/>
    </xf>
    <xf numFmtId="174" fontId="17" fillId="0" borderId="7" xfId="0" applyNumberFormat="1" applyFont="1" applyBorder="1" applyAlignment="1">
      <alignment horizontal="right"/>
    </xf>
    <xf numFmtId="174" fontId="17" fillId="0" borderId="6" xfId="0" applyNumberFormat="1" applyFont="1" applyBorder="1" applyAlignment="1">
      <alignment horizontal="right"/>
    </xf>
    <xf numFmtId="175" fontId="8" fillId="0" borderId="9" xfId="0" applyNumberFormat="1" applyFont="1" applyBorder="1"/>
    <xf numFmtId="175" fontId="8" fillId="0" borderId="21" xfId="0" applyNumberFormat="1" applyFont="1" applyBorder="1"/>
    <xf numFmtId="175" fontId="15" fillId="0" borderId="7" xfId="0" applyNumberFormat="1" applyFont="1" applyBorder="1"/>
    <xf numFmtId="175" fontId="0" fillId="0" borderId="9" xfId="0" applyNumberFormat="1" applyBorder="1"/>
    <xf numFmtId="175" fontId="15" fillId="0" borderId="9" xfId="0" applyNumberFormat="1" applyFont="1" applyBorder="1"/>
    <xf numFmtId="175" fontId="15" fillId="0" borderId="21" xfId="0" applyNumberFormat="1" applyFont="1" applyBorder="1"/>
    <xf numFmtId="175" fontId="15" fillId="0" borderId="22" xfId="0" applyNumberFormat="1" applyFont="1" applyBorder="1"/>
    <xf numFmtId="175" fontId="24" fillId="0" borderId="9" xfId="3" applyNumberFormat="1" applyFont="1" applyFill="1" applyBorder="1"/>
    <xf numFmtId="175" fontId="24" fillId="0" borderId="21" xfId="3" applyNumberFormat="1" applyFont="1" applyFill="1" applyBorder="1"/>
    <xf numFmtId="175" fontId="22" fillId="0" borderId="0" xfId="0" applyNumberFormat="1" applyFont="1"/>
    <xf numFmtId="175" fontId="15" fillId="0" borderId="12" xfId="0" applyNumberFormat="1" applyFont="1" applyBorder="1"/>
    <xf numFmtId="175" fontId="15" fillId="0" borderId="20" xfId="0" applyNumberFormat="1" applyFont="1" applyBorder="1"/>
    <xf numFmtId="175" fontId="8" fillId="6" borderId="0" xfId="0" applyNumberFormat="1" applyFont="1" applyFill="1"/>
    <xf numFmtId="175" fontId="8" fillId="0" borderId="10" xfId="0" applyNumberFormat="1" applyFont="1" applyBorder="1"/>
    <xf numFmtId="175" fontId="15" fillId="0" borderId="10" xfId="0" applyNumberFormat="1" applyFont="1" applyBorder="1"/>
    <xf numFmtId="174" fontId="0" fillId="6" borderId="0" xfId="0" applyNumberFormat="1" applyFill="1"/>
    <xf numFmtId="174" fontId="8" fillId="0" borderId="10" xfId="0" applyNumberFormat="1" applyFont="1" applyBorder="1"/>
    <xf numFmtId="174" fontId="8" fillId="0" borderId="0" xfId="0" applyNumberFormat="1" applyFont="1"/>
    <xf numFmtId="174" fontId="17" fillId="0" borderId="0" xfId="0" applyNumberFormat="1" applyFont="1"/>
    <xf numFmtId="174" fontId="17" fillId="0" borderId="10" xfId="0" applyNumberFormat="1" applyFont="1" applyBorder="1"/>
    <xf numFmtId="177" fontId="0" fillId="6" borderId="0" xfId="0" applyNumberFormat="1" applyFill="1"/>
    <xf numFmtId="177" fontId="8" fillId="0" borderId="0" xfId="0" applyNumberFormat="1" applyFont="1"/>
    <xf numFmtId="177" fontId="8" fillId="0" borderId="10" xfId="0" applyNumberFormat="1" applyFont="1" applyBorder="1"/>
    <xf numFmtId="175" fontId="15" fillId="0" borderId="6" xfId="0" applyNumberFormat="1" applyFont="1" applyBorder="1"/>
    <xf numFmtId="175" fontId="15" fillId="0" borderId="0" xfId="0" applyNumberFormat="1" applyFont="1" applyAlignment="1">
      <alignment horizontal="right"/>
    </xf>
    <xf numFmtId="175" fontId="15" fillId="0" borderId="13" xfId="0" applyNumberFormat="1" applyFont="1" applyBorder="1"/>
    <xf numFmtId="175" fontId="0" fillId="6" borderId="0" xfId="0" applyNumberFormat="1" applyFill="1"/>
    <xf numFmtId="175" fontId="8" fillId="6" borderId="10" xfId="0" applyNumberFormat="1" applyFont="1" applyFill="1" applyBorder="1"/>
    <xf numFmtId="174" fontId="17" fillId="0" borderId="12" xfId="0" applyNumberFormat="1" applyFont="1" applyBorder="1"/>
    <xf numFmtId="174" fontId="17" fillId="0" borderId="13" xfId="0" applyNumberFormat="1" applyFont="1" applyBorder="1"/>
    <xf numFmtId="174" fontId="17" fillId="0" borderId="7" xfId="0" applyNumberFormat="1" applyFont="1" applyBorder="1"/>
    <xf numFmtId="175" fontId="15" fillId="6" borderId="0" xfId="0" applyNumberFormat="1" applyFont="1" applyFill="1"/>
    <xf numFmtId="175" fontId="15" fillId="6" borderId="7" xfId="0" applyNumberFormat="1" applyFont="1" applyFill="1" applyBorder="1"/>
    <xf numFmtId="174" fontId="8" fillId="0" borderId="21" xfId="0" applyNumberFormat="1" applyFont="1" applyBorder="1"/>
    <xf numFmtId="175" fontId="8" fillId="0" borderId="9" xfId="4" applyNumberFormat="1" applyFont="1"/>
    <xf numFmtId="175" fontId="15" fillId="0" borderId="9" xfId="4" applyNumberFormat="1" applyFont="1"/>
    <xf numFmtId="174" fontId="25" fillId="0" borderId="9" xfId="4" applyNumberFormat="1" applyFont="1"/>
    <xf numFmtId="174" fontId="25" fillId="0" borderId="10" xfId="4" applyNumberFormat="1" applyFont="1" applyBorder="1"/>
    <xf numFmtId="174" fontId="25" fillId="0" borderId="7" xfId="4" applyNumberFormat="1" applyFont="1" applyBorder="1"/>
    <xf numFmtId="174" fontId="25" fillId="0" borderId="6" xfId="4" applyNumberFormat="1" applyFont="1" applyBorder="1"/>
    <xf numFmtId="175" fontId="36" fillId="0" borderId="10" xfId="4" applyNumberFormat="1" applyFont="1" applyBorder="1"/>
    <xf numFmtId="174" fontId="34" fillId="3" borderId="9" xfId="4" applyNumberFormat="1" applyFont="1" applyFill="1"/>
    <xf numFmtId="171" fontId="34" fillId="3" borderId="9" xfId="4" applyNumberFormat="1" applyFont="1" applyFill="1"/>
    <xf numFmtId="174" fontId="35" fillId="0" borderId="0" xfId="0" applyNumberFormat="1" applyFont="1"/>
    <xf numFmtId="169" fontId="35" fillId="0" borderId="0" xfId="0" applyNumberFormat="1" applyFont="1"/>
    <xf numFmtId="177" fontId="35" fillId="0" borderId="0" xfId="0" applyNumberFormat="1" applyFont="1"/>
    <xf numFmtId="175" fontId="34" fillId="0" borderId="9" xfId="0" applyNumberFormat="1" applyFont="1" applyBorder="1"/>
    <xf numFmtId="175" fontId="34" fillId="0" borderId="10" xfId="0" applyNumberFormat="1" applyFont="1" applyBorder="1"/>
    <xf numFmtId="175" fontId="36" fillId="0" borderId="9" xfId="0" applyNumberFormat="1" applyFont="1" applyBorder="1"/>
    <xf numFmtId="175" fontId="36" fillId="0" borderId="10" xfId="0" applyNumberFormat="1" applyFont="1" applyBorder="1"/>
    <xf numFmtId="175" fontId="8" fillId="0" borderId="9" xfId="6" applyNumberFormat="1" applyFont="1"/>
    <xf numFmtId="175" fontId="8" fillId="0" borderId="10" xfId="6" applyNumberFormat="1" applyFont="1" applyBorder="1"/>
    <xf numFmtId="174" fontId="25" fillId="6" borderId="9" xfId="6" applyNumberFormat="1" applyFont="1" applyFill="1"/>
    <xf numFmtId="174" fontId="25" fillId="0" borderId="9" xfId="6" applyNumberFormat="1" applyFont="1"/>
    <xf numFmtId="174" fontId="25" fillId="0" borderId="10" xfId="6" applyNumberFormat="1" applyFont="1" applyBorder="1"/>
    <xf numFmtId="175" fontId="15" fillId="0" borderId="9" xfId="6" applyNumberFormat="1" applyFont="1"/>
    <xf numFmtId="175" fontId="15" fillId="0" borderId="10" xfId="6" applyNumberFormat="1" applyFont="1" applyBorder="1"/>
    <xf numFmtId="175" fontId="8" fillId="6" borderId="9" xfId="6" applyNumberFormat="1" applyFont="1" applyFill="1"/>
    <xf numFmtId="175" fontId="6" fillId="0" borderId="9" xfId="6" applyNumberFormat="1"/>
    <xf numFmtId="175" fontId="15" fillId="6" borderId="7" xfId="6" applyNumberFormat="1" applyFont="1" applyFill="1" applyBorder="1"/>
    <xf numFmtId="175" fontId="15" fillId="0" borderId="7" xfId="6" applyNumberFormat="1" applyFont="1" applyBorder="1"/>
    <xf numFmtId="175" fontId="15" fillId="0" borderId="6" xfId="6" applyNumberFormat="1" applyFont="1" applyBorder="1"/>
    <xf numFmtId="178" fontId="9" fillId="0" borderId="9" xfId="6" applyNumberFormat="1" applyFont="1"/>
    <xf numFmtId="174" fontId="17" fillId="0" borderId="9" xfId="6" applyNumberFormat="1" applyFont="1"/>
    <xf numFmtId="175" fontId="17" fillId="0" borderId="9" xfId="6" applyNumberFormat="1" applyFont="1"/>
    <xf numFmtId="175" fontId="17" fillId="0" borderId="7" xfId="6" applyNumberFormat="1" applyFont="1" applyBorder="1"/>
    <xf numFmtId="175" fontId="29" fillId="7" borderId="9" xfId="6" applyNumberFormat="1" applyFont="1" applyFill="1"/>
    <xf numFmtId="175" fontId="29" fillId="7" borderId="11" xfId="6" applyNumberFormat="1" applyFont="1" applyFill="1" applyBorder="1"/>
    <xf numFmtId="174" fontId="15" fillId="3" borderId="17" xfId="6" applyNumberFormat="1" applyFont="1" applyFill="1" applyBorder="1"/>
    <xf numFmtId="176" fontId="8" fillId="0" borderId="9" xfId="6" applyNumberFormat="1" applyFont="1"/>
    <xf numFmtId="174" fontId="13" fillId="2" borderId="19" xfId="6" applyNumberFormat="1" applyFont="1" applyFill="1" applyBorder="1"/>
    <xf numFmtId="174" fontId="13" fillId="2" borderId="18" xfId="6" applyNumberFormat="1" applyFont="1" applyFill="1" applyBorder="1"/>
    <xf numFmtId="176" fontId="13" fillId="2" borderId="18" xfId="6" applyNumberFormat="1" applyFont="1" applyFill="1" applyBorder="1"/>
    <xf numFmtId="178" fontId="8" fillId="0" borderId="9" xfId="6" applyNumberFormat="1" applyFont="1"/>
    <xf numFmtId="175" fontId="34" fillId="0" borderId="9" xfId="6" applyNumberFormat="1" applyFont="1"/>
    <xf numFmtId="175" fontId="35" fillId="0" borderId="9" xfId="6" applyNumberFormat="1" applyFont="1"/>
    <xf numFmtId="175" fontId="35" fillId="0" borderId="10" xfId="6" applyNumberFormat="1" applyFont="1" applyBorder="1"/>
    <xf numFmtId="174" fontId="17" fillId="5" borderId="9" xfId="6" applyNumberFormat="1" applyFont="1" applyFill="1" applyAlignment="1">
      <alignment horizontal="center"/>
    </xf>
    <xf numFmtId="164" fontId="37" fillId="0" borderId="9" xfId="6" applyNumberFormat="1" applyFont="1" applyAlignment="1">
      <alignment horizontal="right"/>
    </xf>
    <xf numFmtId="164" fontId="37" fillId="0" borderId="9" xfId="4" applyNumberFormat="1" applyFont="1" applyAlignment="1">
      <alignment horizontal="right"/>
    </xf>
    <xf numFmtId="174" fontId="38" fillId="0" borderId="9" xfId="6" applyNumberFormat="1" applyFont="1"/>
    <xf numFmtId="174" fontId="38" fillId="0" borderId="10" xfId="6" applyNumberFormat="1" applyFont="1" applyBorder="1"/>
    <xf numFmtId="176" fontId="34" fillId="3" borderId="8" xfId="6" applyNumberFormat="1" applyFont="1" applyFill="1" applyBorder="1" applyAlignment="1">
      <alignment horizontal="center"/>
    </xf>
    <xf numFmtId="174" fontId="34" fillId="3" borderId="8" xfId="6" applyNumberFormat="1" applyFont="1" applyFill="1" applyBorder="1" applyAlignment="1">
      <alignment horizontal="center"/>
    </xf>
    <xf numFmtId="14" fontId="34" fillId="0" borderId="9" xfId="4" applyNumberFormat="1" applyFont="1"/>
    <xf numFmtId="178" fontId="34" fillId="0" borderId="9" xfId="4" applyNumberFormat="1" applyFont="1"/>
    <xf numFmtId="179" fontId="8" fillId="0" borderId="9" xfId="4" applyNumberFormat="1" applyFont="1"/>
    <xf numFmtId="178" fontId="15" fillId="9" borderId="12" xfId="4" applyNumberFormat="1" applyFont="1" applyFill="1" applyBorder="1"/>
    <xf numFmtId="175" fontId="35" fillId="0" borderId="9" xfId="4" applyNumberFormat="1" applyFont="1"/>
    <xf numFmtId="175" fontId="6" fillId="0" borderId="9" xfId="4" applyNumberFormat="1"/>
    <xf numFmtId="179" fontId="8" fillId="0" borderId="9" xfId="4" applyNumberFormat="1" applyFont="1" applyAlignment="1">
      <alignment horizontal="right"/>
    </xf>
    <xf numFmtId="179" fontId="15" fillId="0" borderId="7" xfId="4" applyNumberFormat="1" applyFont="1" applyBorder="1" applyAlignment="1">
      <alignment horizontal="right"/>
    </xf>
    <xf numFmtId="178" fontId="17" fillId="0" borderId="9" xfId="4" applyNumberFormat="1" applyFont="1"/>
    <xf numFmtId="10" fontId="8" fillId="6" borderId="9" xfId="4" applyNumberFormat="1" applyFont="1" applyFill="1"/>
    <xf numFmtId="174" fontId="34" fillId="3" borderId="9" xfId="2" applyNumberFormat="1" applyFont="1" applyFill="1" applyBorder="1"/>
    <xf numFmtId="175" fontId="34" fillId="0" borderId="0" xfId="0" applyNumberFormat="1" applyFont="1"/>
    <xf numFmtId="0" fontId="29" fillId="0" borderId="9" xfId="4" applyFont="1"/>
    <xf numFmtId="175" fontId="29" fillId="0" borderId="9" xfId="4" applyNumberFormat="1" applyFont="1"/>
    <xf numFmtId="175" fontId="29" fillId="0" borderId="10" xfId="4" applyNumberFormat="1" applyFont="1" applyBorder="1"/>
    <xf numFmtId="0" fontId="25" fillId="0" borderId="7" xfId="4" applyFont="1" applyBorder="1" applyAlignment="1">
      <alignment horizontal="left"/>
    </xf>
    <xf numFmtId="174" fontId="6" fillId="6" borderId="9" xfId="4" applyNumberFormat="1" applyFill="1"/>
    <xf numFmtId="0" fontId="17" fillId="6" borderId="7" xfId="4" applyFont="1" applyFill="1" applyBorder="1"/>
    <xf numFmtId="0" fontId="29" fillId="0" borderId="9" xfId="4" applyFont="1" applyAlignment="1">
      <alignment horizontal="left"/>
    </xf>
    <xf numFmtId="179" fontId="34" fillId="10" borderId="23" xfId="4" applyNumberFormat="1" applyFont="1" applyFill="1" applyBorder="1" applyAlignment="1">
      <alignment horizontal="right"/>
    </xf>
    <xf numFmtId="175" fontId="17" fillId="0" borderId="9" xfId="4" applyNumberFormat="1" applyFont="1" applyAlignment="1">
      <alignment horizontal="right"/>
    </xf>
    <xf numFmtId="179" fontId="35" fillId="0" borderId="9" xfId="6" applyNumberFormat="1" applyFont="1" applyAlignment="1">
      <alignment horizontal="right"/>
    </xf>
    <xf numFmtId="175" fontId="35" fillId="0" borderId="9" xfId="4" applyNumberFormat="1" applyFont="1" applyAlignment="1">
      <alignment horizontal="right"/>
    </xf>
    <xf numFmtId="174" fontId="35" fillId="0" borderId="9" xfId="4" applyNumberFormat="1" applyFont="1" applyAlignment="1">
      <alignment horizontal="right"/>
    </xf>
    <xf numFmtId="174" fontId="35" fillId="0" borderId="10" xfId="4" applyNumberFormat="1" applyFont="1" applyBorder="1" applyAlignment="1">
      <alignment horizontal="right"/>
    </xf>
    <xf numFmtId="171" fontId="35" fillId="0" borderId="9" xfId="4" applyNumberFormat="1" applyFont="1" applyAlignment="1">
      <alignment horizontal="right"/>
    </xf>
    <xf numFmtId="171" fontId="35" fillId="0" borderId="10" xfId="4" applyNumberFormat="1" applyFont="1" applyBorder="1" applyAlignment="1">
      <alignment horizontal="right"/>
    </xf>
    <xf numFmtId="164" fontId="33" fillId="0" borderId="9" xfId="4" applyNumberFormat="1" applyFont="1" applyAlignment="1">
      <alignment horizontal="right"/>
    </xf>
    <xf numFmtId="0" fontId="8" fillId="0" borderId="9" xfId="0" applyFont="1" applyBorder="1" applyAlignment="1">
      <alignment horizontal="left"/>
    </xf>
    <xf numFmtId="174" fontId="17" fillId="0" borderId="9" xfId="0" applyNumberFormat="1" applyFont="1" applyBorder="1"/>
    <xf numFmtId="0" fontId="8" fillId="0" borderId="7" xfId="0" applyFont="1" applyBorder="1" applyAlignment="1">
      <alignment horizontal="left"/>
    </xf>
    <xf numFmtId="0" fontId="15" fillId="0" borderId="7" xfId="0" applyFont="1" applyBorder="1"/>
    <xf numFmtId="0" fontId="8" fillId="0" borderId="9" xfId="4" applyFont="1"/>
    <xf numFmtId="177" fontId="35" fillId="6" borderId="9" xfId="4" applyNumberFormat="1" applyFont="1" applyFill="1" applyAlignment="1">
      <alignment horizontal="right"/>
    </xf>
    <xf numFmtId="177" fontId="35" fillId="0" borderId="9" xfId="4" applyNumberFormat="1" applyFont="1" applyAlignment="1">
      <alignment horizontal="right"/>
    </xf>
    <xf numFmtId="177" fontId="35" fillId="0" borderId="10" xfId="4" applyNumberFormat="1" applyFont="1" applyBorder="1" applyAlignment="1">
      <alignment horizontal="right"/>
    </xf>
    <xf numFmtId="177" fontId="34" fillId="3" borderId="9" xfId="4" applyNumberFormat="1" applyFont="1" applyFill="1"/>
    <xf numFmtId="180" fontId="33" fillId="0" borderId="0" xfId="0" applyNumberFormat="1" applyFont="1"/>
    <xf numFmtId="0" fontId="8" fillId="6" borderId="10" xfId="0" applyFont="1" applyFill="1" applyBorder="1"/>
    <xf numFmtId="175" fontId="15" fillId="6" borderId="10" xfId="0" applyNumberFormat="1" applyFont="1" applyFill="1" applyBorder="1"/>
    <xf numFmtId="0" fontId="39" fillId="0" borderId="0" xfId="0" applyFont="1"/>
    <xf numFmtId="175" fontId="33" fillId="0" borderId="0" xfId="0" applyNumberFormat="1" applyFont="1"/>
    <xf numFmtId="175" fontId="32" fillId="0" borderId="0" xfId="0" applyNumberFormat="1" applyFont="1"/>
    <xf numFmtId="174" fontId="33" fillId="0" borderId="0" xfId="0" applyNumberFormat="1" applyFont="1"/>
    <xf numFmtId="174" fontId="8" fillId="6" borderId="0" xfId="0" applyNumberFormat="1" applyFont="1" applyFill="1"/>
    <xf numFmtId="174" fontId="8" fillId="6" borderId="10" xfId="0" applyNumberFormat="1" applyFont="1" applyFill="1" applyBorder="1"/>
    <xf numFmtId="175" fontId="36" fillId="6" borderId="12" xfId="0" applyNumberFormat="1" applyFont="1" applyFill="1" applyBorder="1"/>
    <xf numFmtId="175" fontId="36" fillId="6" borderId="13" xfId="0" applyNumberFormat="1" applyFont="1" applyFill="1" applyBorder="1"/>
    <xf numFmtId="0" fontId="8" fillId="0" borderId="24" xfId="0" applyFont="1" applyBorder="1" applyAlignment="1">
      <alignment horizontal="left"/>
    </xf>
    <xf numFmtId="175" fontId="34" fillId="0" borderId="25" xfId="0" applyNumberFormat="1" applyFont="1" applyBorder="1"/>
    <xf numFmtId="175" fontId="17" fillId="0" borderId="25" xfId="0" applyNumberFormat="1" applyFont="1" applyBorder="1"/>
    <xf numFmtId="0" fontId="8" fillId="0" borderId="27" xfId="0" applyFont="1" applyBorder="1" applyAlignment="1">
      <alignment horizontal="left"/>
    </xf>
    <xf numFmtId="175" fontId="17" fillId="0" borderId="9" xfId="0" applyNumberFormat="1" applyFont="1" applyBorder="1"/>
    <xf numFmtId="175" fontId="17" fillId="0" borderId="28" xfId="0" applyNumberFormat="1" applyFont="1" applyBorder="1"/>
    <xf numFmtId="0" fontId="8" fillId="0" borderId="29" xfId="0" applyFont="1" applyBorder="1"/>
    <xf numFmtId="0" fontId="0" fillId="0" borderId="21" xfId="0" applyBorder="1"/>
    <xf numFmtId="0" fontId="8" fillId="0" borderId="12" xfId="0" applyFont="1" applyBorder="1" applyAlignment="1">
      <alignment horizontal="left"/>
    </xf>
    <xf numFmtId="175" fontId="34" fillId="0" borderId="21" xfId="0" applyNumberFormat="1" applyFont="1" applyBorder="1"/>
    <xf numFmtId="174" fontId="34" fillId="6" borderId="9" xfId="0" applyNumberFormat="1" applyFont="1" applyFill="1" applyBorder="1"/>
    <xf numFmtId="174" fontId="34" fillId="6" borderId="10" xfId="0" applyNumberFormat="1" applyFont="1" applyFill="1" applyBorder="1"/>
    <xf numFmtId="0" fontId="8" fillId="0" borderId="12" xfId="4" applyFont="1" applyBorder="1" applyAlignment="1">
      <alignment horizontal="left"/>
    </xf>
    <xf numFmtId="174" fontId="17" fillId="0" borderId="12" xfId="4" applyNumberFormat="1" applyFont="1" applyBorder="1"/>
    <xf numFmtId="174" fontId="17" fillId="0" borderId="13" xfId="4" applyNumberFormat="1" applyFont="1" applyBorder="1"/>
    <xf numFmtId="174" fontId="8" fillId="0" borderId="12" xfId="4" applyNumberFormat="1" applyFont="1" applyBorder="1"/>
    <xf numFmtId="0" fontId="15" fillId="0" borderId="9" xfId="4" applyFont="1" applyAlignment="1">
      <alignment horizontal="left"/>
    </xf>
    <xf numFmtId="175" fontId="36" fillId="0" borderId="9" xfId="4" applyNumberFormat="1" applyFont="1"/>
    <xf numFmtId="175" fontId="40" fillId="0" borderId="26" xfId="0" applyNumberFormat="1" applyFont="1" applyBorder="1"/>
    <xf numFmtId="0" fontId="33" fillId="0" borderId="9" xfId="4" applyFont="1"/>
    <xf numFmtId="0" fontId="8" fillId="0" borderId="9" xfId="4" applyFont="1" applyAlignment="1">
      <alignment horizontal="left" indent="1"/>
    </xf>
    <xf numFmtId="174" fontId="34" fillId="0" borderId="9" xfId="4" applyNumberFormat="1" applyFont="1"/>
    <xf numFmtId="174" fontId="34" fillId="0" borderId="9" xfId="4" applyNumberFormat="1" applyFont="1" applyAlignment="1">
      <alignment horizontal="right"/>
    </xf>
    <xf numFmtId="174" fontId="34" fillId="0" borderId="10" xfId="4" applyNumberFormat="1" applyFont="1" applyBorder="1" applyAlignment="1">
      <alignment horizontal="right"/>
    </xf>
    <xf numFmtId="174" fontId="40" fillId="0" borderId="9" xfId="4" applyNumberFormat="1" applyFont="1" applyAlignment="1">
      <alignment horizontal="right"/>
    </xf>
    <xf numFmtId="174" fontId="40" fillId="0" borderId="10" xfId="4" applyNumberFormat="1" applyFont="1" applyBorder="1" applyAlignment="1">
      <alignment horizontal="right"/>
    </xf>
    <xf numFmtId="174" fontId="35" fillId="6" borderId="9" xfId="4" applyNumberFormat="1" applyFont="1" applyFill="1" applyAlignment="1">
      <alignment horizontal="right"/>
    </xf>
    <xf numFmtId="174" fontId="8" fillId="0" borderId="9" xfId="0" applyNumberFormat="1" applyFont="1" applyBorder="1"/>
    <xf numFmtId="0" fontId="6" fillId="0" borderId="21" xfId="4" applyBorder="1"/>
    <xf numFmtId="0" fontId="6" fillId="6" borderId="9" xfId="4" applyFill="1"/>
    <xf numFmtId="0" fontId="6" fillId="6" borderId="21" xfId="4" applyFill="1" applyBorder="1"/>
    <xf numFmtId="175" fontId="17" fillId="0" borderId="0" xfId="0" applyNumberFormat="1" applyFont="1"/>
    <xf numFmtId="166" fontId="0" fillId="0" borderId="0" xfId="0" applyNumberFormat="1" applyAlignment="1">
      <alignment horizontal="left" indent="1"/>
    </xf>
    <xf numFmtId="0" fontId="24" fillId="0" borderId="12" xfId="0" applyFont="1" applyBorder="1"/>
    <xf numFmtId="175" fontId="24" fillId="0" borderId="12" xfId="0" applyNumberFormat="1" applyFont="1" applyBorder="1"/>
    <xf numFmtId="0" fontId="15" fillId="0" borderId="9" xfId="0" applyFont="1" applyBorder="1" applyAlignment="1">
      <alignment horizontal="left"/>
    </xf>
    <xf numFmtId="175" fontId="15" fillId="0" borderId="9" xfId="0" applyNumberFormat="1" applyFont="1" applyBorder="1" applyAlignment="1">
      <alignment horizontal="right"/>
    </xf>
    <xf numFmtId="175" fontId="34" fillId="0" borderId="9" xfId="0" applyNumberFormat="1" applyFont="1" applyBorder="1" applyAlignment="1">
      <alignment horizontal="right"/>
    </xf>
    <xf numFmtId="182" fontId="33" fillId="10" borderId="9" xfId="4" applyNumberFormat="1" applyFont="1" applyFill="1"/>
    <xf numFmtId="182" fontId="33" fillId="0" borderId="9" xfId="4" applyNumberFormat="1" applyFont="1"/>
    <xf numFmtId="175" fontId="17" fillId="0" borderId="10" xfId="0" applyNumberFormat="1" applyFont="1" applyBorder="1"/>
    <xf numFmtId="175" fontId="24" fillId="0" borderId="20" xfId="0" applyNumberFormat="1" applyFont="1" applyBorder="1"/>
    <xf numFmtId="0" fontId="39" fillId="0" borderId="9" xfId="4" applyFont="1"/>
    <xf numFmtId="0" fontId="0" fillId="6" borderId="9" xfId="0" applyFill="1" applyBorder="1"/>
    <xf numFmtId="0" fontId="0" fillId="6" borderId="21" xfId="0" applyFill="1" applyBorder="1"/>
    <xf numFmtId="0" fontId="11" fillId="0" borderId="9" xfId="0" applyFont="1" applyBorder="1" applyAlignment="1">
      <alignment horizontal="left"/>
    </xf>
    <xf numFmtId="0" fontId="0" fillId="6" borderId="12" xfId="0" applyFill="1" applyBorder="1"/>
    <xf numFmtId="0" fontId="0" fillId="6" borderId="20" xfId="0" applyFill="1" applyBorder="1"/>
    <xf numFmtId="175" fontId="0" fillId="0" borderId="12" xfId="0" applyNumberFormat="1" applyBorder="1"/>
    <xf numFmtId="181" fontId="25" fillId="0" borderId="9" xfId="4" applyNumberFormat="1" applyFont="1"/>
    <xf numFmtId="179" fontId="35" fillId="0" borderId="9" xfId="4" applyNumberFormat="1" applyFont="1" applyAlignment="1">
      <alignment horizontal="right"/>
    </xf>
    <xf numFmtId="180" fontId="32" fillId="0" borderId="0" xfId="0" applyNumberFormat="1" applyFont="1"/>
    <xf numFmtId="179" fontId="33" fillId="0" borderId="0" xfId="0" applyNumberFormat="1" applyFont="1"/>
    <xf numFmtId="179" fontId="32" fillId="0" borderId="0" xfId="0" applyNumberFormat="1" applyFont="1"/>
    <xf numFmtId="174" fontId="32" fillId="0" borderId="0" xfId="0" applyNumberFormat="1" applyFont="1"/>
    <xf numFmtId="167" fontId="8" fillId="0" borderId="0" xfId="0" applyNumberFormat="1" applyFont="1"/>
    <xf numFmtId="37" fontId="8" fillId="0" borderId="21" xfId="0" applyNumberFormat="1" applyFont="1" applyBorder="1"/>
    <xf numFmtId="0" fontId="22" fillId="0" borderId="21" xfId="0" applyFont="1" applyBorder="1"/>
    <xf numFmtId="174" fontId="0" fillId="0" borderId="21" xfId="0" applyNumberFormat="1" applyBorder="1"/>
    <xf numFmtId="175" fontId="41" fillId="0" borderId="9" xfId="4" applyNumberFormat="1" applyFont="1"/>
    <xf numFmtId="0" fontId="8" fillId="0" borderId="27" xfId="0" applyFont="1" applyBorder="1"/>
    <xf numFmtId="175" fontId="8" fillId="0" borderId="28" xfId="0" applyNumberFormat="1" applyFont="1" applyBorder="1"/>
    <xf numFmtId="175" fontId="32" fillId="0" borderId="12" xfId="0" applyNumberFormat="1" applyFont="1" applyBorder="1"/>
    <xf numFmtId="175" fontId="32" fillId="0" borderId="30" xfId="0" applyNumberFormat="1" applyFont="1" applyBorder="1"/>
    <xf numFmtId="175" fontId="34" fillId="0" borderId="33" xfId="0" applyNumberFormat="1" applyFont="1" applyBorder="1"/>
    <xf numFmtId="0" fontId="6" fillId="6" borderId="12" xfId="4" applyFill="1" applyBorder="1"/>
    <xf numFmtId="0" fontId="6" fillId="6" borderId="20" xfId="4" applyFill="1" applyBorder="1"/>
    <xf numFmtId="174" fontId="34" fillId="3" borderId="12" xfId="4" applyNumberFormat="1" applyFont="1" applyFill="1" applyBorder="1"/>
    <xf numFmtId="0" fontId="8" fillId="0" borderId="12" xfId="4" applyFont="1" applyBorder="1" applyAlignment="1">
      <alignment horizontal="left" indent="1"/>
    </xf>
    <xf numFmtId="174" fontId="35" fillId="6" borderId="12" xfId="4" applyNumberFormat="1" applyFont="1" applyFill="1" applyBorder="1" applyAlignment="1">
      <alignment horizontal="right"/>
    </xf>
    <xf numFmtId="174" fontId="34" fillId="0" borderId="12" xfId="4" applyNumberFormat="1" applyFont="1" applyBorder="1" applyAlignment="1">
      <alignment horizontal="right"/>
    </xf>
    <xf numFmtId="174" fontId="34" fillId="0" borderId="13" xfId="4" applyNumberFormat="1" applyFont="1" applyBorder="1" applyAlignment="1">
      <alignment horizontal="right"/>
    </xf>
    <xf numFmtId="37" fontId="8" fillId="0" borderId="9" xfId="0" applyNumberFormat="1" applyFont="1" applyBorder="1"/>
    <xf numFmtId="37" fontId="8" fillId="6" borderId="0" xfId="0" applyNumberFormat="1" applyFont="1" applyFill="1"/>
    <xf numFmtId="175" fontId="17" fillId="0" borderId="20" xfId="0" applyNumberFormat="1" applyFont="1" applyBorder="1"/>
    <xf numFmtId="175" fontId="8" fillId="0" borderId="12" xfId="0" applyNumberFormat="1" applyFont="1" applyBorder="1"/>
    <xf numFmtId="175" fontId="8" fillId="0" borderId="13" xfId="0" applyNumberFormat="1" applyFont="1" applyBorder="1"/>
    <xf numFmtId="0" fontId="26" fillId="0" borderId="0" xfId="0" applyFont="1"/>
    <xf numFmtId="175" fontId="0" fillId="0" borderId="21" xfId="0" applyNumberFormat="1" applyBorder="1"/>
    <xf numFmtId="175" fontId="22" fillId="0" borderId="9" xfId="0" applyNumberFormat="1" applyFont="1" applyBorder="1"/>
    <xf numFmtId="175" fontId="10" fillId="0" borderId="21" xfId="0" applyNumberFormat="1" applyFont="1" applyBorder="1"/>
    <xf numFmtId="175" fontId="23" fillId="0" borderId="0" xfId="0" applyNumberFormat="1" applyFont="1"/>
    <xf numFmtId="175" fontId="17" fillId="0" borderId="10" xfId="6" applyNumberFormat="1" applyFont="1" applyBorder="1"/>
    <xf numFmtId="0" fontId="5" fillId="0" borderId="9" xfId="4" applyFont="1"/>
    <xf numFmtId="0" fontId="5" fillId="0" borderId="9" xfId="4" applyFont="1" applyAlignment="1">
      <alignment horizontal="left"/>
    </xf>
    <xf numFmtId="0" fontId="5" fillId="0" borderId="9" xfId="4" applyFont="1" applyAlignment="1">
      <alignment horizontal="right"/>
    </xf>
    <xf numFmtId="0" fontId="5" fillId="0" borderId="12" xfId="4" applyFont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166" fontId="5" fillId="0" borderId="0" xfId="0" applyNumberFormat="1" applyFont="1" applyAlignment="1">
      <alignment horizontal="left" indent="1"/>
    </xf>
    <xf numFmtId="175" fontId="5" fillId="0" borderId="0" xfId="0" applyNumberFormat="1" applyFont="1"/>
    <xf numFmtId="0" fontId="5" fillId="0" borderId="0" xfId="0" applyFont="1" applyAlignment="1">
      <alignment wrapText="1"/>
    </xf>
    <xf numFmtId="0" fontId="5" fillId="0" borderId="9" xfId="0" applyFont="1" applyBorder="1"/>
    <xf numFmtId="0" fontId="5" fillId="0" borderId="0" xfId="0" applyFont="1" applyAlignment="1">
      <alignment horizontal="left" indent="1"/>
    </xf>
    <xf numFmtId="0" fontId="5" fillId="0" borderId="12" xfId="0" applyFont="1" applyBorder="1"/>
    <xf numFmtId="0" fontId="5" fillId="0" borderId="9" xfId="6" applyFont="1" applyAlignment="1">
      <alignment horizontal="right"/>
    </xf>
    <xf numFmtId="0" fontId="5" fillId="0" borderId="9" xfId="6" applyFont="1"/>
    <xf numFmtId="174" fontId="17" fillId="0" borderId="21" xfId="0" applyNumberFormat="1" applyFont="1" applyBorder="1"/>
    <xf numFmtId="174" fontId="8" fillId="6" borderId="21" xfId="0" applyNumberFormat="1" applyFont="1" applyFill="1" applyBorder="1"/>
    <xf numFmtId="0" fontId="4" fillId="0" borderId="0" xfId="0" applyFont="1"/>
    <xf numFmtId="175" fontId="8" fillId="6" borderId="21" xfId="0" applyNumberFormat="1" applyFont="1" applyFill="1" applyBorder="1"/>
    <xf numFmtId="0" fontId="3" fillId="0" borderId="0" xfId="0" applyFont="1"/>
    <xf numFmtId="0" fontId="42" fillId="0" borderId="0" xfId="0" applyFont="1"/>
    <xf numFmtId="0" fontId="2" fillId="0" borderId="0" xfId="0" applyFont="1"/>
    <xf numFmtId="0" fontId="1" fillId="0" borderId="0" xfId="0" applyFont="1"/>
    <xf numFmtId="175" fontId="36" fillId="0" borderId="0" xfId="0" applyNumberFormat="1" applyFont="1"/>
    <xf numFmtId="175" fontId="36" fillId="0" borderId="21" xfId="0" applyNumberFormat="1" applyFont="1" applyBorder="1"/>
    <xf numFmtId="175" fontId="24" fillId="0" borderId="0" xfId="0" applyNumberFormat="1" applyFont="1"/>
    <xf numFmtId="175" fontId="24" fillId="0" borderId="21" xfId="0" applyNumberFormat="1" applyFont="1" applyBorder="1"/>
    <xf numFmtId="0" fontId="13" fillId="2" borderId="9" xfId="0" applyFont="1" applyFill="1" applyBorder="1" applyAlignment="1">
      <alignment horizontal="center"/>
    </xf>
    <xf numFmtId="0" fontId="14" fillId="0" borderId="9" xfId="0" applyFont="1" applyBorder="1"/>
    <xf numFmtId="0" fontId="14" fillId="0" borderId="3" xfId="0" applyFont="1" applyBorder="1"/>
    <xf numFmtId="0" fontId="5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13" fillId="2" borderId="9" xfId="4" applyFont="1" applyFill="1" applyAlignment="1">
      <alignment horizontal="center"/>
    </xf>
    <xf numFmtId="0" fontId="14" fillId="0" borderId="9" xfId="4" applyFont="1"/>
    <xf numFmtId="0" fontId="14" fillId="0" borderId="3" xfId="4" applyFont="1" applyBorder="1"/>
    <xf numFmtId="0" fontId="13" fillId="2" borderId="31" xfId="4" applyFont="1" applyFill="1" applyBorder="1" applyAlignment="1">
      <alignment horizontal="center"/>
    </xf>
    <xf numFmtId="0" fontId="13" fillId="2" borderId="32" xfId="4" applyFont="1" applyFill="1" applyBorder="1" applyAlignment="1">
      <alignment horizontal="center"/>
    </xf>
    <xf numFmtId="0" fontId="5" fillId="0" borderId="9" xfId="6" applyFont="1" applyAlignment="1">
      <alignment horizontal="center" vertical="center" wrapText="1"/>
    </xf>
    <xf numFmtId="0" fontId="13" fillId="8" borderId="9" xfId="6" applyFont="1" applyFill="1" applyAlignment="1">
      <alignment horizontal="center"/>
    </xf>
    <xf numFmtId="0" fontId="14" fillId="0" borderId="9" xfId="6" applyFont="1"/>
    <xf numFmtId="0" fontId="13" fillId="8" borderId="9" xfId="6" applyFont="1" applyFill="1" applyAlignment="1">
      <alignment horizontal="center" vertical="center" textRotation="90" wrapText="1"/>
    </xf>
    <xf numFmtId="0" fontId="13" fillId="2" borderId="9" xfId="6" applyFont="1" applyFill="1" applyAlignment="1">
      <alignment horizontal="center"/>
    </xf>
    <xf numFmtId="0" fontId="14" fillId="0" borderId="3" xfId="6" applyFont="1" applyBorder="1"/>
  </cellXfs>
  <cellStyles count="7">
    <cellStyle name="Comma" xfId="3" builtinId="3"/>
    <cellStyle name="Comma 2" xfId="5" xr:uid="{424C8167-4317-49B5-A16E-DACC6D1461CF}"/>
    <cellStyle name="Normal" xfId="0" builtinId="0"/>
    <cellStyle name="Normal 2" xfId="1" xr:uid="{226DB6D9-033B-D348-B46A-6C48F3A2EA05}"/>
    <cellStyle name="Normal 2 2" xfId="6" xr:uid="{69E3BDD3-B2E5-45B7-93F2-BD99ECE76C0B}"/>
    <cellStyle name="Normal 3" xfId="4" xr:uid="{EC52DC17-4131-4871-84F2-B1FEF6FA6A80}"/>
    <cellStyle name="Percent" xfId="2" builtinId="5"/>
  </cellStyles>
  <dxfs count="2"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EF2CB"/>
      <color rgb="FFD8D8D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amiedu-my.sharepoint.com/Users/enzocardozorojas/Desktop/TAMID/Copy%20of%20Portfolio%20Review%20Financial%20Summary%20(USE%20IN%20MS%20EXCEL%20ONLY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Inputs"/>
      <sheetName val="Financial Summary"/>
      <sheetName val="Operating Model"/>
      <sheetName val="DCF"/>
      <sheetName val="Comps"/>
      <sheetName val="Comps Business Descriptions"/>
      <sheetName val="Income Statement"/>
      <sheetName val="Balance Sheet"/>
      <sheetName val="Cash Flow Statement"/>
      <sheetName val="Stock Price"/>
      <sheetName val="Graphics"/>
    </sheetNames>
    <sheetDataSet>
      <sheetData sheetId="0" refreshError="1"/>
      <sheetData sheetId="1" refreshError="1"/>
      <sheetData sheetId="2" refreshError="1"/>
      <sheetData sheetId="3">
        <row r="40">
          <cell r="D40">
            <v>2228</v>
          </cell>
        </row>
        <row r="44">
          <cell r="D44">
            <v>0.29570000000000002</v>
          </cell>
        </row>
      </sheetData>
      <sheetData sheetId="4" refreshError="1"/>
      <sheetData sheetId="5" refreshError="1"/>
      <sheetData sheetId="6" refreshError="1"/>
      <sheetData sheetId="7">
        <row r="6">
          <cell r="M6">
            <v>1946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F5229C-4070-B74C-B64C-BE750DDCDCA1}">
  <we:reference id="wa200001456" version="3.1.1.0" store="en-US" storeType="OMEX"/>
  <we:alternateReferences>
    <we:reference id="wa200001456" version="3.1.1.0" store="en-US" storeType="OMEX"/>
  </we:alternateReferences>
  <we:properties>
    <we:property name="Office.DisableTrustUX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FDS</we:customFunctionIds>
        <we:customFunctionIds>FDSN</we:customFunctionIds>
        <we:customFunctionIds>FDSZ</we:customFunctionIds>
        <we:customFunctionIds>FDSB</we:customFunctionIds>
        <we:customFunctionIds>FDSC</we:customFunctionIds>
        <we:customFunctionIds>FDSR</we:customFunctionIds>
        <we:customFunctionIds>FDSRN</we:customFunctionIds>
        <we:customFunctionIds>FDSRZ</we:customFunctionIds>
        <we:customFunctionIds>FDSRB</we:customFunctionIds>
        <we:customFunctionIds>FDSRC</we:customFunctionIds>
        <we:customFunctionIds>FDSLIVE</we:customFunctionIds>
        <we:customFunctionIds>FactSetLive.RTDFunction.1.FDSLIVE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6046-B93D-4B1C-9EC6-5095768477C6}">
  <dimension ref="C1:K56"/>
  <sheetViews>
    <sheetView showGridLines="0" tabSelected="1" zoomScale="85" zoomScaleNormal="85" workbookViewId="0"/>
  </sheetViews>
  <sheetFormatPr defaultColWidth="14.44140625" defaultRowHeight="14.4" customHeight="1"/>
  <cols>
    <col min="1" max="1" width="1.6640625" style="29" customWidth="1"/>
    <col min="2" max="2" width="2.6640625" style="29" customWidth="1"/>
    <col min="3" max="3" width="45.6640625" style="29" customWidth="1"/>
    <col min="4" max="11" width="12.5546875" style="29" bestFit="1" customWidth="1"/>
    <col min="12" max="12" width="2.6640625" style="29" customWidth="1"/>
    <col min="13" max="13" width="8.6640625" style="29" customWidth="1"/>
    <col min="14" max="18" width="11.33203125" style="29" customWidth="1"/>
    <col min="19" max="23" width="8.6640625" style="29" customWidth="1"/>
    <col min="24" max="16384" width="14.44140625" style="29"/>
  </cols>
  <sheetData>
    <row r="1" spans="3:11" ht="14.4" customHeight="1" thickBot="1"/>
    <row r="2" spans="3:11" ht="18" customHeight="1">
      <c r="C2" s="30" t="str">
        <f>"Revenue Build &amp; Growth Drivers For "&amp;D5</f>
        <v>Revenue Build &amp; Growth Drivers For TopBuild Corp.</v>
      </c>
      <c r="D2" s="31"/>
      <c r="E2" s="31"/>
      <c r="F2" s="31"/>
      <c r="G2" s="31"/>
      <c r="H2" s="31"/>
      <c r="I2" s="31"/>
      <c r="J2" s="31"/>
      <c r="K2" s="31"/>
    </row>
    <row r="3" spans="3:11" ht="14.4" customHeight="1" thickBot="1">
      <c r="C3" s="32" t="s">
        <v>0</v>
      </c>
      <c r="D3" s="33"/>
      <c r="E3" s="33"/>
      <c r="F3" s="33"/>
      <c r="G3" s="33"/>
      <c r="H3" s="33"/>
      <c r="I3" s="33"/>
      <c r="J3" s="33"/>
      <c r="K3" s="33"/>
    </row>
    <row r="4" spans="3:11" ht="14.4" customHeight="1">
      <c r="C4" s="34"/>
    </row>
    <row r="5" spans="3:11" ht="14.4" customHeight="1">
      <c r="C5" s="35" t="s">
        <v>1</v>
      </c>
      <c r="D5" s="375" t="s">
        <v>2</v>
      </c>
      <c r="F5" s="36"/>
    </row>
    <row r="6" spans="3:11" ht="14.4" customHeight="1">
      <c r="C6" s="35" t="s">
        <v>3</v>
      </c>
      <c r="D6" s="376" t="s">
        <v>4</v>
      </c>
      <c r="F6" s="35"/>
    </row>
    <row r="7" spans="3:11" ht="14.4" customHeight="1">
      <c r="C7" s="35" t="s">
        <v>5</v>
      </c>
      <c r="D7" s="63">
        <v>45394</v>
      </c>
      <c r="F7" s="37"/>
    </row>
    <row r="8" spans="3:11" ht="14.4" customHeight="1">
      <c r="C8" s="35" t="s">
        <v>6</v>
      </c>
      <c r="D8" s="63">
        <v>45393</v>
      </c>
      <c r="F8" s="38"/>
    </row>
    <row r="9" spans="3:11" ht="14.4" customHeight="1">
      <c r="C9" s="35" t="s">
        <v>7</v>
      </c>
      <c r="D9" s="270">
        <v>421.45</v>
      </c>
    </row>
    <row r="11" spans="3:11" ht="14.4" customHeight="1">
      <c r="C11" s="39" t="s">
        <v>8</v>
      </c>
      <c r="D11" s="406" t="s">
        <v>9</v>
      </c>
      <c r="E11" s="407"/>
      <c r="F11" s="408"/>
      <c r="G11" s="406" t="s">
        <v>10</v>
      </c>
      <c r="H11" s="407"/>
      <c r="I11" s="407"/>
      <c r="J11" s="407"/>
      <c r="K11" s="407"/>
    </row>
    <row r="12" spans="3:11" ht="14.4" customHeight="1">
      <c r="C12" s="39"/>
      <c r="D12" s="40">
        <f>'Financial Statement Model'!D12</f>
        <v>44561</v>
      </c>
      <c r="E12" s="40">
        <f>'Financial Statement Model'!E12</f>
        <v>44926</v>
      </c>
      <c r="F12" s="41">
        <f>'Financial Statement Model'!F12</f>
        <v>45291</v>
      </c>
      <c r="G12" s="40">
        <f>'Financial Statement Model'!G12</f>
        <v>45657</v>
      </c>
      <c r="H12" s="40">
        <f>'Financial Statement Model'!H12</f>
        <v>46022</v>
      </c>
      <c r="I12" s="40">
        <f>'Financial Statement Model'!I12</f>
        <v>46387</v>
      </c>
      <c r="J12" s="40">
        <f>'Financial Statement Model'!J12</f>
        <v>46752</v>
      </c>
      <c r="K12" s="40">
        <f>'Financial Statement Model'!K12</f>
        <v>47118</v>
      </c>
    </row>
    <row r="14" spans="3:11" ht="14.4" customHeight="1">
      <c r="C14" s="255" t="s">
        <v>11</v>
      </c>
      <c r="D14" s="256">
        <f>+D20+D23-D26</f>
        <v>3486207</v>
      </c>
      <c r="E14" s="256">
        <f t="shared" ref="E14:K14" si="0">+E20+E23-E26</f>
        <v>5008744</v>
      </c>
      <c r="F14" s="257">
        <f t="shared" si="0"/>
        <v>5194694</v>
      </c>
      <c r="G14" s="256">
        <f t="shared" si="0"/>
        <v>5387941.1661529616</v>
      </c>
      <c r="H14" s="256">
        <f t="shared" si="0"/>
        <v>5546043.0735262986</v>
      </c>
      <c r="I14" s="256">
        <f t="shared" si="0"/>
        <v>5726018.4417750696</v>
      </c>
      <c r="J14" s="256">
        <f t="shared" si="0"/>
        <v>5949773.4497745363</v>
      </c>
      <c r="K14" s="256">
        <f t="shared" si="0"/>
        <v>6205869.8315617442</v>
      </c>
    </row>
    <row r="15" spans="3:11" ht="14.4" customHeight="1">
      <c r="C15" s="258" t="s">
        <v>12</v>
      </c>
      <c r="D15" s="260"/>
      <c r="E15" s="197">
        <f>+E14/D14-1</f>
        <v>0.4367316685440652</v>
      </c>
      <c r="F15" s="198">
        <f t="shared" ref="F15:K15" si="1">+F14/E14-1</f>
        <v>3.7125075667672425E-2</v>
      </c>
      <c r="G15" s="197">
        <f t="shared" si="1"/>
        <v>3.7200875769190844E-2</v>
      </c>
      <c r="H15" s="197">
        <f t="shared" si="1"/>
        <v>2.9343658829560582E-2</v>
      </c>
      <c r="I15" s="197">
        <f t="shared" si="1"/>
        <v>3.2451130628226244E-2</v>
      </c>
      <c r="J15" s="197">
        <f t="shared" si="1"/>
        <v>3.9076892656689122E-2</v>
      </c>
      <c r="K15" s="197">
        <f t="shared" si="1"/>
        <v>4.3043047596528661E-2</v>
      </c>
    </row>
    <row r="16" spans="3:11" ht="14.4" customHeight="1">
      <c r="C16" s="34"/>
      <c r="E16" s="43"/>
      <c r="F16" s="43"/>
      <c r="G16" s="340"/>
      <c r="H16" s="340"/>
      <c r="I16" s="340"/>
      <c r="J16" s="340"/>
      <c r="K16" s="43"/>
    </row>
    <row r="17" spans="3:11" ht="14.4" customHeight="1">
      <c r="C17" s="39" t="s">
        <v>13</v>
      </c>
      <c r="D17" s="406" t="s">
        <v>9</v>
      </c>
      <c r="E17" s="407"/>
      <c r="F17" s="408"/>
      <c r="G17" s="406" t="s">
        <v>10</v>
      </c>
      <c r="H17" s="407"/>
      <c r="I17" s="407"/>
      <c r="J17" s="407"/>
      <c r="K17" s="407"/>
    </row>
    <row r="18" spans="3:11" ht="14.4" customHeight="1">
      <c r="C18" s="39"/>
      <c r="D18" s="40">
        <f>'Financial Statement Model'!D12</f>
        <v>44561</v>
      </c>
      <c r="E18" s="40">
        <f>'Financial Statement Model'!E12</f>
        <v>44926</v>
      </c>
      <c r="F18" s="41">
        <f>'Financial Statement Model'!F12</f>
        <v>45291</v>
      </c>
      <c r="G18" s="40">
        <f>'Financial Statement Model'!G12</f>
        <v>45657</v>
      </c>
      <c r="H18" s="40">
        <f>'Financial Statement Model'!H12</f>
        <v>46022</v>
      </c>
      <c r="I18" s="40">
        <f>'Financial Statement Model'!I12</f>
        <v>46387</v>
      </c>
      <c r="J18" s="40">
        <f>'Financial Statement Model'!J12</f>
        <v>46752</v>
      </c>
      <c r="K18" s="40">
        <f>'Financial Statement Model'!K12</f>
        <v>47118</v>
      </c>
    </row>
    <row r="20" spans="3:11" ht="14.4" customHeight="1">
      <c r="C20" s="42" t="s">
        <v>14</v>
      </c>
      <c r="D20" s="308">
        <v>2378401</v>
      </c>
      <c r="E20" s="308">
        <v>2969978</v>
      </c>
      <c r="F20" s="199">
        <v>3188232</v>
      </c>
      <c r="G20" s="194">
        <f>+F20*(1+G21)</f>
        <v>3331702.44</v>
      </c>
      <c r="H20" s="194">
        <f t="shared" ref="H20:K20" si="2">+G20*(1+H21)</f>
        <v>3448312.0253999997</v>
      </c>
      <c r="I20" s="194">
        <f t="shared" si="2"/>
        <v>3569002.9462889996</v>
      </c>
      <c r="J20" s="194">
        <f t="shared" si="2"/>
        <v>3729608.0788720045</v>
      </c>
      <c r="K20" s="194">
        <f t="shared" si="2"/>
        <v>3897440.4424212445</v>
      </c>
    </row>
    <row r="21" spans="3:11" ht="14.4" customHeight="1">
      <c r="C21" s="34" t="s">
        <v>12</v>
      </c>
      <c r="D21" s="259"/>
      <c r="E21" s="195">
        <f>+E20/D20-1</f>
        <v>0.24872887288560674</v>
      </c>
      <c r="F21" s="196">
        <f>+F20/E20-1</f>
        <v>7.348673963241481E-2</v>
      </c>
      <c r="G21" s="195">
        <f>+SUM(G34:G36)</f>
        <v>4.4999999999999998E-2</v>
      </c>
      <c r="H21" s="195">
        <f t="shared" ref="H21:K21" si="3">+SUM(H34:H36)</f>
        <v>3.5000000000000003E-2</v>
      </c>
      <c r="I21" s="195">
        <f t="shared" si="3"/>
        <v>3.4999999999999996E-2</v>
      </c>
      <c r="J21" s="195">
        <f t="shared" si="3"/>
        <v>4.4999999999999998E-2</v>
      </c>
      <c r="K21" s="195">
        <f t="shared" si="3"/>
        <v>4.4999999999999998E-2</v>
      </c>
    </row>
    <row r="22" spans="3:11" ht="14.4" customHeight="1">
      <c r="C22" s="34"/>
      <c r="E22" s="43"/>
      <c r="F22" s="44"/>
      <c r="G22" s="43"/>
      <c r="H22" s="43"/>
      <c r="I22" s="43"/>
      <c r="J22" s="43"/>
      <c r="K22" s="43"/>
    </row>
    <row r="23" spans="3:11" ht="14.4" customHeight="1">
      <c r="C23" s="261" t="s">
        <v>15</v>
      </c>
      <c r="D23" s="308">
        <v>1287176</v>
      </c>
      <c r="E23" s="308">
        <v>2278261</v>
      </c>
      <c r="F23" s="199">
        <v>2268339</v>
      </c>
      <c r="G23" s="194">
        <f>+F23*(1+G24)</f>
        <v>2325047.4749999996</v>
      </c>
      <c r="H23" s="194">
        <f t="shared" ref="H23" si="4">+G23*(1+H24)</f>
        <v>2371548.4244999997</v>
      </c>
      <c r="I23" s="194">
        <f t="shared" ref="I23" si="5">+H23*(1+I24)</f>
        <v>2442694.8772349996</v>
      </c>
      <c r="J23" s="194">
        <f t="shared" ref="J23" si="6">+I23*(1+J24)</f>
        <v>2515975.7235520496</v>
      </c>
      <c r="K23" s="194">
        <f t="shared" ref="K23" si="7">+J23*(1+K24)</f>
        <v>2616614.7524941317</v>
      </c>
    </row>
    <row r="24" spans="3:11" ht="14.4" customHeight="1">
      <c r="C24" s="34" t="s">
        <v>12</v>
      </c>
      <c r="D24" s="259"/>
      <c r="E24" s="195">
        <f>+E23/D23-1</f>
        <v>0.7699685202334412</v>
      </c>
      <c r="F24" s="196">
        <f>+F23/E23-1</f>
        <v>-4.3550760865413984E-3</v>
      </c>
      <c r="G24" s="195">
        <f>+SUM(G39:G41)</f>
        <v>2.4999999999999998E-2</v>
      </c>
      <c r="H24" s="195">
        <f t="shared" ref="H24:K24" si="8">+SUM(H39:H41)</f>
        <v>0.02</v>
      </c>
      <c r="I24" s="195">
        <f t="shared" si="8"/>
        <v>0.03</v>
      </c>
      <c r="J24" s="195">
        <f t="shared" si="8"/>
        <v>0.03</v>
      </c>
      <c r="K24" s="195">
        <f t="shared" si="8"/>
        <v>0.04</v>
      </c>
    </row>
    <row r="25" spans="3:11" ht="14.4" customHeight="1">
      <c r="C25" s="34"/>
      <c r="E25" s="43"/>
      <c r="F25" s="44"/>
      <c r="G25" s="43"/>
      <c r="H25" s="43"/>
      <c r="I25" s="43"/>
      <c r="J25" s="43"/>
      <c r="K25" s="43"/>
    </row>
    <row r="26" spans="3:11" ht="14.4" customHeight="1">
      <c r="C26" s="307" t="s">
        <v>16</v>
      </c>
      <c r="D26" s="308">
        <v>179370</v>
      </c>
      <c r="E26" s="308">
        <v>239495</v>
      </c>
      <c r="F26" s="199">
        <v>261877</v>
      </c>
      <c r="G26" s="193">
        <f>+G27*(G23+G20)</f>
        <v>268808.7488470375</v>
      </c>
      <c r="H26" s="193">
        <f>+H27*(H23+H20)</f>
        <v>273817.37637370051</v>
      </c>
      <c r="I26" s="193">
        <f>+I27*(I23+I20)</f>
        <v>285679.38174892962</v>
      </c>
      <c r="J26" s="193">
        <f>+J27*(J23+J20)</f>
        <v>295810.35264951794</v>
      </c>
      <c r="K26" s="193">
        <f>+K27*(K23+K20)</f>
        <v>308185.36335363274</v>
      </c>
    </row>
    <row r="27" spans="3:11" ht="14.4" customHeight="1">
      <c r="C27" s="303" t="s">
        <v>17</v>
      </c>
      <c r="D27" s="304">
        <f>+D26/(D23+D20)</f>
        <v>4.8933633095144369E-2</v>
      </c>
      <c r="E27" s="304">
        <f>+E26/(E23+E20)</f>
        <v>4.5633401984932473E-2</v>
      </c>
      <c r="F27" s="305">
        <f>+F26/(F23+F20)</f>
        <v>4.7992961147211313E-2</v>
      </c>
      <c r="G27" s="306">
        <f>+AVERAGE(D27:F27)</f>
        <v>4.7519998742429383E-2</v>
      </c>
      <c r="H27" s="306">
        <f t="shared" ref="H27:K27" si="9">+AVERAGE(E27:G27)</f>
        <v>4.704878729152439E-2</v>
      </c>
      <c r="I27" s="306">
        <f t="shared" si="9"/>
        <v>4.75205823937217E-2</v>
      </c>
      <c r="J27" s="306">
        <f t="shared" si="9"/>
        <v>4.736312280922516E-2</v>
      </c>
      <c r="K27" s="306">
        <f t="shared" si="9"/>
        <v>4.7310830831490423E-2</v>
      </c>
    </row>
    <row r="28" spans="3:11" ht="14.4" customHeight="1">
      <c r="C28" s="34"/>
      <c r="E28" s="43"/>
      <c r="F28" s="43"/>
      <c r="G28" s="43"/>
      <c r="H28" s="43"/>
      <c r="I28" s="43"/>
      <c r="J28" s="43"/>
      <c r="K28" s="43"/>
    </row>
    <row r="29" spans="3:11" ht="14.4" customHeight="1" thickBot="1">
      <c r="C29" s="45" t="s">
        <v>18</v>
      </c>
      <c r="D29" s="33"/>
      <c r="E29" s="33"/>
      <c r="F29" s="33"/>
      <c r="G29" s="33"/>
      <c r="H29" s="33"/>
      <c r="I29" s="33"/>
      <c r="J29" s="33"/>
      <c r="K29" s="33"/>
    </row>
    <row r="31" spans="3:11" ht="14.4" customHeight="1">
      <c r="C31" s="46" t="s">
        <v>19</v>
      </c>
      <c r="D31" s="406" t="s">
        <v>9</v>
      </c>
      <c r="E31" s="407"/>
      <c r="F31" s="408"/>
      <c r="G31" s="406" t="s">
        <v>10</v>
      </c>
      <c r="H31" s="407"/>
      <c r="I31" s="407"/>
      <c r="J31" s="407"/>
      <c r="K31" s="407"/>
    </row>
    <row r="32" spans="3:11" ht="14.4" customHeight="1">
      <c r="C32" s="46"/>
      <c r="D32" s="40">
        <f>'Financial Statement Model'!D12</f>
        <v>44561</v>
      </c>
      <c r="E32" s="40">
        <f>'Financial Statement Model'!E12</f>
        <v>44926</v>
      </c>
      <c r="F32" s="41">
        <f>'Financial Statement Model'!F12</f>
        <v>45291</v>
      </c>
      <c r="G32" s="40">
        <f>'Financial Statement Model'!G12</f>
        <v>45657</v>
      </c>
      <c r="H32" s="40">
        <f>'Financial Statement Model'!H12</f>
        <v>46022</v>
      </c>
      <c r="I32" s="40">
        <f>'Financial Statement Model'!I12</f>
        <v>46387</v>
      </c>
      <c r="J32" s="40">
        <f>'Financial Statement Model'!J12</f>
        <v>46752</v>
      </c>
      <c r="K32" s="40">
        <f>'Financial Statement Model'!K12</f>
        <v>47118</v>
      </c>
    </row>
    <row r="33" spans="3:11" ht="14.4" customHeight="1">
      <c r="C33" s="35" t="s">
        <v>20</v>
      </c>
    </row>
    <row r="34" spans="3:11" ht="14.4" customHeight="1">
      <c r="C34" s="311" t="s">
        <v>21</v>
      </c>
      <c r="D34" s="317"/>
      <c r="E34" s="313">
        <v>0.122</v>
      </c>
      <c r="F34" s="314">
        <v>3.5999999999999997E-2</v>
      </c>
      <c r="G34" s="200">
        <v>1.4999999999999999E-2</v>
      </c>
      <c r="H34" s="200">
        <v>5.0000000000000001E-3</v>
      </c>
      <c r="I34" s="200">
        <v>5.0000000000000001E-3</v>
      </c>
      <c r="J34" s="200">
        <v>5.0000000000000001E-3</v>
      </c>
      <c r="K34" s="200">
        <v>5.0000000000000001E-3</v>
      </c>
    </row>
    <row r="35" spans="3:11" ht="14.4" customHeight="1">
      <c r="C35" s="311" t="s">
        <v>22</v>
      </c>
      <c r="D35" s="317"/>
      <c r="E35" s="313">
        <v>9.1999999999999998E-2</v>
      </c>
      <c r="F35" s="314">
        <v>0</v>
      </c>
      <c r="G35" s="200">
        <v>-5.0000000000000001E-3</v>
      </c>
      <c r="H35" s="200">
        <v>-5.0000000000000001E-3</v>
      </c>
      <c r="I35" s="200">
        <v>0</v>
      </c>
      <c r="J35" s="200">
        <v>0.01</v>
      </c>
      <c r="K35" s="200">
        <v>0.01</v>
      </c>
    </row>
    <row r="36" spans="3:11" ht="14.4" customHeight="1">
      <c r="C36" s="311" t="s">
        <v>23</v>
      </c>
      <c r="D36" s="317"/>
      <c r="E36" s="313">
        <v>3.4000000000000002E-2</v>
      </c>
      <c r="F36" s="314">
        <v>3.5999999999999997E-2</v>
      </c>
      <c r="G36" s="200">
        <v>3.5000000000000003E-2</v>
      </c>
      <c r="H36" s="200">
        <v>3.5000000000000003E-2</v>
      </c>
      <c r="I36" s="200">
        <v>0.03</v>
      </c>
      <c r="J36" s="200">
        <v>0.03</v>
      </c>
      <c r="K36" s="200">
        <v>0.03</v>
      </c>
    </row>
    <row r="37" spans="3:11" ht="14.4" customHeight="1">
      <c r="C37" s="311"/>
      <c r="D37" s="266"/>
      <c r="E37" s="315"/>
      <c r="F37" s="316"/>
      <c r="G37" s="312"/>
      <c r="H37" s="312"/>
      <c r="I37" s="312"/>
      <c r="J37" s="312"/>
      <c r="K37" s="312"/>
    </row>
    <row r="38" spans="3:11" ht="14.4" customHeight="1">
      <c r="C38" s="35" t="s">
        <v>24</v>
      </c>
      <c r="E38" s="310"/>
      <c r="F38" s="316"/>
    </row>
    <row r="39" spans="3:11" ht="14.4" customHeight="1">
      <c r="C39" s="311" t="s">
        <v>21</v>
      </c>
      <c r="D39" s="317"/>
      <c r="E39" s="313">
        <v>0.158</v>
      </c>
      <c r="F39" s="314">
        <v>1.0999999999999999E-2</v>
      </c>
      <c r="G39" s="200">
        <v>1.4999999999999999E-2</v>
      </c>
      <c r="H39" s="200">
        <v>5.0000000000000001E-3</v>
      </c>
      <c r="I39" s="200">
        <v>5.0000000000000001E-3</v>
      </c>
      <c r="J39" s="200">
        <v>5.0000000000000001E-3</v>
      </c>
      <c r="K39" s="200">
        <v>5.0000000000000001E-3</v>
      </c>
    </row>
    <row r="40" spans="3:11" ht="14.4" customHeight="1">
      <c r="C40" s="311" t="s">
        <v>22</v>
      </c>
      <c r="D40" s="317"/>
      <c r="E40" s="313">
        <v>-6.0000000000000001E-3</v>
      </c>
      <c r="F40" s="314">
        <v>-1.6E-2</v>
      </c>
      <c r="G40" s="200">
        <v>-5.0000000000000001E-3</v>
      </c>
      <c r="H40" s="200">
        <v>0</v>
      </c>
      <c r="I40" s="200">
        <v>0.01</v>
      </c>
      <c r="J40" s="200">
        <v>0.01</v>
      </c>
      <c r="K40" s="200">
        <v>0.02</v>
      </c>
    </row>
    <row r="41" spans="3:11" ht="14.4" customHeight="1">
      <c r="C41" s="359" t="s">
        <v>23</v>
      </c>
      <c r="D41" s="360"/>
      <c r="E41" s="361">
        <v>0.61799999999999999</v>
      </c>
      <c r="F41" s="362">
        <v>0</v>
      </c>
      <c r="G41" s="358">
        <v>1.4999999999999999E-2</v>
      </c>
      <c r="H41" s="358">
        <v>1.4999999999999999E-2</v>
      </c>
      <c r="I41" s="358">
        <v>1.4999999999999999E-2</v>
      </c>
      <c r="J41" s="358">
        <v>1.4999999999999999E-2</v>
      </c>
      <c r="K41" s="358">
        <v>1.4999999999999999E-2</v>
      </c>
    </row>
    <row r="43" spans="3:11" ht="14.4" customHeight="1">
      <c r="C43" s="46" t="s">
        <v>25</v>
      </c>
      <c r="D43" s="406" t="s">
        <v>9</v>
      </c>
      <c r="E43" s="407"/>
      <c r="F43" s="408"/>
      <c r="G43" s="409" t="s">
        <v>10</v>
      </c>
      <c r="H43" s="410"/>
      <c r="I43" s="410"/>
      <c r="J43" s="410"/>
      <c r="K43" s="410"/>
    </row>
    <row r="44" spans="3:11" ht="14.4" customHeight="1">
      <c r="C44" s="46"/>
      <c r="D44" s="40">
        <f>'Financial Statement Model'!D12</f>
        <v>44561</v>
      </c>
      <c r="E44" s="40">
        <f>'Financial Statement Model'!E12</f>
        <v>44926</v>
      </c>
      <c r="F44" s="41">
        <f>'Financial Statement Model'!F12</f>
        <v>45291</v>
      </c>
      <c r="G44" s="40">
        <f>'Financial Statement Model'!G12</f>
        <v>45657</v>
      </c>
      <c r="H44" s="40">
        <f>'Financial Statement Model'!H12</f>
        <v>46022</v>
      </c>
      <c r="I44" s="40">
        <f>'Financial Statement Model'!I12</f>
        <v>46387</v>
      </c>
      <c r="J44" s="40">
        <f>'Financial Statement Model'!J12</f>
        <v>46752</v>
      </c>
      <c r="K44" s="40">
        <f>'Financial Statement Model'!K12</f>
        <v>47118</v>
      </c>
    </row>
    <row r="45" spans="3:11" ht="14.4" customHeight="1">
      <c r="C45" s="36" t="s">
        <v>26</v>
      </c>
    </row>
    <row r="46" spans="3:11" ht="14.4" customHeight="1">
      <c r="C46" s="35" t="s">
        <v>27</v>
      </c>
      <c r="D46" s="266">
        <f>'Financial Statement Model'!D35</f>
        <v>0.27949832009401621</v>
      </c>
      <c r="E46" s="266">
        <f>'Financial Statement Model'!E35</f>
        <v>0.29682471294200702</v>
      </c>
      <c r="F46" s="267">
        <f>'Financial Statement Model'!F35</f>
        <v>0.30874195862162429</v>
      </c>
      <c r="G46" s="200">
        <v>0.31</v>
      </c>
      <c r="H46" s="200">
        <v>0.315</v>
      </c>
      <c r="I46" s="200">
        <v>0.317</v>
      </c>
      <c r="J46" s="200">
        <v>0.31900000000000001</v>
      </c>
      <c r="K46" s="200">
        <v>0.32100000000000001</v>
      </c>
    </row>
    <row r="47" spans="3:11" ht="14.4" customHeight="1">
      <c r="C47" s="35" t="s">
        <v>28</v>
      </c>
      <c r="D47" s="266">
        <f>'Financial Statement Model'!D36</f>
        <v>0.13828696919029765</v>
      </c>
      <c r="E47" s="266">
        <f>'Financial Statement Model'!E36</f>
        <v>0.13741069617452997</v>
      </c>
      <c r="F47" s="267">
        <f>'Financial Statement Model'!F36</f>
        <v>0.13644595812573368</v>
      </c>
      <c r="G47" s="200">
        <v>0.13500000000000001</v>
      </c>
      <c r="H47" s="200">
        <v>0.13500000000000001</v>
      </c>
      <c r="I47" s="200">
        <v>0.13500000000000001</v>
      </c>
      <c r="J47" s="200">
        <v>0.13500000000000001</v>
      </c>
      <c r="K47" s="200">
        <v>0.13500000000000001</v>
      </c>
    </row>
    <row r="48" spans="3:11" ht="14.4" customHeight="1">
      <c r="C48" s="35" t="s">
        <v>29</v>
      </c>
      <c r="D48" s="266">
        <f>'Financial Statement Model'!D37</f>
        <v>0</v>
      </c>
      <c r="E48" s="266">
        <f>'Financial Statement Model'!E37</f>
        <v>0</v>
      </c>
      <c r="F48" s="267">
        <f>'Financial Statement Model'!F37</f>
        <v>0</v>
      </c>
      <c r="G48" s="200">
        <v>0</v>
      </c>
      <c r="H48" s="200">
        <v>0</v>
      </c>
      <c r="I48" s="200">
        <v>0</v>
      </c>
      <c r="J48" s="200">
        <v>0</v>
      </c>
      <c r="K48" s="200">
        <v>0</v>
      </c>
    </row>
    <row r="49" spans="3:11" ht="14.4" customHeight="1">
      <c r="C49" s="29" t="s">
        <v>30</v>
      </c>
      <c r="D49" s="268">
        <f>'Financial Statement Model'!D118</f>
        <v>69.982343274510086</v>
      </c>
      <c r="E49" s="268">
        <f>'Financial Statement Model'!E118</f>
        <v>60.926634501583628</v>
      </c>
      <c r="F49" s="269">
        <f>'Financial Statement Model'!F118</f>
        <v>56.141571572839517</v>
      </c>
      <c r="G49" s="201">
        <v>55</v>
      </c>
      <c r="H49" s="201">
        <v>55</v>
      </c>
      <c r="I49" s="201">
        <v>55</v>
      </c>
      <c r="J49" s="201">
        <v>55</v>
      </c>
      <c r="K49" s="201">
        <v>55</v>
      </c>
    </row>
    <row r="50" spans="3:11" ht="14.4" customHeight="1">
      <c r="C50" s="275" t="s">
        <v>31</v>
      </c>
      <c r="D50" s="276"/>
      <c r="E50" s="277">
        <f>'Financial Statement Model'!E129</f>
        <v>8.029347261104677</v>
      </c>
      <c r="F50" s="278">
        <f>'Financial Statement Model'!F129</f>
        <v>9.8452667856584721</v>
      </c>
      <c r="G50" s="279">
        <v>10</v>
      </c>
      <c r="H50" s="279">
        <v>10</v>
      </c>
      <c r="I50" s="279">
        <v>10</v>
      </c>
      <c r="J50" s="279">
        <v>10</v>
      </c>
      <c r="K50" s="279">
        <v>10</v>
      </c>
    </row>
    <row r="51" spans="3:11" ht="14.4" customHeight="1">
      <c r="C51" s="374" t="s">
        <v>32</v>
      </c>
      <c r="D51" s="268">
        <f>+'Financial Statement Model'!D145</f>
        <v>67.122580139166132</v>
      </c>
      <c r="E51" s="268">
        <f>+'Financial Statement Model'!E145</f>
        <v>50.481359445205527</v>
      </c>
      <c r="F51" s="269">
        <f>+'Financial Statement Model'!F145</f>
        <v>47.731701251561596</v>
      </c>
      <c r="G51" s="201">
        <v>50</v>
      </c>
      <c r="H51" s="201">
        <v>50</v>
      </c>
      <c r="I51" s="201">
        <v>50</v>
      </c>
      <c r="J51" s="201">
        <v>50</v>
      </c>
      <c r="K51" s="201">
        <v>50</v>
      </c>
    </row>
    <row r="52" spans="3:11" ht="14.4" customHeight="1">
      <c r="F52" s="319"/>
    </row>
    <row r="53" spans="3:11" ht="14.4" customHeight="1">
      <c r="C53" s="333" t="s">
        <v>33</v>
      </c>
      <c r="F53" s="319"/>
    </row>
    <row r="54" spans="3:11" ht="14.4" customHeight="1">
      <c r="C54" s="374" t="s">
        <v>34</v>
      </c>
      <c r="D54" s="320"/>
      <c r="E54" s="320"/>
      <c r="F54" s="321"/>
      <c r="G54" s="200">
        <v>0.5</v>
      </c>
      <c r="H54" s="200">
        <v>0.5</v>
      </c>
      <c r="I54" s="200">
        <v>0.5</v>
      </c>
      <c r="J54" s="200">
        <v>0.5</v>
      </c>
      <c r="K54" s="200">
        <v>0.5</v>
      </c>
    </row>
    <row r="55" spans="3:11" ht="14.4" customHeight="1">
      <c r="C55" s="374" t="s">
        <v>35</v>
      </c>
      <c r="D55" s="320"/>
      <c r="E55" s="320"/>
      <c r="F55" s="321"/>
      <c r="G55" s="200">
        <v>0.3</v>
      </c>
      <c r="H55" s="200">
        <v>0.3</v>
      </c>
      <c r="I55" s="200">
        <v>0.3</v>
      </c>
      <c r="J55" s="200">
        <v>0.3</v>
      </c>
      <c r="K55" s="200">
        <v>0.3</v>
      </c>
    </row>
    <row r="56" spans="3:11" ht="14.4" customHeight="1">
      <c r="C56" s="377" t="s">
        <v>36</v>
      </c>
      <c r="D56" s="356"/>
      <c r="E56" s="356"/>
      <c r="F56" s="357"/>
      <c r="G56" s="358">
        <v>0.2</v>
      </c>
      <c r="H56" s="358">
        <v>0.2</v>
      </c>
      <c r="I56" s="358">
        <v>0.2</v>
      </c>
      <c r="J56" s="358">
        <v>0.2</v>
      </c>
      <c r="K56" s="358">
        <v>0.2</v>
      </c>
    </row>
  </sheetData>
  <mergeCells count="8">
    <mergeCell ref="D43:F43"/>
    <mergeCell ref="G43:K43"/>
    <mergeCell ref="D11:F11"/>
    <mergeCell ref="G11:K11"/>
    <mergeCell ref="D17:F17"/>
    <mergeCell ref="G17:K17"/>
    <mergeCell ref="D31:F31"/>
    <mergeCell ref="G31:K31"/>
  </mergeCells>
  <printOptions horizontalCentered="1" verticalCentered="1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AA346"/>
  <sheetViews>
    <sheetView showGridLines="0" zoomScale="85" zoomScaleNormal="85" workbookViewId="0"/>
  </sheetViews>
  <sheetFormatPr defaultColWidth="14.44140625" defaultRowHeight="14.4" customHeight="1"/>
  <cols>
    <col min="1" max="1" width="1.6640625" customWidth="1"/>
    <col min="2" max="2" width="2.6640625" customWidth="1"/>
    <col min="3" max="3" width="45.6640625" customWidth="1"/>
    <col min="4" max="11" width="12.5546875" bestFit="1" customWidth="1"/>
    <col min="12" max="12" width="2.6640625" customWidth="1"/>
    <col min="13" max="13" width="12.5546875" bestFit="1" customWidth="1"/>
    <col min="14" max="14" width="2.6640625" customWidth="1"/>
    <col min="15" max="25" width="8.6640625" customWidth="1"/>
  </cols>
  <sheetData>
    <row r="1" spans="3:23" ht="14.4" customHeight="1" thickBot="1"/>
    <row r="2" spans="3:23" ht="18" customHeight="1">
      <c r="C2" s="1" t="str">
        <f>"Financial Statement Model For "&amp;D5</f>
        <v>Financial Statement Model For TopBuild Corp.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3:23" ht="14.4" customHeight="1" thickBot="1">
      <c r="C3" s="3" t="s">
        <v>37</v>
      </c>
      <c r="D3" s="4"/>
      <c r="E3" s="4"/>
      <c r="F3" s="4"/>
      <c r="G3" s="4"/>
      <c r="H3" s="4"/>
      <c r="I3" s="4"/>
      <c r="J3" s="4"/>
      <c r="K3" s="4"/>
      <c r="L3" s="4"/>
      <c r="M3" s="4"/>
    </row>
    <row r="4" spans="3:23" ht="14.4" customHeight="1">
      <c r="C4" s="5"/>
    </row>
    <row r="5" spans="3:23" ht="14.4" customHeight="1">
      <c r="C5" s="35" t="s">
        <v>1</v>
      </c>
      <c r="D5" s="74" t="str">
        <f>'Revenue Build &amp; Growth Drivers'!D5</f>
        <v>TopBuild Corp.</v>
      </c>
      <c r="G5" s="6" t="s">
        <v>38</v>
      </c>
      <c r="H5" s="6"/>
      <c r="J5" s="15">
        <v>1</v>
      </c>
      <c r="O5" s="378"/>
      <c r="P5" s="379"/>
      <c r="Q5" s="379"/>
      <c r="R5" s="379"/>
      <c r="S5" s="379"/>
      <c r="T5" s="379"/>
      <c r="U5" s="379"/>
      <c r="V5" s="379"/>
      <c r="W5" s="379"/>
    </row>
    <row r="6" spans="3:23" ht="14.4" customHeight="1">
      <c r="C6" s="35" t="s">
        <v>3</v>
      </c>
      <c r="D6" s="75" t="str">
        <f>'Revenue Build &amp; Growth Drivers'!D6</f>
        <v>BLD</v>
      </c>
      <c r="F6" s="7"/>
      <c r="O6" s="378"/>
      <c r="P6" s="379"/>
      <c r="Q6" s="379"/>
      <c r="R6" s="379"/>
      <c r="S6" s="379"/>
      <c r="T6" s="379"/>
      <c r="U6" s="379"/>
      <c r="V6" s="379"/>
      <c r="W6" s="379"/>
    </row>
    <row r="7" spans="3:23" ht="14.4" customHeight="1">
      <c r="C7" s="35" t="s">
        <v>5</v>
      </c>
      <c r="D7" s="76">
        <f>'Revenue Build &amp; Growth Drivers'!D7</f>
        <v>45394</v>
      </c>
      <c r="F7" s="8" t="s">
        <v>39</v>
      </c>
    </row>
    <row r="8" spans="3:23" ht="14.4" customHeight="1">
      <c r="C8" s="35" t="s">
        <v>6</v>
      </c>
      <c r="D8" s="76">
        <f>'Revenue Build &amp; Growth Drivers'!D8</f>
        <v>45393</v>
      </c>
      <c r="F8" s="20"/>
      <c r="H8" s="380"/>
    </row>
    <row r="9" spans="3:23" ht="14.4" customHeight="1">
      <c r="C9" s="35" t="s">
        <v>7</v>
      </c>
      <c r="D9" s="238">
        <f>'Revenue Build &amp; Growth Drivers'!D9</f>
        <v>421.45</v>
      </c>
      <c r="F9" s="9"/>
    </row>
    <row r="11" spans="3:23" ht="14.4" customHeight="1">
      <c r="C11" s="51" t="s">
        <v>40</v>
      </c>
      <c r="D11" s="401" t="s">
        <v>9</v>
      </c>
      <c r="E11" s="402"/>
      <c r="F11" s="403"/>
      <c r="G11" s="401" t="s">
        <v>10</v>
      </c>
      <c r="H11" s="402"/>
      <c r="I11" s="402"/>
      <c r="J11" s="402"/>
      <c r="K11" s="402"/>
      <c r="M11" s="48" t="s">
        <v>41</v>
      </c>
    </row>
    <row r="12" spans="3:23" ht="14.4" customHeight="1">
      <c r="C12" s="51"/>
      <c r="D12" s="10">
        <v>44561</v>
      </c>
      <c r="E12" s="10">
        <f t="shared" ref="E12:K12" si="0">EOMONTH(D12,12)</f>
        <v>44926</v>
      </c>
      <c r="F12" s="11">
        <f t="shared" si="0"/>
        <v>45291</v>
      </c>
      <c r="G12" s="10">
        <f>EOMONTH(F12,12)</f>
        <v>45657</v>
      </c>
      <c r="H12" s="10">
        <f t="shared" si="0"/>
        <v>46022</v>
      </c>
      <c r="I12" s="10">
        <f t="shared" si="0"/>
        <v>46387</v>
      </c>
      <c r="J12" s="10">
        <f t="shared" si="0"/>
        <v>46752</v>
      </c>
      <c r="K12" s="10">
        <f t="shared" si="0"/>
        <v>47118</v>
      </c>
      <c r="M12" s="10" t="s">
        <v>42</v>
      </c>
      <c r="N12" s="380"/>
    </row>
    <row r="13" spans="3:23" ht="14.4" customHeight="1">
      <c r="D13" s="24"/>
      <c r="E13" s="24"/>
      <c r="F13" s="143"/>
    </row>
    <row r="14" spans="3:23" ht="14.4" customHeight="1">
      <c r="C14" s="380" t="s">
        <v>11</v>
      </c>
      <c r="D14" s="145">
        <v>3486207</v>
      </c>
      <c r="E14" s="145">
        <v>5008744</v>
      </c>
      <c r="F14" s="146">
        <v>5194694</v>
      </c>
      <c r="G14" s="147">
        <f>+F14*(1+G34)</f>
        <v>5387941.1661529606</v>
      </c>
      <c r="H14" s="147">
        <f t="shared" ref="H14:K14" si="1">+G14*(1+H34)</f>
        <v>5546043.0735262977</v>
      </c>
      <c r="I14" s="147">
        <f t="shared" si="1"/>
        <v>5726018.4417750686</v>
      </c>
      <c r="J14" s="147">
        <f t="shared" si="1"/>
        <v>5949773.4497745354</v>
      </c>
      <c r="K14" s="147">
        <f t="shared" si="1"/>
        <v>6205869.8315617433</v>
      </c>
      <c r="M14" s="49">
        <f>+_xlfn.RRI(YEAR($K$12)-YEAR($F$12),F14,K14)</f>
        <v>3.6211811540533434E-2</v>
      </c>
      <c r="N14" s="380"/>
    </row>
    <row r="15" spans="3:23" ht="14.4" customHeight="1">
      <c r="C15" s="6" t="s">
        <v>43</v>
      </c>
      <c r="D15" s="145">
        <v>2511818</v>
      </c>
      <c r="E15" s="145">
        <v>3522025</v>
      </c>
      <c r="F15" s="146">
        <v>3590874</v>
      </c>
      <c r="G15" s="147">
        <f>+G14-G16</f>
        <v>3717679.4046455426</v>
      </c>
      <c r="H15" s="147">
        <f t="shared" ref="H15:K15" si="2">+H14-H16</f>
        <v>3799039.5053655142</v>
      </c>
      <c r="I15" s="147">
        <f t="shared" si="2"/>
        <v>3910870.5957323718</v>
      </c>
      <c r="J15" s="147">
        <f t="shared" si="2"/>
        <v>4051795.7192964586</v>
      </c>
      <c r="K15" s="147">
        <f t="shared" si="2"/>
        <v>4213785.6156304237</v>
      </c>
      <c r="N15" s="380"/>
    </row>
    <row r="16" spans="3:23" ht="14.4" customHeight="1">
      <c r="C16" s="12" t="s">
        <v>44</v>
      </c>
      <c r="D16" s="148">
        <v>974389</v>
      </c>
      <c r="E16" s="148">
        <v>1486719</v>
      </c>
      <c r="F16" s="149">
        <v>1603820</v>
      </c>
      <c r="G16" s="150">
        <f>+G14*G35</f>
        <v>1670261.7615074178</v>
      </c>
      <c r="H16" s="150">
        <f t="shared" ref="H16:K16" si="3">+H14*H35</f>
        <v>1747003.5681607837</v>
      </c>
      <c r="I16" s="150">
        <f t="shared" si="3"/>
        <v>1815147.8460426969</v>
      </c>
      <c r="J16" s="150">
        <f t="shared" si="3"/>
        <v>1897977.7304780767</v>
      </c>
      <c r="K16" s="150">
        <f t="shared" si="3"/>
        <v>1992084.2159313196</v>
      </c>
      <c r="M16" s="49">
        <f>+_xlfn.RRI(YEAR($K$12)-YEAR($F$12),F16,K16)</f>
        <v>4.4312349783115934E-2</v>
      </c>
      <c r="N16" s="380"/>
    </row>
    <row r="17" spans="3:15" ht="14.4" customHeight="1">
      <c r="C17" s="380" t="s">
        <v>45</v>
      </c>
      <c r="D17" s="145">
        <v>482097</v>
      </c>
      <c r="E17" s="145">
        <v>688255</v>
      </c>
      <c r="F17" s="146">
        <v>708795</v>
      </c>
      <c r="G17" s="147">
        <f>+G14*G36</f>
        <v>727372.05743064976</v>
      </c>
      <c r="H17" s="147">
        <f t="shared" ref="H17:K17" si="4">+H14*H36</f>
        <v>748715.81492605025</v>
      </c>
      <c r="I17" s="147">
        <f t="shared" si="4"/>
        <v>773012.48963963427</v>
      </c>
      <c r="J17" s="147">
        <f t="shared" si="4"/>
        <v>803219.41571956233</v>
      </c>
      <c r="K17" s="147">
        <f t="shared" si="4"/>
        <v>837792.42726083542</v>
      </c>
      <c r="L17" s="16"/>
    </row>
    <row r="18" spans="3:15" ht="14.4" customHeight="1">
      <c r="C18" s="380" t="s">
        <v>46</v>
      </c>
      <c r="D18" s="145">
        <v>0</v>
      </c>
      <c r="E18" s="145">
        <v>0</v>
      </c>
      <c r="F18" s="146">
        <v>0</v>
      </c>
      <c r="G18" s="147">
        <f>+G37*G14</f>
        <v>0</v>
      </c>
      <c r="H18" s="147">
        <f t="shared" ref="H18:K18" si="5">+H37*H14</f>
        <v>0</v>
      </c>
      <c r="I18" s="147">
        <f t="shared" si="5"/>
        <v>0</v>
      </c>
      <c r="J18" s="147">
        <f t="shared" si="5"/>
        <v>0</v>
      </c>
      <c r="K18" s="147">
        <f t="shared" si="5"/>
        <v>0</v>
      </c>
      <c r="L18" s="16"/>
    </row>
    <row r="19" spans="3:15" ht="14.4" customHeight="1">
      <c r="C19" s="12" t="s">
        <v>47</v>
      </c>
      <c r="D19" s="148">
        <v>492292</v>
      </c>
      <c r="E19" s="148">
        <v>798464</v>
      </c>
      <c r="F19" s="149">
        <v>895025</v>
      </c>
      <c r="G19" s="150">
        <f>+G16-G17-G18</f>
        <v>942889.70407676802</v>
      </c>
      <c r="H19" s="150">
        <f t="shared" ref="H19:K19" si="6">+H16-H17-H18</f>
        <v>998287.75323473348</v>
      </c>
      <c r="I19" s="150">
        <f t="shared" si="6"/>
        <v>1042135.3564030626</v>
      </c>
      <c r="J19" s="150">
        <f t="shared" si="6"/>
        <v>1094758.3147585145</v>
      </c>
      <c r="K19" s="150">
        <f t="shared" si="6"/>
        <v>1154291.7886704842</v>
      </c>
      <c r="L19" s="16"/>
      <c r="M19" s="49">
        <f>+_xlfn.RRI(YEAR($K$12)-YEAR($F$12),F19,K19)</f>
        <v>5.219464694391851E-2</v>
      </c>
    </row>
    <row r="20" spans="3:15" ht="14.4" customHeight="1">
      <c r="C20" s="380" t="s">
        <v>48</v>
      </c>
      <c r="D20" s="145">
        <v>-1352</v>
      </c>
      <c r="E20" s="145">
        <v>1687</v>
      </c>
      <c r="F20" s="146">
        <v>21272</v>
      </c>
      <c r="G20" s="147">
        <f ca="1">G279</f>
        <v>32706.464914721462</v>
      </c>
      <c r="H20" s="147">
        <f t="shared" ref="H20:K20" ca="1" si="7">H279</f>
        <v>48004.033459674247</v>
      </c>
      <c r="I20" s="147">
        <f t="shared" ca="1" si="7"/>
        <v>59038.984121718939</v>
      </c>
      <c r="J20" s="147">
        <f t="shared" ca="1" si="7"/>
        <v>72381.695917862147</v>
      </c>
      <c r="K20" s="147">
        <f t="shared" ca="1" si="7"/>
        <v>93958.826828659207</v>
      </c>
      <c r="M20" s="153"/>
      <c r="O20" s="380"/>
    </row>
    <row r="21" spans="3:15" ht="14.4" customHeight="1">
      <c r="C21" s="380" t="s">
        <v>49</v>
      </c>
      <c r="D21" s="145">
        <v>29143</v>
      </c>
      <c r="E21" s="145">
        <v>56716</v>
      </c>
      <c r="F21" s="146">
        <v>74614</v>
      </c>
      <c r="G21" s="147">
        <f ca="1">G260+G274+G285</f>
        <v>71175.751328948361</v>
      </c>
      <c r="H21" s="147">
        <f ca="1">H260+H274+H285</f>
        <v>68116.689578329708</v>
      </c>
      <c r="I21" s="147">
        <f ca="1">I260+I274+I285</f>
        <v>52375.987052198223</v>
      </c>
      <c r="J21" s="147">
        <f ca="1">J260+J274+J285</f>
        <v>38210.986820775324</v>
      </c>
      <c r="K21" s="147">
        <f ca="1">K260+K274+K285</f>
        <v>38218.860650924726</v>
      </c>
    </row>
    <row r="22" spans="3:15" ht="14.4" customHeight="1">
      <c r="C22" s="380" t="s">
        <v>50</v>
      </c>
      <c r="D22" s="145">
        <v>28354</v>
      </c>
      <c r="E22" s="145">
        <v>1300</v>
      </c>
      <c r="F22" s="146">
        <v>16200</v>
      </c>
      <c r="G22" s="254">
        <v>0</v>
      </c>
      <c r="H22" s="254">
        <v>0</v>
      </c>
      <c r="I22" s="254">
        <v>0</v>
      </c>
      <c r="J22" s="254">
        <v>0</v>
      </c>
      <c r="K22" s="254">
        <v>0</v>
      </c>
      <c r="O22" s="380"/>
    </row>
    <row r="23" spans="3:15" ht="14.4" customHeight="1">
      <c r="C23" s="12" t="s">
        <v>51</v>
      </c>
      <c r="D23" s="148">
        <v>433443</v>
      </c>
      <c r="E23" s="148">
        <v>742135</v>
      </c>
      <c r="F23" s="149">
        <v>825483</v>
      </c>
      <c r="G23" s="150">
        <f ca="1">+G19+G20-G21-G22</f>
        <v>904420.41766254115</v>
      </c>
      <c r="H23" s="150">
        <f t="shared" ref="H23:K23" ca="1" si="8">+H19+H20-H21-H22</f>
        <v>978175.09711607802</v>
      </c>
      <c r="I23" s="150">
        <f t="shared" ca="1" si="8"/>
        <v>1048798.3534725832</v>
      </c>
      <c r="J23" s="150">
        <f t="shared" ca="1" si="8"/>
        <v>1128929.0238556014</v>
      </c>
      <c r="K23" s="150">
        <f t="shared" ca="1" si="8"/>
        <v>1210031.7548482188</v>
      </c>
      <c r="M23" s="49">
        <f ca="1">+_xlfn.RRI(YEAR($K$12)-YEAR($F$12),F23,K23)</f>
        <v>7.9487770951474745E-2</v>
      </c>
    </row>
    <row r="24" spans="3:15" ht="14.4" customHeight="1">
      <c r="C24" s="380" t="s">
        <v>52</v>
      </c>
      <c r="D24" s="145">
        <v>109427</v>
      </c>
      <c r="E24" s="145">
        <v>186146</v>
      </c>
      <c r="F24" s="146">
        <v>211229</v>
      </c>
      <c r="G24" s="147">
        <f ca="1">+G23*G41</f>
        <v>231427.92813715231</v>
      </c>
      <c r="H24" s="147">
        <f t="shared" ref="H24:K24" ca="1" si="9">+H23*H41</f>
        <v>250300.66953375423</v>
      </c>
      <c r="I24" s="147">
        <f t="shared" ca="1" si="9"/>
        <v>268372.12565935374</v>
      </c>
      <c r="J24" s="147">
        <f t="shared" ca="1" si="9"/>
        <v>288876.38967730996</v>
      </c>
      <c r="K24" s="147">
        <f t="shared" ca="1" si="9"/>
        <v>309629.38975706877</v>
      </c>
    </row>
    <row r="25" spans="3:15" ht="14.4" customHeight="1">
      <c r="C25" s="380" t="s">
        <v>53</v>
      </c>
      <c r="D25" s="145">
        <v>0</v>
      </c>
      <c r="E25" s="145">
        <v>0</v>
      </c>
      <c r="F25" s="146">
        <v>0</v>
      </c>
      <c r="G25" s="147">
        <f t="shared" ref="G25:K25" ca="1" si="10">G225</f>
        <v>0</v>
      </c>
      <c r="H25" s="147">
        <f t="shared" ca="1" si="10"/>
        <v>0</v>
      </c>
      <c r="I25" s="147">
        <f t="shared" ca="1" si="10"/>
        <v>0</v>
      </c>
      <c r="J25" s="147">
        <f t="shared" ca="1" si="10"/>
        <v>0</v>
      </c>
      <c r="K25" s="147">
        <f t="shared" ca="1" si="10"/>
        <v>0</v>
      </c>
    </row>
    <row r="26" spans="3:15" ht="14.4" customHeight="1">
      <c r="C26" s="12" t="s">
        <v>54</v>
      </c>
      <c r="D26" s="148">
        <v>324016</v>
      </c>
      <c r="E26" s="148">
        <v>555989</v>
      </c>
      <c r="F26" s="149">
        <v>614254</v>
      </c>
      <c r="G26" s="150">
        <f ca="1">+G23-G24-G25</f>
        <v>672992.48952538881</v>
      </c>
      <c r="H26" s="150">
        <f t="shared" ref="H26:K26" ca="1" si="11">+H23-H24-H25</f>
        <v>727874.42758232378</v>
      </c>
      <c r="I26" s="150">
        <f t="shared" ca="1" si="11"/>
        <v>780426.22781322943</v>
      </c>
      <c r="J26" s="150">
        <f t="shared" ca="1" si="11"/>
        <v>840052.63417829154</v>
      </c>
      <c r="K26" s="150">
        <f t="shared" ca="1" si="11"/>
        <v>900402.36509114993</v>
      </c>
      <c r="M26" s="49">
        <f ca="1">+_xlfn.RRI(YEAR($K$12)-YEAR($F$12),F26,K26)</f>
        <v>7.9487770951474523E-2</v>
      </c>
    </row>
    <row r="27" spans="3:15" ht="14.4" customHeight="1">
      <c r="C27" s="12"/>
      <c r="D27" s="151"/>
      <c r="E27" s="151"/>
      <c r="F27" s="152"/>
      <c r="G27" s="153"/>
      <c r="H27" s="153"/>
      <c r="I27" s="153"/>
      <c r="J27" s="153"/>
      <c r="K27" s="153"/>
    </row>
    <row r="28" spans="3:15" ht="14.4" customHeight="1">
      <c r="C28" s="380" t="s">
        <v>55</v>
      </c>
      <c r="D28" s="145">
        <v>79390</v>
      </c>
      <c r="E28" s="145">
        <v>123335</v>
      </c>
      <c r="F28" s="146">
        <v>132878</v>
      </c>
      <c r="G28" s="147">
        <f ca="1">+G183+G160+G302</f>
        <v>117580.7543250923</v>
      </c>
      <c r="H28" s="147">
        <f ca="1">+H183+H160+H302</f>
        <v>138036.58276881179</v>
      </c>
      <c r="I28" s="147">
        <f ca="1">+I183+I160+I302</f>
        <v>159617.57549712309</v>
      </c>
      <c r="J28" s="147">
        <f ca="1">+J183+J160+J302</f>
        <v>181671.04687455311</v>
      </c>
      <c r="K28" s="147">
        <f ca="1">+K183+K160+K302</f>
        <v>205964.7231215114</v>
      </c>
    </row>
    <row r="29" spans="3:15" ht="14.4" customHeight="1">
      <c r="C29" s="12" t="s">
        <v>56</v>
      </c>
      <c r="D29" s="151">
        <v>571682</v>
      </c>
      <c r="E29" s="151">
        <v>921799</v>
      </c>
      <c r="F29" s="152">
        <v>1027903</v>
      </c>
      <c r="G29" s="150">
        <f ca="1">+G19+G28</f>
        <v>1060470.4584018602</v>
      </c>
      <c r="H29" s="150">
        <f t="shared" ref="H29:K29" ca="1" si="12">+H19+H28</f>
        <v>1136324.3360035452</v>
      </c>
      <c r="I29" s="150">
        <f t="shared" ca="1" si="12"/>
        <v>1201752.9319001858</v>
      </c>
      <c r="J29" s="150">
        <f t="shared" ca="1" si="12"/>
        <v>1276429.3616330677</v>
      </c>
      <c r="K29" s="150">
        <f t="shared" ca="1" si="12"/>
        <v>1360256.5117919957</v>
      </c>
      <c r="M29" s="49">
        <f ca="1">+_xlfn.RRI(YEAR($K$12)-YEAR($F$12),F29,K29)</f>
        <v>5.7629938624851551E-2</v>
      </c>
    </row>
    <row r="30" spans="3:15" ht="14.4" customHeight="1">
      <c r="C30" s="12"/>
      <c r="D30" s="151"/>
      <c r="E30" s="151"/>
      <c r="F30" s="152"/>
      <c r="G30" s="150"/>
      <c r="H30" s="150"/>
      <c r="I30" s="150"/>
      <c r="J30" s="150"/>
      <c r="K30" s="150"/>
    </row>
    <row r="31" spans="3:15" ht="14.4" customHeight="1">
      <c r="C31" s="12" t="s">
        <v>57</v>
      </c>
      <c r="D31" s="151">
        <v>11316</v>
      </c>
      <c r="E31" s="151">
        <v>12310</v>
      </c>
      <c r="F31" s="152">
        <v>15838</v>
      </c>
      <c r="G31" s="150">
        <f>+AVERAGE(D31:F31)</f>
        <v>13154.666666666666</v>
      </c>
      <c r="H31" s="150">
        <f t="shared" ref="H31:K31" si="13">+AVERAGE(E31:G31)</f>
        <v>13767.555555555555</v>
      </c>
      <c r="I31" s="150">
        <f t="shared" si="13"/>
        <v>14253.407407407407</v>
      </c>
      <c r="J31" s="150">
        <f t="shared" si="13"/>
        <v>13725.209876543209</v>
      </c>
      <c r="K31" s="150">
        <f t="shared" si="13"/>
        <v>13915.390946502057</v>
      </c>
      <c r="O31" s="368"/>
    </row>
    <row r="32" spans="3:15" ht="14.4" customHeight="1">
      <c r="C32" s="12"/>
      <c r="D32" s="27"/>
      <c r="E32" s="27"/>
      <c r="F32" s="70"/>
      <c r="G32" s="25"/>
      <c r="H32" s="25"/>
      <c r="I32" s="25"/>
      <c r="J32" s="25"/>
      <c r="K32" s="25"/>
    </row>
    <row r="33" spans="3:15" ht="14.4" customHeight="1">
      <c r="C33" s="7" t="s">
        <v>58</v>
      </c>
      <c r="D33" s="28"/>
      <c r="E33" s="28"/>
      <c r="F33" s="71"/>
    </row>
    <row r="34" spans="3:15" ht="14.4" customHeight="1">
      <c r="C34" s="6" t="s">
        <v>59</v>
      </c>
      <c r="D34" s="154"/>
      <c r="E34" s="155">
        <f>+E14/D14-1</f>
        <v>0.4367316685440652</v>
      </c>
      <c r="F34" s="156">
        <f>+F14/E14-1</f>
        <v>3.7125075667672425E-2</v>
      </c>
      <c r="G34" s="202">
        <f>+'Revenue Build &amp; Growth Drivers'!G15</f>
        <v>3.7200875769190844E-2</v>
      </c>
      <c r="H34" s="202">
        <f>+'Revenue Build &amp; Growth Drivers'!H15</f>
        <v>2.9343658829560582E-2</v>
      </c>
      <c r="I34" s="202">
        <f>+'Revenue Build &amp; Growth Drivers'!I15</f>
        <v>3.2451130628226244E-2</v>
      </c>
      <c r="J34" s="202">
        <f>+'Revenue Build &amp; Growth Drivers'!J15</f>
        <v>3.9076892656689122E-2</v>
      </c>
      <c r="K34" s="202">
        <f>+'Revenue Build &amp; Growth Drivers'!K15</f>
        <v>4.3043047596528661E-2</v>
      </c>
    </row>
    <row r="35" spans="3:15" ht="14.4" customHeight="1">
      <c r="C35" s="6" t="s">
        <v>27</v>
      </c>
      <c r="D35" s="155">
        <f>+D16/D14</f>
        <v>0.27949832009401621</v>
      </c>
      <c r="E35" s="155">
        <f t="shared" ref="E35:F35" si="14">+E16/E14</f>
        <v>0.29682471294200702</v>
      </c>
      <c r="F35" s="156">
        <f t="shared" si="14"/>
        <v>0.30874195862162429</v>
      </c>
      <c r="G35" s="202">
        <f>'Revenue Build &amp; Growth Drivers'!G46</f>
        <v>0.31</v>
      </c>
      <c r="H35" s="202">
        <f>'Revenue Build &amp; Growth Drivers'!H46</f>
        <v>0.315</v>
      </c>
      <c r="I35" s="202">
        <f>'Revenue Build &amp; Growth Drivers'!I46</f>
        <v>0.317</v>
      </c>
      <c r="J35" s="202">
        <f>'Revenue Build &amp; Growth Drivers'!J46</f>
        <v>0.31900000000000001</v>
      </c>
      <c r="K35" s="202">
        <f>'Revenue Build &amp; Growth Drivers'!K46</f>
        <v>0.32100000000000001</v>
      </c>
    </row>
    <row r="36" spans="3:15" ht="14.4" customHeight="1">
      <c r="C36" s="6" t="s">
        <v>60</v>
      </c>
      <c r="D36" s="155">
        <f>+D17/D14</f>
        <v>0.13828696919029765</v>
      </c>
      <c r="E36" s="155">
        <f t="shared" ref="E36:F36" si="15">+E17/E14</f>
        <v>0.13741069617452997</v>
      </c>
      <c r="F36" s="156">
        <f t="shared" si="15"/>
        <v>0.13644595812573368</v>
      </c>
      <c r="G36" s="202">
        <f>'Revenue Build &amp; Growth Drivers'!G47</f>
        <v>0.13500000000000001</v>
      </c>
      <c r="H36" s="202">
        <f>'Revenue Build &amp; Growth Drivers'!H47</f>
        <v>0.13500000000000001</v>
      </c>
      <c r="I36" s="202">
        <f>'Revenue Build &amp; Growth Drivers'!I47</f>
        <v>0.13500000000000001</v>
      </c>
      <c r="J36" s="202">
        <f>'Revenue Build &amp; Growth Drivers'!J47</f>
        <v>0.13500000000000001</v>
      </c>
      <c r="K36" s="202">
        <f>'Revenue Build &amp; Growth Drivers'!K47</f>
        <v>0.13500000000000001</v>
      </c>
    </row>
    <row r="37" spans="3:15" ht="14.4" customHeight="1">
      <c r="C37" s="6" t="s">
        <v>29</v>
      </c>
      <c r="D37" s="155">
        <f>+D18/D14</f>
        <v>0</v>
      </c>
      <c r="E37" s="155">
        <f t="shared" ref="E37:F37" si="16">+E18/E14</f>
        <v>0</v>
      </c>
      <c r="F37" s="156">
        <f t="shared" si="16"/>
        <v>0</v>
      </c>
      <c r="G37" s="202">
        <f>'Revenue Build &amp; Growth Drivers'!G48</f>
        <v>0</v>
      </c>
      <c r="H37" s="202">
        <f>'Revenue Build &amp; Growth Drivers'!H48</f>
        <v>0</v>
      </c>
      <c r="I37" s="202">
        <f>'Revenue Build &amp; Growth Drivers'!I48</f>
        <v>0</v>
      </c>
      <c r="J37" s="202">
        <f>'Revenue Build &amp; Growth Drivers'!J48</f>
        <v>0</v>
      </c>
      <c r="K37" s="202">
        <f>'Revenue Build &amp; Growth Drivers'!K48</f>
        <v>0</v>
      </c>
    </row>
    <row r="38" spans="3:15" ht="14.4" customHeight="1">
      <c r="C38" s="6" t="s">
        <v>61</v>
      </c>
      <c r="D38" s="155">
        <f>+D19/D14</f>
        <v>0.14121135090371856</v>
      </c>
      <c r="E38" s="155">
        <f t="shared" ref="E38:K38" si="17">+E19/E14</f>
        <v>0.15941401676747705</v>
      </c>
      <c r="F38" s="156">
        <f t="shared" si="17"/>
        <v>0.17229600049589061</v>
      </c>
      <c r="G38" s="155">
        <f t="shared" si="17"/>
        <v>0.17499999999999999</v>
      </c>
      <c r="H38" s="155">
        <f t="shared" si="17"/>
        <v>0.18</v>
      </c>
      <c r="I38" s="155">
        <f t="shared" si="17"/>
        <v>0.18200000000000002</v>
      </c>
      <c r="J38" s="155">
        <f t="shared" si="17"/>
        <v>0.184</v>
      </c>
      <c r="K38" s="155">
        <f t="shared" si="17"/>
        <v>0.186</v>
      </c>
    </row>
    <row r="39" spans="3:15" ht="14.4" customHeight="1">
      <c r="C39" s="6" t="s">
        <v>62</v>
      </c>
      <c r="D39" s="155">
        <f>+D29/D14</f>
        <v>0.16398395161274129</v>
      </c>
      <c r="E39" s="155">
        <f t="shared" ref="E39:K39" si="18">+E29/E14</f>
        <v>0.18403795442530102</v>
      </c>
      <c r="F39" s="156">
        <f t="shared" si="18"/>
        <v>0.19787556302642659</v>
      </c>
      <c r="G39" s="155">
        <f t="shared" ca="1" si="18"/>
        <v>0.19682294696603858</v>
      </c>
      <c r="H39" s="155">
        <f t="shared" ca="1" si="18"/>
        <v>0.20488920135289265</v>
      </c>
      <c r="I39" s="155">
        <f t="shared" ca="1" si="18"/>
        <v>0.2098758402754361</v>
      </c>
      <c r="J39" s="155">
        <f t="shared" ca="1" si="18"/>
        <v>0.21453411166124947</v>
      </c>
      <c r="K39" s="155">
        <f t="shared" ca="1" si="18"/>
        <v>0.21918869533389476</v>
      </c>
    </row>
    <row r="40" spans="3:15" ht="14.4" customHeight="1">
      <c r="C40" s="6" t="s">
        <v>63</v>
      </c>
      <c r="D40" s="155">
        <f>+D26/D14</f>
        <v>9.2942272217341082E-2</v>
      </c>
      <c r="E40" s="155">
        <f t="shared" ref="E40:K40" si="19">+E26/E14</f>
        <v>0.11100367677006451</v>
      </c>
      <c r="F40" s="156">
        <f t="shared" si="19"/>
        <v>0.11824642606474992</v>
      </c>
      <c r="G40" s="155">
        <f t="shared" ca="1" si="19"/>
        <v>0.12490717117572232</v>
      </c>
      <c r="H40" s="155">
        <f t="shared" ca="1" si="19"/>
        <v>0.13124211585315457</v>
      </c>
      <c r="I40" s="155">
        <f t="shared" ca="1" si="19"/>
        <v>0.13629474577299772</v>
      </c>
      <c r="J40" s="155">
        <f t="shared" ca="1" si="19"/>
        <v>0.14119069259857703</v>
      </c>
      <c r="K40" s="155">
        <f t="shared" ca="1" si="19"/>
        <v>0.14508882550386307</v>
      </c>
    </row>
    <row r="41" spans="3:15" ht="14.4" customHeight="1">
      <c r="C41" s="273" t="s">
        <v>64</v>
      </c>
      <c r="D41" s="157">
        <f>+D24/D23</f>
        <v>0.2524599543653952</v>
      </c>
      <c r="E41" s="157">
        <f t="shared" ref="E41:F41" si="20">+E24/E23</f>
        <v>0.2508249846726</v>
      </c>
      <c r="F41" s="158">
        <f t="shared" si="20"/>
        <v>0.25588534227839943</v>
      </c>
      <c r="G41" s="189">
        <f>+IF(F41&lt;0,AVERAGEIFS(D41:F41,D41:F41,"&gt;0"),F41)</f>
        <v>0.25588534227839943</v>
      </c>
      <c r="H41" s="189">
        <f>+G41</f>
        <v>0.25588534227839943</v>
      </c>
      <c r="I41" s="189">
        <f t="shared" ref="I41:K41" si="21">+H41</f>
        <v>0.25588534227839943</v>
      </c>
      <c r="J41" s="189">
        <f t="shared" si="21"/>
        <v>0.25588534227839943</v>
      </c>
      <c r="K41" s="189">
        <f t="shared" si="21"/>
        <v>0.25588534227839943</v>
      </c>
      <c r="O41" s="368"/>
    </row>
    <row r="42" spans="3:15" ht="14.4" customHeight="1">
      <c r="C42" s="6"/>
      <c r="D42" s="17"/>
      <c r="E42" s="17"/>
      <c r="F42" s="17"/>
    </row>
    <row r="43" spans="3:15" ht="14.4" customHeight="1">
      <c r="C43" s="51" t="s">
        <v>65</v>
      </c>
      <c r="D43" s="401" t="s">
        <v>9</v>
      </c>
      <c r="E43" s="402"/>
      <c r="F43" s="403"/>
      <c r="G43" s="401" t="s">
        <v>10</v>
      </c>
      <c r="H43" s="402"/>
      <c r="I43" s="402"/>
      <c r="J43" s="402"/>
      <c r="K43" s="402"/>
      <c r="M43" s="48" t="s">
        <v>41</v>
      </c>
    </row>
    <row r="44" spans="3:15" ht="14.4" customHeight="1">
      <c r="C44" s="51"/>
      <c r="D44" s="10">
        <f>+D$12</f>
        <v>44561</v>
      </c>
      <c r="E44" s="10">
        <f t="shared" ref="E44:K44" si="22">+E$12</f>
        <v>44926</v>
      </c>
      <c r="F44" s="11">
        <f t="shared" si="22"/>
        <v>45291</v>
      </c>
      <c r="G44" s="10">
        <f t="shared" si="22"/>
        <v>45657</v>
      </c>
      <c r="H44" s="10">
        <f t="shared" si="22"/>
        <v>46022</v>
      </c>
      <c r="I44" s="10">
        <f t="shared" si="22"/>
        <v>46387</v>
      </c>
      <c r="J44" s="10">
        <f t="shared" si="22"/>
        <v>46752</v>
      </c>
      <c r="K44" s="10">
        <f t="shared" si="22"/>
        <v>47118</v>
      </c>
      <c r="M44" s="10" t="s">
        <v>42</v>
      </c>
    </row>
    <row r="45" spans="3:15" ht="14.4" customHeight="1">
      <c r="D45" s="153"/>
      <c r="E45" s="153"/>
      <c r="F45" s="153"/>
    </row>
    <row r="46" spans="3:15" ht="14.4" customHeight="1">
      <c r="C46" s="380" t="s">
        <v>66</v>
      </c>
      <c r="D46" s="159">
        <v>139779</v>
      </c>
      <c r="E46" s="159">
        <v>240069</v>
      </c>
      <c r="F46" s="160">
        <v>848565</v>
      </c>
      <c r="G46" s="153">
        <f ca="1">+F46+G103</f>
        <v>1331865.9943147642</v>
      </c>
      <c r="H46" s="153">
        <f t="shared" ref="H46:K46" ca="1" si="23">+G46+H103</f>
        <v>1868402.9029968525</v>
      </c>
      <c r="I46" s="153">
        <f t="shared" ca="1" si="23"/>
        <v>2067529.37178441</v>
      </c>
      <c r="J46" s="153">
        <f t="shared" ca="1" si="23"/>
        <v>2757917.0227397331</v>
      </c>
      <c r="K46" s="153">
        <f t="shared" ca="1" si="23"/>
        <v>3506004.7658375478</v>
      </c>
      <c r="M46" s="49">
        <f ca="1">+_xlfn.RRI(YEAR($K$12)-YEAR($F$12),F46,K46)</f>
        <v>0.32808379467111459</v>
      </c>
    </row>
    <row r="47" spans="3:15" ht="14.4" customHeight="1">
      <c r="C47" s="380" t="s">
        <v>67</v>
      </c>
      <c r="D47" s="159">
        <v>668419</v>
      </c>
      <c r="E47" s="159">
        <v>836071</v>
      </c>
      <c r="F47" s="160">
        <v>799009</v>
      </c>
      <c r="G47" s="153">
        <f t="shared" ref="G47" si="24">G113</f>
        <v>828732.83454746543</v>
      </c>
      <c r="H47" s="153">
        <f t="shared" ref="H47:K47" si="25">H113</f>
        <v>853050.88810528093</v>
      </c>
      <c r="I47" s="153">
        <f t="shared" si="25"/>
        <v>880733.35390770982</v>
      </c>
      <c r="J47" s="153">
        <f t="shared" si="25"/>
        <v>915149.67663752718</v>
      </c>
      <c r="K47" s="153">
        <f t="shared" si="25"/>
        <v>954540.5077269841</v>
      </c>
    </row>
    <row r="48" spans="3:15" ht="14.4" customHeight="1">
      <c r="C48" s="380" t="s">
        <v>68</v>
      </c>
      <c r="D48" s="159">
        <v>352801</v>
      </c>
      <c r="E48" s="159">
        <v>438644</v>
      </c>
      <c r="F48" s="160">
        <v>364731</v>
      </c>
      <c r="G48" s="153">
        <f t="shared" ref="G48" si="26">G124</f>
        <v>377610.83428039344</v>
      </c>
      <c r="H48" s="153">
        <f t="shared" ref="H48:K48" si="27">H124</f>
        <v>385874.71401989303</v>
      </c>
      <c r="I48" s="153">
        <f t="shared" si="27"/>
        <v>397233.58247938071</v>
      </c>
      <c r="J48" s="153">
        <f t="shared" si="27"/>
        <v>411547.57991918316</v>
      </c>
      <c r="K48" s="153">
        <f t="shared" si="27"/>
        <v>428001.1611029795</v>
      </c>
    </row>
    <row r="49" spans="3:15" ht="14.4" customHeight="1">
      <c r="C49" s="380" t="s">
        <v>69</v>
      </c>
      <c r="D49" s="159">
        <v>26692</v>
      </c>
      <c r="E49" s="159">
        <v>34257</v>
      </c>
      <c r="F49" s="160">
        <v>36939</v>
      </c>
      <c r="G49" s="153">
        <f>+F49*(1+G34)</f>
        <v>38313.163150038141</v>
      </c>
      <c r="H49" s="153">
        <f t="shared" ref="H49:K49" si="28">+G49*(1+H34)</f>
        <v>39437.411538194152</v>
      </c>
      <c r="I49" s="153">
        <f t="shared" si="28"/>
        <v>40717.200131659207</v>
      </c>
      <c r="J49" s="153">
        <f t="shared" si="28"/>
        <v>42308.301790484984</v>
      </c>
      <c r="K49" s="153">
        <f t="shared" si="28"/>
        <v>44129.380038181131</v>
      </c>
      <c r="O49" s="368"/>
    </row>
    <row r="50" spans="3:15" ht="14.4" customHeight="1">
      <c r="C50" s="380" t="s">
        <v>70</v>
      </c>
      <c r="D50" s="159">
        <v>1187691</v>
      </c>
      <c r="E50" s="159">
        <v>1549041</v>
      </c>
      <c r="F50" s="160">
        <v>2049244</v>
      </c>
      <c r="G50" s="153">
        <f ca="1">+SUM(G46:G49)</f>
        <v>2576522.826292661</v>
      </c>
      <c r="H50" s="153">
        <f t="shared" ref="H50:K50" ca="1" si="29">+SUM(H46:H49)</f>
        <v>3146765.9166602208</v>
      </c>
      <c r="I50" s="153">
        <f t="shared" ca="1" si="29"/>
        <v>3386213.5083031598</v>
      </c>
      <c r="J50" s="153">
        <f t="shared" ca="1" si="29"/>
        <v>4126922.5810869285</v>
      </c>
      <c r="K50" s="153">
        <f t="shared" ca="1" si="29"/>
        <v>4932675.8147056932</v>
      </c>
    </row>
    <row r="51" spans="3:15" ht="14.4" customHeight="1">
      <c r="C51" s="380" t="s">
        <v>71</v>
      </c>
      <c r="D51" s="159">
        <v>421751</v>
      </c>
      <c r="E51" s="159">
        <v>459376</v>
      </c>
      <c r="F51" s="160">
        <v>469116</v>
      </c>
      <c r="G51" s="153">
        <f ca="1">+G184+G308+G334</f>
        <v>521411.68663737585</v>
      </c>
      <c r="H51" s="153">
        <f ca="1">+H184+H308+H334</f>
        <v>562544.26202750043</v>
      </c>
      <c r="I51" s="153">
        <f ca="1">+I184+I308+I334</f>
        <v>594613.48933822603</v>
      </c>
      <c r="J51" s="153">
        <f ca="1">+J184+J308+J334</f>
        <v>622620.35143825051</v>
      </c>
      <c r="K51" s="153">
        <f ca="1">+K184+K308+K334</f>
        <v>642566.81398456241</v>
      </c>
      <c r="M51" s="19"/>
    </row>
    <row r="52" spans="3:15" ht="14.4" customHeight="1">
      <c r="C52" s="380" t="s">
        <v>72</v>
      </c>
      <c r="D52" s="159">
        <v>0</v>
      </c>
      <c r="E52" s="159">
        <v>0</v>
      </c>
      <c r="F52" s="160">
        <v>0</v>
      </c>
      <c r="G52" s="153">
        <f>+F52*(1+G$34)</f>
        <v>0</v>
      </c>
      <c r="H52" s="153">
        <f t="shared" ref="H52:K52" si="30">+G52*(1+H$34)</f>
        <v>0</v>
      </c>
      <c r="I52" s="153">
        <f t="shared" si="30"/>
        <v>0</v>
      </c>
      <c r="J52" s="153">
        <f t="shared" si="30"/>
        <v>0</v>
      </c>
      <c r="K52" s="153">
        <f t="shared" si="30"/>
        <v>0</v>
      </c>
      <c r="M52" s="19"/>
      <c r="O52" s="368"/>
    </row>
    <row r="53" spans="3:15" ht="14.4" customHeight="1">
      <c r="C53" s="380" t="s">
        <v>73</v>
      </c>
      <c r="D53" s="159">
        <v>2633972</v>
      </c>
      <c r="E53" s="159">
        <v>2581961</v>
      </c>
      <c r="F53" s="160">
        <v>2633626</v>
      </c>
      <c r="G53" s="153">
        <f ca="1">+G155+G161</f>
        <v>2738628.0829617102</v>
      </c>
      <c r="H53" s="153">
        <f t="shared" ref="H53:K53" ca="1" si="31">+H155+H161</f>
        <v>2854942.8889354216</v>
      </c>
      <c r="I53" s="153">
        <f t="shared" ca="1" si="31"/>
        <v>2981080.8890482681</v>
      </c>
      <c r="J53" s="153">
        <f t="shared" ca="1" si="31"/>
        <v>3117560.9603588586</v>
      </c>
      <c r="K53" s="153">
        <f t="shared" ca="1" si="31"/>
        <v>3264701.7293489901</v>
      </c>
      <c r="M53" s="19"/>
    </row>
    <row r="54" spans="3:15" ht="14.4" customHeight="1">
      <c r="C54" s="380" t="s">
        <v>74</v>
      </c>
      <c r="D54" s="159">
        <v>1905</v>
      </c>
      <c r="E54" s="159">
        <v>100744</v>
      </c>
      <c r="F54" s="160">
        <v>103663</v>
      </c>
      <c r="G54" s="153">
        <f>+F54*(1+G$34)</f>
        <v>107519.35438486162</v>
      </c>
      <c r="H54" s="153">
        <f t="shared" ref="H54:K55" si="32">+G54*(1+H$34)</f>
        <v>110674.36563750562</v>
      </c>
      <c r="I54" s="153">
        <f t="shared" si="32"/>
        <v>114265.87393400438</v>
      </c>
      <c r="J54" s="153">
        <f t="shared" si="32"/>
        <v>118731.02922404624</v>
      </c>
      <c r="K54" s="153">
        <f t="shared" si="32"/>
        <v>123841.57456612171</v>
      </c>
      <c r="M54" s="19"/>
      <c r="O54" s="368"/>
    </row>
    <row r="55" spans="3:15" ht="14.4" customHeight="1">
      <c r="C55" s="380" t="s">
        <v>75</v>
      </c>
      <c r="D55" s="159">
        <v>13211</v>
      </c>
      <c r="E55" s="159">
        <v>16453</v>
      </c>
      <c r="F55" s="160">
        <v>10865</v>
      </c>
      <c r="G55" s="153">
        <f>+F55*(1+G$34)</f>
        <v>11269.187515232259</v>
      </c>
      <c r="H55" s="153">
        <f t="shared" si="32"/>
        <v>11599.866708965577</v>
      </c>
      <c r="I55" s="153">
        <f t="shared" si="32"/>
        <v>11976.295498808233</v>
      </c>
      <c r="J55" s="153">
        <f t="shared" si="32"/>
        <v>12444.29191243995</v>
      </c>
      <c r="K55" s="153">
        <f t="shared" si="32"/>
        <v>12979.932161532201</v>
      </c>
      <c r="M55" s="19"/>
      <c r="O55" s="368"/>
    </row>
    <row r="56" spans="3:15" ht="14.4" customHeight="1">
      <c r="C56" s="274" t="s">
        <v>76</v>
      </c>
      <c r="D56" s="161">
        <v>4258530</v>
      </c>
      <c r="E56" s="161">
        <v>4707575</v>
      </c>
      <c r="F56" s="165">
        <v>5266514</v>
      </c>
      <c r="G56" s="161">
        <f ca="1">+SUM(G50:G55)</f>
        <v>5955351.1377918422</v>
      </c>
      <c r="H56" s="161">
        <f ca="1">+SUM(H50:H55)</f>
        <v>6686527.2999696145</v>
      </c>
      <c r="I56" s="161">
        <f ca="1">+SUM(I50:I55)</f>
        <v>7088150.056122466</v>
      </c>
      <c r="J56" s="161">
        <f ca="1">+SUM(J50:J55)</f>
        <v>7998279.2140205251</v>
      </c>
      <c r="K56" s="161">
        <f ca="1">+SUM(K50:K55)</f>
        <v>8976765.8647668995</v>
      </c>
    </row>
    <row r="57" spans="3:15" ht="14.4" customHeight="1">
      <c r="D57" s="162"/>
      <c r="E57" s="162"/>
      <c r="F57" s="369"/>
      <c r="G57" s="153"/>
      <c r="H57" s="153"/>
      <c r="I57" s="153"/>
      <c r="J57" s="153"/>
      <c r="K57" s="153"/>
    </row>
    <row r="58" spans="3:15" ht="14.4" customHeight="1">
      <c r="C58" s="380" t="s">
        <v>77</v>
      </c>
      <c r="D58" s="159">
        <v>95618</v>
      </c>
      <c r="E58" s="159">
        <v>103155</v>
      </c>
      <c r="F58" s="160">
        <v>114736</v>
      </c>
      <c r="G58" s="147">
        <f ca="1">+G271+G258+G297+G326</f>
        <v>118965.38768694691</v>
      </c>
      <c r="H58" s="147">
        <f ca="1">+H271+H258+H297+H326</f>
        <v>511025.764067818</v>
      </c>
      <c r="I58" s="147">
        <f ca="1">+I271+I258+I297+I326</f>
        <v>74621.194328837621</v>
      </c>
      <c r="J58" s="147">
        <f ca="1">+J271+J258+J297+J326</f>
        <v>77537.158729539544</v>
      </c>
      <c r="K58" s="147">
        <f ca="1">+K271+K258+K297+K326</f>
        <v>480874.59434323473</v>
      </c>
    </row>
    <row r="59" spans="3:15" ht="14.4" customHeight="1">
      <c r="C59" s="380" t="s">
        <v>78</v>
      </c>
      <c r="D59" s="159">
        <v>461917</v>
      </c>
      <c r="E59" s="159">
        <v>487114</v>
      </c>
      <c r="F59" s="160">
        <v>469585</v>
      </c>
      <c r="G59" s="147">
        <f t="shared" ref="G59:K59" si="33">G140</f>
        <v>486167.56901814917</v>
      </c>
      <c r="H59" s="147">
        <f t="shared" si="33"/>
        <v>496807.17455612897</v>
      </c>
      <c r="I59" s="147">
        <f t="shared" si="33"/>
        <v>511431.52577812143</v>
      </c>
      <c r="J59" s="147">
        <f t="shared" si="33"/>
        <v>529860.55563236913</v>
      </c>
      <c r="K59" s="147">
        <f t="shared" si="33"/>
        <v>551044.26340657263</v>
      </c>
    </row>
    <row r="60" spans="3:15" ht="14.4" customHeight="1">
      <c r="C60" s="380" t="s">
        <v>79</v>
      </c>
      <c r="D60" s="159">
        <v>0</v>
      </c>
      <c r="E60" s="159">
        <v>0</v>
      </c>
      <c r="F60" s="160">
        <v>0</v>
      </c>
      <c r="G60" s="254">
        <v>0</v>
      </c>
      <c r="H60" s="254">
        <v>0</v>
      </c>
      <c r="I60" s="254">
        <v>0</v>
      </c>
      <c r="J60" s="254">
        <v>0</v>
      </c>
      <c r="K60" s="254">
        <v>0</v>
      </c>
      <c r="O60" s="368"/>
    </row>
    <row r="61" spans="3:15" ht="14.4" customHeight="1">
      <c r="C61" s="380" t="s">
        <v>80</v>
      </c>
      <c r="D61" s="159">
        <v>175891</v>
      </c>
      <c r="E61" s="159">
        <v>199370</v>
      </c>
      <c r="F61" s="160">
        <v>187217</v>
      </c>
      <c r="G61" s="147">
        <f>+F61*(1+G34)</f>
        <v>194181.63635888061</v>
      </c>
      <c r="H61" s="147">
        <f t="shared" ref="H61:K61" si="34">+G61*(1+H34)</f>
        <v>199879.63604716139</v>
      </c>
      <c r="I61" s="147">
        <f t="shared" si="34"/>
        <v>206365.95622645013</v>
      </c>
      <c r="J61" s="147">
        <f t="shared" si="34"/>
        <v>214430.09654590613</v>
      </c>
      <c r="K61" s="147">
        <f t="shared" si="34"/>
        <v>223659.82139765981</v>
      </c>
      <c r="O61" s="380"/>
    </row>
    <row r="62" spans="3:15" ht="14.4" customHeight="1">
      <c r="C62" s="26" t="s">
        <v>81</v>
      </c>
      <c r="D62" s="163">
        <v>733426</v>
      </c>
      <c r="E62" s="163">
        <v>789639</v>
      </c>
      <c r="F62" s="164">
        <v>771538</v>
      </c>
      <c r="G62" s="150">
        <f ca="1">+SUM(G58:G61)</f>
        <v>799314.59306397662</v>
      </c>
      <c r="H62" s="150">
        <f t="shared" ref="H62:K62" ca="1" si="35">+SUM(H58:H61)</f>
        <v>1207712.5746711083</v>
      </c>
      <c r="I62" s="150">
        <f t="shared" ca="1" si="35"/>
        <v>792418.67633340927</v>
      </c>
      <c r="J62" s="150">
        <f t="shared" ca="1" si="35"/>
        <v>821827.81090781477</v>
      </c>
      <c r="K62" s="150">
        <f t="shared" ca="1" si="35"/>
        <v>1255578.6791474673</v>
      </c>
    </row>
    <row r="63" spans="3:15" ht="14.4" customHeight="1">
      <c r="C63" s="380"/>
      <c r="D63" s="159"/>
      <c r="E63" s="159"/>
      <c r="F63" s="160"/>
      <c r="G63" s="147"/>
      <c r="H63" s="147"/>
      <c r="I63" s="147"/>
      <c r="J63" s="147"/>
      <c r="K63" s="147"/>
    </row>
    <row r="64" spans="3:15" ht="14.4" customHeight="1">
      <c r="C64" s="380" t="s">
        <v>82</v>
      </c>
      <c r="D64" s="159">
        <v>1587592</v>
      </c>
      <c r="E64" s="159">
        <v>1573873</v>
      </c>
      <c r="F64" s="160">
        <v>1523391</v>
      </c>
      <c r="G64" s="147">
        <f>+G259+G300+G329</f>
        <v>1483129.0352832829</v>
      </c>
      <c r="H64" s="147">
        <f>+H259+H300+H329</f>
        <v>1051849.7735812417</v>
      </c>
      <c r="I64" s="147">
        <f>+I259+I300+I329</f>
        <v>1059953.6500770641</v>
      </c>
      <c r="J64" s="147">
        <f>+J259+J300+J329</f>
        <v>1069324.7500073821</v>
      </c>
      <c r="K64" s="147">
        <f>+K259+K300+K329</f>
        <v>679631.98707818368</v>
      </c>
      <c r="M64" s="14"/>
    </row>
    <row r="65" spans="3:15" ht="14.4" customHeight="1">
      <c r="C65" s="380" t="s">
        <v>83</v>
      </c>
      <c r="D65" s="159">
        <v>51875</v>
      </c>
      <c r="E65" s="159">
        <v>59783</v>
      </c>
      <c r="F65" s="160">
        <v>58783</v>
      </c>
      <c r="G65" s="147">
        <f>+F65*(1+G34)</f>
        <v>60969.779080340348</v>
      </c>
      <c r="H65" s="147">
        <f t="shared" ref="H65:K65" si="36">+G65*(1+H34)</f>
        <v>62758.855476587538</v>
      </c>
      <c r="I65" s="147">
        <f t="shared" si="36"/>
        <v>64795.451293736252</v>
      </c>
      <c r="J65" s="147">
        <f t="shared" si="36"/>
        <v>67327.45618858331</v>
      </c>
      <c r="K65" s="147">
        <f t="shared" si="36"/>
        <v>70225.435089861698</v>
      </c>
      <c r="M65" s="14"/>
      <c r="O65" s="380"/>
    </row>
    <row r="66" spans="3:15" ht="14.4" customHeight="1">
      <c r="C66" s="380" t="s">
        <v>84</v>
      </c>
      <c r="D66" s="159">
        <v>248243</v>
      </c>
      <c r="E66" s="159">
        <v>352225</v>
      </c>
      <c r="F66" s="160">
        <v>347593</v>
      </c>
      <c r="G66" s="147">
        <f>+F66*(1+G34)</f>
        <v>360523.76401124033</v>
      </c>
      <c r="H66" s="147">
        <f t="shared" ref="H66:K66" si="37">+G66*(1+H34)</f>
        <v>371102.85034233518</v>
      </c>
      <c r="I66" s="147">
        <f t="shared" si="37"/>
        <v>383145.55741530139</v>
      </c>
      <c r="J66" s="147">
        <f t="shared" si="37"/>
        <v>398117.69523430645</v>
      </c>
      <c r="K66" s="147">
        <f t="shared" si="37"/>
        <v>415253.89413929702</v>
      </c>
      <c r="M66" s="14"/>
      <c r="O66" s="380"/>
    </row>
    <row r="67" spans="3:15" ht="14.4" customHeight="1">
      <c r="C67" s="380" t="s">
        <v>85</v>
      </c>
      <c r="D67" s="159">
        <v>960</v>
      </c>
      <c r="E67" s="159">
        <v>2349</v>
      </c>
      <c r="F67" s="160">
        <v>1554</v>
      </c>
      <c r="G67" s="147">
        <f>+F67*(1+G34)</f>
        <v>1611.8101609453227</v>
      </c>
      <c r="H67" s="147">
        <f t="shared" ref="H67:K67" si="38">+G67*(1+H34)</f>
        <v>1659.1065684061214</v>
      </c>
      <c r="I67" s="147">
        <f t="shared" si="38"/>
        <v>1712.9464523836166</v>
      </c>
      <c r="J67" s="147">
        <f t="shared" si="38"/>
        <v>1779.8830770300676</v>
      </c>
      <c r="K67" s="147">
        <f t="shared" si="38"/>
        <v>1856.4946690309287</v>
      </c>
      <c r="O67" s="380"/>
    </row>
    <row r="68" spans="3:15" ht="14.4" customHeight="1">
      <c r="C68" s="12" t="s">
        <v>86</v>
      </c>
      <c r="D68" s="166">
        <v>2622096</v>
      </c>
      <c r="E68" s="166">
        <v>2777869</v>
      </c>
      <c r="F68" s="167">
        <v>2702859</v>
      </c>
      <c r="G68" s="150">
        <f ca="1">+SUM(G64:G67,G62)</f>
        <v>2705548.9815997854</v>
      </c>
      <c r="H68" s="150">
        <f t="shared" ref="H68:K68" ca="1" si="39">+SUM(H64:H67,H62)</f>
        <v>2695083.1606396791</v>
      </c>
      <c r="I68" s="150">
        <f t="shared" ca="1" si="39"/>
        <v>2302026.2815718949</v>
      </c>
      <c r="J68" s="150">
        <f t="shared" ca="1" si="39"/>
        <v>2358377.5954151168</v>
      </c>
      <c r="K68" s="150">
        <f t="shared" ca="1" si="39"/>
        <v>2422546.4901238405</v>
      </c>
    </row>
    <row r="69" spans="3:15" ht="14.4" customHeight="1">
      <c r="D69" s="162"/>
      <c r="E69" s="162"/>
      <c r="F69" s="160"/>
      <c r="G69" s="153"/>
      <c r="H69" s="153"/>
      <c r="I69" s="153"/>
      <c r="J69" s="153"/>
      <c r="K69" s="153"/>
    </row>
    <row r="70" spans="3:15" ht="14.4" customHeight="1">
      <c r="C70" s="12" t="s">
        <v>87</v>
      </c>
      <c r="D70" s="163">
        <v>1636434</v>
      </c>
      <c r="E70" s="163">
        <v>1929706</v>
      </c>
      <c r="F70" s="164">
        <v>2563655</v>
      </c>
      <c r="G70" s="150">
        <f ca="1">+F70+G31+G214-G215+G95</f>
        <v>3249802.1561920554</v>
      </c>
      <c r="H70" s="150">
        <f t="shared" ref="H70:K70" ca="1" si="40">+G70+H31+H214-H215+H95</f>
        <v>3991444.1393299345</v>
      </c>
      <c r="I70" s="150">
        <f t="shared" ca="1" si="40"/>
        <v>4786123.7745505711</v>
      </c>
      <c r="J70" s="150">
        <f t="shared" ca="1" si="40"/>
        <v>5639901.6186054051</v>
      </c>
      <c r="K70" s="150">
        <f t="shared" ca="1" si="40"/>
        <v>6554219.3746430567</v>
      </c>
      <c r="O70" s="380"/>
    </row>
    <row r="71" spans="3:15" ht="14.4" customHeight="1">
      <c r="C71" s="12" t="s">
        <v>88</v>
      </c>
      <c r="D71" s="163">
        <v>1636434</v>
      </c>
      <c r="E71" s="163">
        <v>1929706</v>
      </c>
      <c r="F71" s="164">
        <v>2563655</v>
      </c>
      <c r="G71" s="150">
        <f ca="1">+G70+G227</f>
        <v>3249802.1561920554</v>
      </c>
      <c r="H71" s="150">
        <f ca="1">+H70+H227</f>
        <v>3991444.1393299345</v>
      </c>
      <c r="I71" s="150">
        <f ca="1">+I70+I227</f>
        <v>4786123.7745505711</v>
      </c>
      <c r="J71" s="150">
        <f ca="1">+J70+J227</f>
        <v>5639901.6186054051</v>
      </c>
      <c r="K71" s="150">
        <f ca="1">+K70+K227</f>
        <v>6554219.3746430567</v>
      </c>
      <c r="O71" s="380"/>
    </row>
    <row r="72" spans="3:15" ht="14.4" customHeight="1">
      <c r="D72" s="162"/>
      <c r="E72" s="162"/>
      <c r="F72" s="160"/>
      <c r="G72" s="153"/>
      <c r="H72" s="153"/>
      <c r="I72" s="153"/>
      <c r="J72" s="153"/>
      <c r="K72" s="153"/>
    </row>
    <row r="73" spans="3:15" ht="14.4" customHeight="1">
      <c r="C73" s="274" t="s">
        <v>89</v>
      </c>
      <c r="D73" s="161">
        <v>4258530</v>
      </c>
      <c r="E73" s="161">
        <v>4707575</v>
      </c>
      <c r="F73" s="165">
        <v>5266514</v>
      </c>
      <c r="G73" s="161">
        <f ca="1">+G71+G68</f>
        <v>5955351.1377918404</v>
      </c>
      <c r="H73" s="161">
        <f t="shared" ref="H73:K73" ca="1" si="41">+H71+H68</f>
        <v>6686527.2999696136</v>
      </c>
      <c r="I73" s="161">
        <f t="shared" ca="1" si="41"/>
        <v>7088150.056122466</v>
      </c>
      <c r="J73" s="161">
        <f t="shared" ca="1" si="41"/>
        <v>7998279.2140205223</v>
      </c>
      <c r="K73" s="161">
        <f t="shared" ca="1" si="41"/>
        <v>8976765.8647668976</v>
      </c>
    </row>
    <row r="74" spans="3:15" ht="14.4" customHeight="1">
      <c r="C74" s="12"/>
      <c r="D74" s="162"/>
      <c r="E74" s="162"/>
      <c r="F74" s="160"/>
      <c r="G74" s="153"/>
      <c r="H74" s="153"/>
      <c r="I74" s="153"/>
      <c r="J74" s="153"/>
      <c r="K74" s="153"/>
    </row>
    <row r="75" spans="3:15" ht="14.4" customHeight="1">
      <c r="C75" s="13" t="s">
        <v>90</v>
      </c>
      <c r="D75" s="159">
        <f>+D56-D73</f>
        <v>0</v>
      </c>
      <c r="E75" s="159">
        <f t="shared" ref="E75:K75" si="42">+E56-E73</f>
        <v>0</v>
      </c>
      <c r="F75" s="160">
        <f t="shared" si="42"/>
        <v>0</v>
      </c>
      <c r="G75" s="147">
        <f t="shared" ca="1" si="42"/>
        <v>0</v>
      </c>
      <c r="H75" s="147">
        <f t="shared" ca="1" si="42"/>
        <v>0</v>
      </c>
      <c r="I75" s="147">
        <f t="shared" ca="1" si="42"/>
        <v>0</v>
      </c>
      <c r="J75" s="147">
        <f t="shared" ca="1" si="42"/>
        <v>0</v>
      </c>
      <c r="K75" s="147">
        <f t="shared" ca="1" si="42"/>
        <v>0</v>
      </c>
    </row>
    <row r="76" spans="3:15" ht="14.4" customHeight="1">
      <c r="H76" s="19"/>
      <c r="I76" s="19"/>
      <c r="J76" s="19"/>
      <c r="K76" s="19"/>
    </row>
    <row r="77" spans="3:15" ht="14.4" customHeight="1">
      <c r="C77" s="51" t="s">
        <v>91</v>
      </c>
      <c r="D77" s="401" t="s">
        <v>9</v>
      </c>
      <c r="E77" s="402"/>
      <c r="F77" s="403"/>
      <c r="G77" s="401" t="s">
        <v>10</v>
      </c>
      <c r="H77" s="402"/>
      <c r="I77" s="402"/>
      <c r="J77" s="402"/>
      <c r="K77" s="402"/>
    </row>
    <row r="78" spans="3:15" ht="14.4" customHeight="1">
      <c r="C78" s="51"/>
      <c r="D78" s="10">
        <f>+D$12</f>
        <v>44561</v>
      </c>
      <c r="E78" s="10">
        <f t="shared" ref="E78:K78" si="43">+E$12</f>
        <v>44926</v>
      </c>
      <c r="F78" s="11">
        <f t="shared" si="43"/>
        <v>45291</v>
      </c>
      <c r="G78" s="10">
        <f t="shared" si="43"/>
        <v>45657</v>
      </c>
      <c r="H78" s="10">
        <f t="shared" si="43"/>
        <v>46022</v>
      </c>
      <c r="I78" s="10">
        <f t="shared" si="43"/>
        <v>46387</v>
      </c>
      <c r="J78" s="10">
        <f t="shared" si="43"/>
        <v>46752</v>
      </c>
      <c r="K78" s="10">
        <f t="shared" si="43"/>
        <v>47118</v>
      </c>
    </row>
    <row r="80" spans="3:15" ht="14.4" customHeight="1">
      <c r="C80" s="380" t="s">
        <v>54</v>
      </c>
      <c r="D80" s="159">
        <v>324016</v>
      </c>
      <c r="E80" s="159">
        <v>555989</v>
      </c>
      <c r="F80" s="160">
        <v>614254</v>
      </c>
      <c r="G80" s="147">
        <f ca="1">+G26+G25</f>
        <v>672992.48952538881</v>
      </c>
      <c r="H80" s="147">
        <f t="shared" ref="H80:K80" ca="1" si="44">+H26+H25</f>
        <v>727874.42758232378</v>
      </c>
      <c r="I80" s="147">
        <f t="shared" ca="1" si="44"/>
        <v>780426.22781322943</v>
      </c>
      <c r="J80" s="147">
        <f t="shared" ca="1" si="44"/>
        <v>840052.63417829154</v>
      </c>
      <c r="K80" s="147">
        <f t="shared" ca="1" si="44"/>
        <v>900402.36509114993</v>
      </c>
    </row>
    <row r="81" spans="3:15" ht="14.4" customHeight="1">
      <c r="C81" s="380" t="s">
        <v>92</v>
      </c>
      <c r="D81" s="159">
        <v>79390</v>
      </c>
      <c r="E81" s="159">
        <v>123335</v>
      </c>
      <c r="F81" s="160">
        <v>132878</v>
      </c>
      <c r="G81" s="147">
        <f ca="1">+G28</f>
        <v>117580.7543250923</v>
      </c>
      <c r="H81" s="147">
        <f ca="1">+H28</f>
        <v>138036.58276881179</v>
      </c>
      <c r="I81" s="147">
        <f ca="1">+I28</f>
        <v>159617.57549712309</v>
      </c>
      <c r="J81" s="147">
        <f ca="1">+J28</f>
        <v>181671.04687455311</v>
      </c>
      <c r="K81" s="147">
        <f ca="1">+K28</f>
        <v>205964.7231215114</v>
      </c>
    </row>
    <row r="82" spans="3:15" ht="14.4" customHeight="1">
      <c r="C82" s="380" t="s">
        <v>93</v>
      </c>
      <c r="D82" s="159">
        <v>-2818</v>
      </c>
      <c r="E82" s="159">
        <v>6041</v>
      </c>
      <c r="F82" s="160">
        <v>-7476</v>
      </c>
      <c r="G82" s="159">
        <f>+F54-G54+G66-F66</f>
        <v>9074.4096263786778</v>
      </c>
      <c r="H82" s="159">
        <f t="shared" ref="H82:K82" si="45">+G54-H54+H66-G66</f>
        <v>7424.0750784508418</v>
      </c>
      <c r="I82" s="159">
        <f t="shared" si="45"/>
        <v>8451.1987764674705</v>
      </c>
      <c r="J82" s="159">
        <f t="shared" si="45"/>
        <v>10506.982528963184</v>
      </c>
      <c r="K82" s="159">
        <f t="shared" si="45"/>
        <v>12025.653562915104</v>
      </c>
    </row>
    <row r="83" spans="3:15" ht="14.4" customHeight="1">
      <c r="C83" s="380" t="s">
        <v>94</v>
      </c>
      <c r="D83" s="159">
        <v>38741</v>
      </c>
      <c r="E83" s="159">
        <v>29179</v>
      </c>
      <c r="F83" s="160">
        <v>32343</v>
      </c>
      <c r="G83" s="159">
        <f>+G31+F55-G55+G65-F65+G67-F67+F261-G261+G311-G314</f>
        <v>59250.96491664389</v>
      </c>
      <c r="H83" s="159">
        <f>+H31+G55-H55+H65-G65+H67-G67+G261-H261+H311-H314</f>
        <v>60742.843332132092</v>
      </c>
      <c r="I83" s="159">
        <f>+I31+H55-I55+I65-H65+I67-H67+H261-I261+I311-I314</f>
        <v>62818.621672715308</v>
      </c>
      <c r="J83" s="159">
        <f>+J31+I55-J55+J65-I65+J67-I67+I261-J261+J311-J314</f>
        <v>64425.057778933304</v>
      </c>
      <c r="K83" s="159">
        <f>+K31+J55-K55+K65-J65+K67-J67+J261-K261+K311-K314</f>
        <v>66889.213785036147</v>
      </c>
    </row>
    <row r="84" spans="3:15" ht="14.4" customHeight="1">
      <c r="C84" s="380" t="s">
        <v>95</v>
      </c>
      <c r="D84" s="159">
        <v>439329</v>
      </c>
      <c r="E84" s="159">
        <v>714544</v>
      </c>
      <c r="F84" s="160">
        <v>771999</v>
      </c>
      <c r="G84" s="159">
        <f ca="1">+SUM(G80:G83)</f>
        <v>858898.61839350371</v>
      </c>
      <c r="H84" s="159">
        <f t="shared" ref="H84:K84" ca="1" si="46">+SUM(H80:H83)</f>
        <v>934077.92876171856</v>
      </c>
      <c r="I84" s="159">
        <f t="shared" ca="1" si="46"/>
        <v>1011313.6237595353</v>
      </c>
      <c r="J84" s="159">
        <f t="shared" ca="1" si="46"/>
        <v>1096655.7213607412</v>
      </c>
      <c r="K84" s="159">
        <f t="shared" ca="1" si="46"/>
        <v>1185281.9555606127</v>
      </c>
    </row>
    <row r="85" spans="3:15" ht="14.4" customHeight="1">
      <c r="C85" s="380" t="s">
        <v>96</v>
      </c>
      <c r="D85" s="159">
        <v>-36304</v>
      </c>
      <c r="E85" s="159">
        <v>-218743</v>
      </c>
      <c r="F85" s="160">
        <v>77410</v>
      </c>
      <c r="G85" s="159">
        <f>+F47-G47+F48-G48+F49-G49+G59-F59+G60-F60+G61-F61</f>
        <v>-20430.626600867254</v>
      </c>
      <c r="H85" s="159">
        <f t="shared" ref="H85:K85" si="47">+G47-H47+G48-H48+G49-H49+H59-G59+H60-G60+H61-G61</f>
        <v>-17368.576459210512</v>
      </c>
      <c r="I85" s="159">
        <f t="shared" si="47"/>
        <v>-19210.451454100432</v>
      </c>
      <c r="J85" s="159">
        <f t="shared" si="47"/>
        <v>-23828.251654741878</v>
      </c>
      <c r="K85" s="159">
        <f t="shared" si="47"/>
        <v>-27252.057894992235</v>
      </c>
    </row>
    <row r="86" spans="3:15" ht="14.4" customHeight="1">
      <c r="C86" s="26" t="s">
        <v>97</v>
      </c>
      <c r="D86" s="163">
        <v>403025</v>
      </c>
      <c r="E86" s="163">
        <v>495801</v>
      </c>
      <c r="F86" s="164">
        <v>849409</v>
      </c>
      <c r="G86" s="163">
        <f ca="1">+SUM(G84:G85)</f>
        <v>838467.99179263646</v>
      </c>
      <c r="H86" s="163">
        <f t="shared" ref="H86:K86" ca="1" si="48">+SUM(H84:H85)</f>
        <v>916709.35230250808</v>
      </c>
      <c r="I86" s="163">
        <f t="shared" ca="1" si="48"/>
        <v>992103.17230543483</v>
      </c>
      <c r="J86" s="163">
        <f t="shared" ca="1" si="48"/>
        <v>1072827.4697059994</v>
      </c>
      <c r="K86" s="163">
        <f t="shared" ca="1" si="48"/>
        <v>1158029.8976656205</v>
      </c>
    </row>
    <row r="87" spans="3:15" ht="14.4" customHeight="1">
      <c r="D87" s="318"/>
      <c r="E87" s="318"/>
      <c r="F87" s="192"/>
      <c r="G87" s="162"/>
      <c r="H87" s="153"/>
      <c r="I87" s="153"/>
      <c r="J87" s="153"/>
      <c r="K87" s="153"/>
    </row>
    <row r="88" spans="3:15" ht="14.4" customHeight="1">
      <c r="C88" s="380" t="s">
        <v>98</v>
      </c>
      <c r="D88" s="159">
        <v>-55546</v>
      </c>
      <c r="E88" s="159">
        <v>-76382</v>
      </c>
      <c r="F88" s="160">
        <v>-63998</v>
      </c>
      <c r="G88" s="159">
        <f>-G181</f>
        <v>-78129.970313372236</v>
      </c>
      <c r="H88" s="147">
        <f t="shared" ref="H88:K88" si="49">-H181</f>
        <v>-77774.944653048515</v>
      </c>
      <c r="I88" s="147">
        <f t="shared" si="49"/>
        <v>-77958.358560824592</v>
      </c>
      <c r="J88" s="147">
        <f t="shared" si="49"/>
        <v>-83572.809548205681</v>
      </c>
      <c r="K88" s="147">
        <f t="shared" si="49"/>
        <v>-86229.827893273075</v>
      </c>
    </row>
    <row r="89" spans="3:15" ht="14.4" customHeight="1">
      <c r="C89" s="380" t="s">
        <v>99</v>
      </c>
      <c r="D89" s="159">
        <v>-1267114</v>
      </c>
      <c r="E89" s="159">
        <v>-20500</v>
      </c>
      <c r="F89" s="160">
        <v>-149154</v>
      </c>
      <c r="G89" s="295">
        <f ca="1">-G341</f>
        <v>-228101.40644377927</v>
      </c>
      <c r="H89" s="295">
        <f t="shared" ref="H89:K89" ca="1" si="50">-H341</f>
        <v>-251680.32229483785</v>
      </c>
      <c r="I89" s="295">
        <f t="shared" ca="1" si="50"/>
        <v>-274243.44412338303</v>
      </c>
      <c r="J89" s="295">
        <f t="shared" ca="1" si="50"/>
        <v>-296776.39804733807</v>
      </c>
      <c r="K89" s="295">
        <f t="shared" ca="1" si="50"/>
        <v>-321540.02093170426</v>
      </c>
    </row>
    <row r="90" spans="3:15" ht="14.4" customHeight="1">
      <c r="C90" s="380" t="s">
        <v>100</v>
      </c>
      <c r="D90" s="159">
        <v>415</v>
      </c>
      <c r="E90" s="159">
        <v>2975</v>
      </c>
      <c r="F90" s="160">
        <v>14982</v>
      </c>
      <c r="G90" s="205">
        <v>0</v>
      </c>
      <c r="H90" s="205">
        <v>0</v>
      </c>
      <c r="I90" s="205">
        <v>0</v>
      </c>
      <c r="J90" s="205">
        <v>0</v>
      </c>
      <c r="K90" s="205">
        <v>0</v>
      </c>
      <c r="O90" s="368"/>
    </row>
    <row r="91" spans="3:15" ht="14.4" customHeight="1">
      <c r="C91" s="380" t="s">
        <v>101</v>
      </c>
      <c r="D91" s="159">
        <v>0</v>
      </c>
      <c r="E91" s="159">
        <v>0</v>
      </c>
      <c r="F91" s="160">
        <v>0</v>
      </c>
      <c r="G91" s="159">
        <f>+F52-G52</f>
        <v>0</v>
      </c>
      <c r="H91" s="147">
        <f t="shared" ref="H91:K91" si="51">+G52-H52</f>
        <v>0</v>
      </c>
      <c r="I91" s="147">
        <f t="shared" si="51"/>
        <v>0</v>
      </c>
      <c r="J91" s="147">
        <f t="shared" si="51"/>
        <v>0</v>
      </c>
      <c r="K91" s="147">
        <f t="shared" si="51"/>
        <v>0</v>
      </c>
    </row>
    <row r="92" spans="3:15" ht="14.4" customHeight="1">
      <c r="C92" s="380" t="s">
        <v>94</v>
      </c>
      <c r="D92" s="159">
        <v>0</v>
      </c>
      <c r="E92" s="159">
        <v>0</v>
      </c>
      <c r="F92" s="160">
        <v>0</v>
      </c>
      <c r="G92" s="205">
        <v>0</v>
      </c>
      <c r="H92" s="254">
        <v>0</v>
      </c>
      <c r="I92" s="254">
        <v>0</v>
      </c>
      <c r="J92" s="254">
        <v>0</v>
      </c>
      <c r="K92" s="254">
        <v>0</v>
      </c>
      <c r="O92" s="368"/>
    </row>
    <row r="93" spans="3:15" ht="14.4" customHeight="1">
      <c r="C93" s="26" t="s">
        <v>102</v>
      </c>
      <c r="D93" s="163">
        <v>-1322245</v>
      </c>
      <c r="E93" s="163">
        <v>-93907</v>
      </c>
      <c r="F93" s="164">
        <v>-198170</v>
      </c>
      <c r="G93" s="163">
        <f ca="1">+SUM(G88:G92)</f>
        <v>-306231.37675715151</v>
      </c>
      <c r="H93" s="163">
        <f t="shared" ref="H93:K93" ca="1" si="52">+SUM(H88:H92)</f>
        <v>-329455.26694788638</v>
      </c>
      <c r="I93" s="163">
        <f t="shared" ca="1" si="52"/>
        <v>-352201.80268420762</v>
      </c>
      <c r="J93" s="163">
        <f t="shared" ca="1" si="52"/>
        <v>-380349.20759554376</v>
      </c>
      <c r="K93" s="163">
        <f t="shared" ca="1" si="52"/>
        <v>-407769.84882497735</v>
      </c>
      <c r="O93" s="368"/>
    </row>
    <row r="94" spans="3:15" ht="14.4" customHeight="1">
      <c r="C94" s="380"/>
      <c r="D94" s="370"/>
      <c r="E94" s="370"/>
      <c r="F94" s="371"/>
      <c r="G94" s="159"/>
      <c r="H94" s="147"/>
      <c r="I94" s="147"/>
      <c r="J94" s="147"/>
      <c r="K94" s="147"/>
      <c r="O94" s="368"/>
    </row>
    <row r="95" spans="3:15" ht="14.4" customHeight="1">
      <c r="C95" s="380" t="s">
        <v>103</v>
      </c>
      <c r="D95" s="159">
        <v>-32253</v>
      </c>
      <c r="E95" s="159">
        <v>-248022</v>
      </c>
      <c r="F95" s="160">
        <v>3130</v>
      </c>
      <c r="G95" s="205">
        <v>0</v>
      </c>
      <c r="H95" s="205">
        <v>0</v>
      </c>
      <c r="I95" s="205">
        <v>0</v>
      </c>
      <c r="J95" s="205">
        <v>0</v>
      </c>
      <c r="K95" s="205">
        <v>0</v>
      </c>
      <c r="O95" s="368"/>
    </row>
    <row r="96" spans="3:15" ht="14.4" customHeight="1">
      <c r="C96" s="380" t="s">
        <v>104</v>
      </c>
      <c r="D96" s="159">
        <v>770715</v>
      </c>
      <c r="E96" s="159">
        <v>-38658</v>
      </c>
      <c r="F96" s="160">
        <v>-40138</v>
      </c>
      <c r="G96" s="159">
        <f ca="1">+G270-F258</f>
        <v>-47039</v>
      </c>
      <c r="H96" s="159">
        <f t="shared" ref="H96:K96" ca="1" si="53">+H270-G258</f>
        <v>-48750</v>
      </c>
      <c r="I96" s="159">
        <f t="shared" ca="1" si="53"/>
        <v>-438750</v>
      </c>
      <c r="J96" s="159">
        <f t="shared" ca="1" si="53"/>
        <v>0</v>
      </c>
      <c r="K96" s="159">
        <f t="shared" ca="1" si="53"/>
        <v>0</v>
      </c>
      <c r="M96" s="380"/>
      <c r="O96" s="368"/>
    </row>
    <row r="97" spans="3:15" ht="14.4" customHeight="1">
      <c r="C97" s="380" t="s">
        <v>105</v>
      </c>
      <c r="D97" s="159">
        <v>0</v>
      </c>
      <c r="E97" s="159">
        <v>0</v>
      </c>
      <c r="F97" s="160">
        <v>0</v>
      </c>
      <c r="G97" s="159">
        <f ca="1">-G215</f>
        <v>0</v>
      </c>
      <c r="H97" s="159">
        <f t="shared" ref="H97:K97" ca="1" si="54">-H215</f>
        <v>0</v>
      </c>
      <c r="I97" s="159">
        <f t="shared" ca="1" si="54"/>
        <v>0</v>
      </c>
      <c r="J97" s="159">
        <f t="shared" ca="1" si="54"/>
        <v>0</v>
      </c>
      <c r="K97" s="159">
        <f t="shared" ca="1" si="54"/>
        <v>0</v>
      </c>
      <c r="M97" s="380"/>
      <c r="O97" s="368"/>
    </row>
    <row r="98" spans="3:15" ht="14.4" customHeight="1">
      <c r="C98" s="380" t="s">
        <v>94</v>
      </c>
      <c r="D98" s="159">
        <v>-9455</v>
      </c>
      <c r="E98" s="159">
        <v>-13393</v>
      </c>
      <c r="F98" s="160">
        <v>-6828</v>
      </c>
      <c r="G98" s="295">
        <f>-G293</f>
        <v>-1896.6207207207208</v>
      </c>
      <c r="H98" s="295">
        <f t="shared" ref="H98:K98" si="55">-H293</f>
        <v>-1967.1766725335253</v>
      </c>
      <c r="I98" s="295">
        <f t="shared" si="55"/>
        <v>-2024.9008336698196</v>
      </c>
      <c r="J98" s="295">
        <f t="shared" si="55"/>
        <v>-2090.6111551324425</v>
      </c>
      <c r="K98" s="295">
        <f t="shared" si="55"/>
        <v>-2172.3057428284301</v>
      </c>
      <c r="O98" s="368"/>
    </row>
    <row r="99" spans="3:15" ht="14.4" customHeight="1">
      <c r="C99" s="26" t="s">
        <v>106</v>
      </c>
      <c r="D99" s="163">
        <v>729007</v>
      </c>
      <c r="E99" s="163">
        <v>-300073</v>
      </c>
      <c r="F99" s="164">
        <v>-43836</v>
      </c>
      <c r="G99" s="163">
        <f ca="1">+SUM(G95:G98)</f>
        <v>-48935.620720720719</v>
      </c>
      <c r="H99" s="163">
        <f t="shared" ref="H99:K99" ca="1" si="56">+SUM(H95:H98)</f>
        <v>-50717.176672533526</v>
      </c>
      <c r="I99" s="163">
        <f t="shared" ca="1" si="56"/>
        <v>-440774.90083366982</v>
      </c>
      <c r="J99" s="163">
        <f t="shared" ca="1" si="56"/>
        <v>-2090.6111551324425</v>
      </c>
      <c r="K99" s="163">
        <f t="shared" ca="1" si="56"/>
        <v>-2172.3057428284301</v>
      </c>
      <c r="O99" s="368"/>
    </row>
    <row r="100" spans="3:15" ht="14.4" customHeight="1">
      <c r="C100" s="12"/>
      <c r="D100" s="372"/>
      <c r="E100" s="372"/>
      <c r="F100" s="164"/>
      <c r="G100" s="163"/>
      <c r="H100" s="150"/>
      <c r="I100" s="150"/>
      <c r="J100" s="150"/>
      <c r="K100" s="150"/>
      <c r="O100" s="368"/>
    </row>
    <row r="101" spans="3:15" ht="14.4" customHeight="1">
      <c r="C101" s="18" t="s">
        <v>107</v>
      </c>
      <c r="D101" s="159">
        <v>-15</v>
      </c>
      <c r="E101" s="159">
        <v>-1531</v>
      </c>
      <c r="F101" s="160">
        <v>1093</v>
      </c>
      <c r="G101" s="205">
        <v>0</v>
      </c>
      <c r="H101" s="205">
        <v>0</v>
      </c>
      <c r="I101" s="205">
        <v>0</v>
      </c>
      <c r="J101" s="205">
        <v>0</v>
      </c>
      <c r="K101" s="205">
        <v>0</v>
      </c>
      <c r="O101" s="368"/>
    </row>
    <row r="102" spans="3:15" ht="14.4" customHeight="1">
      <c r="D102" s="168"/>
      <c r="E102" s="168"/>
      <c r="F102" s="160"/>
      <c r="G102" s="162"/>
      <c r="H102" s="153"/>
      <c r="I102" s="153"/>
      <c r="J102" s="153"/>
      <c r="K102" s="153"/>
    </row>
    <row r="103" spans="3:15" ht="14.4" customHeight="1">
      <c r="C103" s="69" t="s">
        <v>108</v>
      </c>
      <c r="D103" s="169">
        <v>-190228</v>
      </c>
      <c r="E103" s="169">
        <v>100290</v>
      </c>
      <c r="F103" s="170">
        <v>608496</v>
      </c>
      <c r="G103" s="169">
        <f ca="1">+G86+G93+G99+G101</f>
        <v>483300.99431476428</v>
      </c>
      <c r="H103" s="169">
        <f t="shared" ref="H103:K103" ca="1" si="57">+H86+H93+H99+H101</f>
        <v>536536.90868208825</v>
      </c>
      <c r="I103" s="169">
        <f t="shared" ca="1" si="57"/>
        <v>199126.46878755745</v>
      </c>
      <c r="J103" s="169">
        <f t="shared" ca="1" si="57"/>
        <v>690387.65095532325</v>
      </c>
      <c r="K103" s="169">
        <f t="shared" ca="1" si="57"/>
        <v>748087.74309781473</v>
      </c>
      <c r="L103" s="24"/>
    </row>
    <row r="104" spans="3:15" ht="14.4" customHeight="1">
      <c r="C104" s="21"/>
      <c r="D104" s="21"/>
      <c r="E104" s="21"/>
      <c r="F104" s="21"/>
      <c r="G104" s="21"/>
      <c r="H104" s="21"/>
      <c r="I104" s="21"/>
      <c r="J104" s="21"/>
      <c r="K104" s="21"/>
      <c r="L104" s="21"/>
    </row>
    <row r="105" spans="3:15" ht="14.4" customHeight="1" thickBot="1">
      <c r="C105" s="50" t="s">
        <v>109</v>
      </c>
      <c r="D105" s="4"/>
      <c r="E105" s="4"/>
      <c r="F105" s="4"/>
      <c r="G105" s="4"/>
      <c r="H105" s="4"/>
      <c r="I105" s="4"/>
      <c r="J105" s="4"/>
      <c r="K105" s="4"/>
      <c r="L105" s="21"/>
    </row>
    <row r="106" spans="3:15" ht="14.4" customHeight="1">
      <c r="L106" s="21"/>
    </row>
    <row r="107" spans="3:15" ht="14.4" customHeight="1">
      <c r="C107" s="51" t="s">
        <v>110</v>
      </c>
      <c r="D107" s="401" t="s">
        <v>9</v>
      </c>
      <c r="E107" s="402"/>
      <c r="F107" s="403"/>
      <c r="G107" s="401" t="s">
        <v>10</v>
      </c>
      <c r="H107" s="402"/>
      <c r="I107" s="402"/>
      <c r="J107" s="402"/>
      <c r="K107" s="402"/>
      <c r="L107" s="21"/>
    </row>
    <row r="108" spans="3:15" ht="14.4" customHeight="1">
      <c r="C108" s="51"/>
      <c r="D108" s="10">
        <f>+D$12</f>
        <v>44561</v>
      </c>
      <c r="E108" s="10">
        <f t="shared" ref="E108:K108" si="58">+E$12</f>
        <v>44926</v>
      </c>
      <c r="F108" s="11">
        <f t="shared" si="58"/>
        <v>45291</v>
      </c>
      <c r="G108" s="10">
        <f t="shared" si="58"/>
        <v>45657</v>
      </c>
      <c r="H108" s="10">
        <f t="shared" si="58"/>
        <v>46022</v>
      </c>
      <c r="I108" s="10">
        <f t="shared" si="58"/>
        <v>46387</v>
      </c>
      <c r="J108" s="10">
        <f t="shared" si="58"/>
        <v>46752</v>
      </c>
      <c r="K108" s="10">
        <f t="shared" si="58"/>
        <v>47118</v>
      </c>
      <c r="L108" s="21"/>
    </row>
    <row r="109" spans="3:15" ht="14.4" customHeight="1">
      <c r="L109" s="21"/>
    </row>
    <row r="110" spans="3:15" ht="14.4" customHeight="1">
      <c r="C110" s="7" t="s">
        <v>111</v>
      </c>
      <c r="F110" s="52"/>
      <c r="G110" s="14"/>
      <c r="L110" s="21"/>
    </row>
    <row r="111" spans="3:15" ht="14.4" customHeight="1">
      <c r="C111" s="6" t="s">
        <v>112</v>
      </c>
      <c r="D111" s="171"/>
      <c r="E111" s="147">
        <f>+D113</f>
        <v>668419</v>
      </c>
      <c r="F111" s="172">
        <f>+E113</f>
        <v>836071</v>
      </c>
      <c r="G111" s="147">
        <f>+F113</f>
        <v>799009</v>
      </c>
      <c r="H111" s="147">
        <f t="shared" ref="H111:K111" si="59">+G113</f>
        <v>828732.83454746543</v>
      </c>
      <c r="I111" s="147">
        <f t="shared" si="59"/>
        <v>853050.88810528093</v>
      </c>
      <c r="J111" s="147">
        <f t="shared" si="59"/>
        <v>880733.35390770982</v>
      </c>
      <c r="K111" s="147">
        <f t="shared" si="59"/>
        <v>915149.67663752718</v>
      </c>
      <c r="L111" s="21"/>
    </row>
    <row r="112" spans="3:15" ht="14.4" customHeight="1">
      <c r="C112" s="6" t="s">
        <v>113</v>
      </c>
      <c r="D112" s="171"/>
      <c r="E112" s="147">
        <f>+E113-E111</f>
        <v>167652</v>
      </c>
      <c r="F112" s="172">
        <f>+F113-F111</f>
        <v>-37062</v>
      </c>
      <c r="G112" s="147">
        <f t="shared" ref="G112:K112" si="60">+G113-G111</f>
        <v>29723.834547465434</v>
      </c>
      <c r="H112" s="147">
        <f t="shared" si="60"/>
        <v>24318.053557815496</v>
      </c>
      <c r="I112" s="147">
        <f t="shared" si="60"/>
        <v>27682.465802428895</v>
      </c>
      <c r="J112" s="147">
        <f t="shared" si="60"/>
        <v>34416.322729817359</v>
      </c>
      <c r="K112" s="147">
        <f t="shared" si="60"/>
        <v>39390.831089456915</v>
      </c>
      <c r="L112" s="21"/>
    </row>
    <row r="113" spans="3:15" ht="14.4" customHeight="1">
      <c r="C113" s="54" t="s">
        <v>114</v>
      </c>
      <c r="D113" s="150">
        <f>+D47</f>
        <v>668419</v>
      </c>
      <c r="E113" s="150">
        <f>+E47</f>
        <v>836071</v>
      </c>
      <c r="F113" s="173">
        <f>+F47</f>
        <v>799009</v>
      </c>
      <c r="G113" s="150">
        <f>+IF($E$115=1,F113*(1+G117),IF($E$115=2,G119*G118/365,"NA"))</f>
        <v>828732.83454746543</v>
      </c>
      <c r="H113" s="150">
        <f t="shared" ref="H113:K113" si="61">+IF($E$115=1,G113*(1+H117),IF($E$115=2,H119*H118/365,"NA"))</f>
        <v>853050.88810528093</v>
      </c>
      <c r="I113" s="150">
        <f t="shared" si="61"/>
        <v>880733.35390770982</v>
      </c>
      <c r="J113" s="150">
        <f t="shared" si="61"/>
        <v>915149.67663752718</v>
      </c>
      <c r="K113" s="150">
        <f t="shared" si="61"/>
        <v>954540.5077269841</v>
      </c>
      <c r="L113" s="21"/>
    </row>
    <row r="114" spans="3:15" ht="14.4" customHeight="1">
      <c r="F114" s="52"/>
      <c r="L114" s="21"/>
    </row>
    <row r="115" spans="3:15" ht="14.4" customHeight="1">
      <c r="C115" s="6" t="s">
        <v>115</v>
      </c>
      <c r="E115" s="15">
        <v>1</v>
      </c>
      <c r="F115" s="52"/>
      <c r="L115" s="21"/>
    </row>
    <row r="116" spans="3:15" ht="14.4" customHeight="1">
      <c r="C116" s="6"/>
      <c r="F116" s="52"/>
      <c r="L116" s="21"/>
    </row>
    <row r="117" spans="3:15" ht="14.4" customHeight="1">
      <c r="C117" s="6" t="s">
        <v>116</v>
      </c>
      <c r="D117" s="174"/>
      <c r="E117" s="144">
        <f t="shared" ref="E117:K117" si="62">+E34</f>
        <v>0.4367316685440652</v>
      </c>
      <c r="F117" s="175">
        <f t="shared" si="62"/>
        <v>3.7125075667672425E-2</v>
      </c>
      <c r="G117" s="176">
        <f t="shared" si="62"/>
        <v>3.7200875769190844E-2</v>
      </c>
      <c r="H117" s="176">
        <f t="shared" si="62"/>
        <v>2.9343658829560582E-2</v>
      </c>
      <c r="I117" s="176">
        <f t="shared" si="62"/>
        <v>3.2451130628226244E-2</v>
      </c>
      <c r="J117" s="176">
        <f t="shared" si="62"/>
        <v>3.9076892656689122E-2</v>
      </c>
      <c r="K117" s="176">
        <f t="shared" si="62"/>
        <v>4.3043047596528661E-2</v>
      </c>
      <c r="L117" s="21"/>
    </row>
    <row r="118" spans="3:15" ht="14.4" customHeight="1">
      <c r="C118" s="6" t="s">
        <v>117</v>
      </c>
      <c r="D118" s="55">
        <f>+D113*365/D119</f>
        <v>69.982343274510086</v>
      </c>
      <c r="E118" s="55">
        <f t="shared" ref="E118:F118" si="63">+E113*365/E119</f>
        <v>60.926634501583628</v>
      </c>
      <c r="F118" s="56">
        <f t="shared" si="63"/>
        <v>56.141571572839517</v>
      </c>
      <c r="G118" s="203">
        <f>+'Revenue Build &amp; Growth Drivers'!G49</f>
        <v>55</v>
      </c>
      <c r="H118" s="203">
        <f>+'Revenue Build &amp; Growth Drivers'!H49</f>
        <v>55</v>
      </c>
      <c r="I118" s="203">
        <f>+'Revenue Build &amp; Growth Drivers'!I49</f>
        <v>55</v>
      </c>
      <c r="J118" s="203">
        <f>+'Revenue Build &amp; Growth Drivers'!J49</f>
        <v>55</v>
      </c>
      <c r="K118" s="203">
        <f>+'Revenue Build &amp; Growth Drivers'!K49</f>
        <v>55</v>
      </c>
      <c r="L118" s="21"/>
      <c r="O118" s="380"/>
    </row>
    <row r="119" spans="3:15" ht="14.4" customHeight="1">
      <c r="C119" s="6" t="s">
        <v>118</v>
      </c>
      <c r="D119" s="147">
        <f t="shared" ref="D119:K119" si="64">+D14</f>
        <v>3486207</v>
      </c>
      <c r="E119" s="147">
        <f t="shared" si="64"/>
        <v>5008744</v>
      </c>
      <c r="F119" s="172">
        <f t="shared" si="64"/>
        <v>5194694</v>
      </c>
      <c r="G119" s="147">
        <f t="shared" si="64"/>
        <v>5387941.1661529606</v>
      </c>
      <c r="H119" s="147">
        <f t="shared" si="64"/>
        <v>5546043.0735262977</v>
      </c>
      <c r="I119" s="147">
        <f t="shared" si="64"/>
        <v>5726018.4417750686</v>
      </c>
      <c r="J119" s="147">
        <f t="shared" si="64"/>
        <v>5949773.4497745354</v>
      </c>
      <c r="K119" s="147">
        <f t="shared" si="64"/>
        <v>6205869.8315617433</v>
      </c>
      <c r="L119" s="21"/>
    </row>
    <row r="120" spans="3:15" ht="14.4" customHeight="1">
      <c r="C120" s="6"/>
      <c r="D120" s="14"/>
      <c r="E120" s="14"/>
      <c r="F120" s="53"/>
      <c r="G120" s="14"/>
      <c r="H120" s="14"/>
      <c r="I120" s="14"/>
      <c r="J120" s="14"/>
      <c r="K120" s="14"/>
      <c r="L120" s="21"/>
    </row>
    <row r="121" spans="3:15" ht="14.4" customHeight="1">
      <c r="C121" s="57" t="s">
        <v>68</v>
      </c>
      <c r="F121" s="52"/>
      <c r="L121" s="21"/>
    </row>
    <row r="122" spans="3:15" ht="14.4" customHeight="1">
      <c r="C122" s="6" t="s">
        <v>112</v>
      </c>
      <c r="D122" s="171"/>
      <c r="E122" s="147">
        <f>+D124</f>
        <v>352801</v>
      </c>
      <c r="F122" s="172">
        <f t="shared" ref="F122:K122" si="65">+E124</f>
        <v>438644</v>
      </c>
      <c r="G122" s="147">
        <f t="shared" si="65"/>
        <v>364731</v>
      </c>
      <c r="H122" s="147">
        <f t="shared" si="65"/>
        <v>377610.83428039344</v>
      </c>
      <c r="I122" s="147">
        <f t="shared" si="65"/>
        <v>385874.71401989303</v>
      </c>
      <c r="J122" s="147">
        <f t="shared" si="65"/>
        <v>397233.58247938071</v>
      </c>
      <c r="K122" s="147">
        <f t="shared" si="65"/>
        <v>411547.57991918316</v>
      </c>
      <c r="L122" s="21"/>
    </row>
    <row r="123" spans="3:15" ht="14.4" customHeight="1">
      <c r="C123" s="6" t="s">
        <v>113</v>
      </c>
      <c r="D123" s="171"/>
      <c r="E123" s="147">
        <f>+E124-E122</f>
        <v>85843</v>
      </c>
      <c r="F123" s="172">
        <f t="shared" ref="F123:K123" si="66">+F124-F122</f>
        <v>-73913</v>
      </c>
      <c r="G123" s="147">
        <f t="shared" si="66"/>
        <v>12879.834280393436</v>
      </c>
      <c r="H123" s="147">
        <f t="shared" si="66"/>
        <v>8263.8797394995927</v>
      </c>
      <c r="I123" s="147">
        <f t="shared" si="66"/>
        <v>11358.868459487683</v>
      </c>
      <c r="J123" s="147">
        <f t="shared" si="66"/>
        <v>14313.99743980245</v>
      </c>
      <c r="K123" s="147">
        <f t="shared" si="66"/>
        <v>16453.581183796341</v>
      </c>
      <c r="L123" s="21"/>
    </row>
    <row r="124" spans="3:15" ht="14.4" customHeight="1">
      <c r="C124" s="54" t="s">
        <v>114</v>
      </c>
      <c r="D124" s="150">
        <f>+D48</f>
        <v>352801</v>
      </c>
      <c r="E124" s="150">
        <f>+E48</f>
        <v>438644</v>
      </c>
      <c r="F124" s="173">
        <f>+F48</f>
        <v>364731</v>
      </c>
      <c r="G124" s="150">
        <f>+IF($E$126=1,F124*(1+G128),IF($E$126=2,G130/G129,"NA"))</f>
        <v>377610.83428039344</v>
      </c>
      <c r="H124" s="150">
        <f t="shared" ref="H124:K124" si="67">+IF($E$126=1,G124*(1+H128),IF($E$126=2,H130/H129,"NA"))</f>
        <v>385874.71401989303</v>
      </c>
      <c r="I124" s="150">
        <f t="shared" si="67"/>
        <v>397233.58247938071</v>
      </c>
      <c r="J124" s="150">
        <f t="shared" si="67"/>
        <v>411547.57991918316</v>
      </c>
      <c r="K124" s="150">
        <f t="shared" si="67"/>
        <v>428001.1611029795</v>
      </c>
      <c r="L124" s="21"/>
    </row>
    <row r="125" spans="3:15" ht="14.4" customHeight="1">
      <c r="F125" s="52"/>
      <c r="L125" s="21"/>
    </row>
    <row r="126" spans="3:15" ht="14.4" customHeight="1">
      <c r="C126" s="6" t="s">
        <v>119</v>
      </c>
      <c r="E126" s="15">
        <v>1</v>
      </c>
      <c r="F126" s="52"/>
      <c r="L126" s="21"/>
    </row>
    <row r="127" spans="3:15" ht="14.4" customHeight="1">
      <c r="C127" s="6"/>
      <c r="F127" s="52"/>
      <c r="L127" s="21"/>
    </row>
    <row r="128" spans="3:15" ht="14.4" customHeight="1">
      <c r="C128" s="6" t="s">
        <v>120</v>
      </c>
      <c r="D128" s="174"/>
      <c r="E128" s="177">
        <f>+E130/D130-1</f>
        <v>0.40218160710688444</v>
      </c>
      <c r="F128" s="178">
        <f t="shared" ref="F128:K128" si="68">+F130/E130-1</f>
        <v>1.9548129272222603E-2</v>
      </c>
      <c r="G128" s="177">
        <f t="shared" si="68"/>
        <v>3.5313242582597715E-2</v>
      </c>
      <c r="H128" s="177">
        <f t="shared" si="68"/>
        <v>2.1884646809056552E-2</v>
      </c>
      <c r="I128" s="177">
        <f t="shared" si="68"/>
        <v>2.9436674772377325E-2</v>
      </c>
      <c r="J128" s="177">
        <f t="shared" si="68"/>
        <v>3.6034207758719461E-2</v>
      </c>
      <c r="K128" s="177">
        <f t="shared" si="68"/>
        <v>3.9979778734277494E-2</v>
      </c>
      <c r="L128" s="21"/>
    </row>
    <row r="129" spans="3:15" ht="14.4" customHeight="1">
      <c r="C129" s="6" t="s">
        <v>121</v>
      </c>
      <c r="D129" s="179"/>
      <c r="E129" s="180">
        <f>+E130/E124</f>
        <v>8.029347261104677</v>
      </c>
      <c r="F129" s="181">
        <f t="shared" ref="F129" si="69">+F130/F124</f>
        <v>9.8452667856584721</v>
      </c>
      <c r="G129" s="204">
        <f>'Revenue Build &amp; Growth Drivers'!G50</f>
        <v>10</v>
      </c>
      <c r="H129" s="204">
        <f>'Revenue Build &amp; Growth Drivers'!H50</f>
        <v>10</v>
      </c>
      <c r="I129" s="204">
        <f>'Revenue Build &amp; Growth Drivers'!I50</f>
        <v>10</v>
      </c>
      <c r="J129" s="204">
        <f>'Revenue Build &amp; Growth Drivers'!J50</f>
        <v>10</v>
      </c>
      <c r="K129" s="204">
        <f>'Revenue Build &amp; Growth Drivers'!K50</f>
        <v>10</v>
      </c>
      <c r="L129" s="21"/>
      <c r="O129" s="380"/>
    </row>
    <row r="130" spans="3:15" ht="14.4" customHeight="1">
      <c r="C130" s="6" t="s">
        <v>122</v>
      </c>
      <c r="D130" s="147">
        <f t="shared" ref="D130:K130" si="70">+D15</f>
        <v>2511818</v>
      </c>
      <c r="E130" s="147">
        <f t="shared" si="70"/>
        <v>3522025</v>
      </c>
      <c r="F130" s="172">
        <f t="shared" si="70"/>
        <v>3590874</v>
      </c>
      <c r="G130" s="147">
        <f t="shared" si="70"/>
        <v>3717679.4046455426</v>
      </c>
      <c r="H130" s="147">
        <f t="shared" si="70"/>
        <v>3799039.5053655142</v>
      </c>
      <c r="I130" s="147">
        <f t="shared" si="70"/>
        <v>3910870.5957323718</v>
      </c>
      <c r="J130" s="147">
        <f t="shared" si="70"/>
        <v>4051795.7192964586</v>
      </c>
      <c r="K130" s="147">
        <f t="shared" si="70"/>
        <v>4213785.6156304237</v>
      </c>
      <c r="L130" s="21"/>
    </row>
    <row r="131" spans="3:15" ht="14.4" customHeight="1">
      <c r="C131" s="6"/>
      <c r="D131" s="14"/>
      <c r="E131" s="14"/>
      <c r="F131" s="53"/>
      <c r="G131" s="14"/>
      <c r="H131" s="14"/>
      <c r="I131" s="14"/>
      <c r="J131" s="14"/>
      <c r="K131" s="14"/>
      <c r="L131" s="21"/>
    </row>
    <row r="132" spans="3:15" ht="14.4" customHeight="1">
      <c r="C132" s="59" t="s">
        <v>123</v>
      </c>
      <c r="D132" s="161">
        <f>+D113+D124</f>
        <v>1021220</v>
      </c>
      <c r="E132" s="161">
        <f t="shared" ref="E132:K132" si="71">+E113+E124</f>
        <v>1274715</v>
      </c>
      <c r="F132" s="182">
        <f t="shared" si="71"/>
        <v>1163740</v>
      </c>
      <c r="G132" s="161">
        <f t="shared" si="71"/>
        <v>1206343.6688278588</v>
      </c>
      <c r="H132" s="161">
        <f t="shared" si="71"/>
        <v>1238925.6021251739</v>
      </c>
      <c r="I132" s="161">
        <f t="shared" si="71"/>
        <v>1277966.9363870905</v>
      </c>
      <c r="J132" s="161">
        <f t="shared" si="71"/>
        <v>1326697.2565567102</v>
      </c>
      <c r="K132" s="161">
        <f t="shared" si="71"/>
        <v>1382541.6688299635</v>
      </c>
      <c r="L132" s="21"/>
    </row>
    <row r="133" spans="3:15" ht="14.4" customHeight="1">
      <c r="D133" s="19"/>
      <c r="L133" s="21"/>
    </row>
    <row r="134" spans="3:15" ht="14.4" customHeight="1">
      <c r="C134" s="51" t="s">
        <v>124</v>
      </c>
      <c r="D134" s="401" t="s">
        <v>9</v>
      </c>
      <c r="E134" s="402"/>
      <c r="F134" s="403"/>
      <c r="G134" s="401" t="s">
        <v>10</v>
      </c>
      <c r="H134" s="402"/>
      <c r="I134" s="402"/>
      <c r="J134" s="402"/>
      <c r="K134" s="402"/>
      <c r="L134" s="21"/>
    </row>
    <row r="135" spans="3:15" ht="14.4" customHeight="1">
      <c r="C135" s="51"/>
      <c r="D135" s="10">
        <f>+D$12</f>
        <v>44561</v>
      </c>
      <c r="E135" s="10">
        <f t="shared" ref="E135:K135" si="72">+E$12</f>
        <v>44926</v>
      </c>
      <c r="F135" s="11">
        <f t="shared" si="72"/>
        <v>45291</v>
      </c>
      <c r="G135" s="10">
        <f t="shared" si="72"/>
        <v>45657</v>
      </c>
      <c r="H135" s="10">
        <f t="shared" si="72"/>
        <v>46022</v>
      </c>
      <c r="I135" s="10">
        <f t="shared" si="72"/>
        <v>46387</v>
      </c>
      <c r="J135" s="10">
        <f t="shared" si="72"/>
        <v>46752</v>
      </c>
      <c r="K135" s="10">
        <f t="shared" si="72"/>
        <v>47118</v>
      </c>
      <c r="L135" s="21"/>
    </row>
    <row r="136" spans="3:15" ht="14.4" customHeight="1">
      <c r="L136" s="21"/>
    </row>
    <row r="137" spans="3:15" ht="14.4" customHeight="1">
      <c r="C137" s="7" t="s">
        <v>78</v>
      </c>
      <c r="F137" s="52"/>
      <c r="G137" s="14"/>
      <c r="L137" s="21"/>
    </row>
    <row r="138" spans="3:15" ht="14.4" customHeight="1">
      <c r="C138" s="6" t="s">
        <v>112</v>
      </c>
      <c r="D138" s="171"/>
      <c r="E138" s="147">
        <f>+D140</f>
        <v>461917</v>
      </c>
      <c r="F138" s="172">
        <f>+E140</f>
        <v>487114</v>
      </c>
      <c r="G138" s="147">
        <f>+F140</f>
        <v>469585</v>
      </c>
      <c r="H138" s="147">
        <f t="shared" ref="H138" si="73">+G140</f>
        <v>486167.56901814917</v>
      </c>
      <c r="I138" s="147">
        <f t="shared" ref="I138" si="74">+H140</f>
        <v>496807.17455612897</v>
      </c>
      <c r="J138" s="147">
        <f t="shared" ref="J138" si="75">+I140</f>
        <v>511431.52577812143</v>
      </c>
      <c r="K138" s="147">
        <f t="shared" ref="K138" si="76">+J140</f>
        <v>529860.55563236913</v>
      </c>
      <c r="L138" s="21"/>
    </row>
    <row r="139" spans="3:15" ht="14.4" customHeight="1">
      <c r="C139" s="6" t="s">
        <v>113</v>
      </c>
      <c r="D139" s="171"/>
      <c r="E139" s="147">
        <f>+E140-E138</f>
        <v>25197</v>
      </c>
      <c r="F139" s="172">
        <f>+F140-F138</f>
        <v>-17529</v>
      </c>
      <c r="G139" s="147">
        <f t="shared" ref="G139:K139" si="77">+G140-G138</f>
        <v>16582.569018149166</v>
      </c>
      <c r="H139" s="147">
        <f t="shared" si="77"/>
        <v>10639.605537979805</v>
      </c>
      <c r="I139" s="147">
        <f t="shared" si="77"/>
        <v>14624.35122199246</v>
      </c>
      <c r="J139" s="147">
        <f t="shared" si="77"/>
        <v>18429.029854247696</v>
      </c>
      <c r="K139" s="147">
        <f t="shared" si="77"/>
        <v>21183.707774203504</v>
      </c>
      <c r="L139" s="21"/>
    </row>
    <row r="140" spans="3:15" ht="14.4" customHeight="1">
      <c r="C140" s="54" t="s">
        <v>114</v>
      </c>
      <c r="D140" s="150">
        <f>+D59</f>
        <v>461917</v>
      </c>
      <c r="E140" s="150">
        <f t="shared" ref="E140:F140" si="78">+E59</f>
        <v>487114</v>
      </c>
      <c r="F140" s="173">
        <f t="shared" si="78"/>
        <v>469585</v>
      </c>
      <c r="G140" s="150">
        <f>+IF($E$142=1,F140*(1+G144),IF($E$142=2,G146*G145/365,"NA"))</f>
        <v>486167.56901814917</v>
      </c>
      <c r="H140" s="150">
        <f t="shared" ref="H140:K140" si="79">+IF($E$142=1,G140*(1+H144),IF($E$142=2,H146*H145/365,"NA"))</f>
        <v>496807.17455612897</v>
      </c>
      <c r="I140" s="150">
        <f t="shared" si="79"/>
        <v>511431.52577812143</v>
      </c>
      <c r="J140" s="150">
        <f t="shared" si="79"/>
        <v>529860.55563236913</v>
      </c>
      <c r="K140" s="150">
        <f t="shared" si="79"/>
        <v>551044.26340657263</v>
      </c>
      <c r="L140" s="21"/>
    </row>
    <row r="141" spans="3:15" ht="14.4" customHeight="1">
      <c r="F141" s="52"/>
      <c r="L141" s="21"/>
    </row>
    <row r="142" spans="3:15" ht="14.4" customHeight="1">
      <c r="C142" s="6" t="s">
        <v>125</v>
      </c>
      <c r="E142" s="15">
        <v>1</v>
      </c>
      <c r="F142" s="52"/>
      <c r="L142" s="21"/>
    </row>
    <row r="143" spans="3:15" ht="14.4" customHeight="1">
      <c r="C143" s="6"/>
      <c r="F143" s="52"/>
      <c r="L143" s="21"/>
    </row>
    <row r="144" spans="3:15" ht="14.4" customHeight="1">
      <c r="C144" s="6" t="s">
        <v>120</v>
      </c>
      <c r="D144" s="174"/>
      <c r="E144" s="144">
        <f>+E146/D146-1</f>
        <v>0.40218160710688444</v>
      </c>
      <c r="F144" s="175">
        <f t="shared" ref="F144:K144" si="80">+F146/E146-1</f>
        <v>1.9548129272222603E-2</v>
      </c>
      <c r="G144" s="176">
        <f t="shared" si="80"/>
        <v>3.5313242582597715E-2</v>
      </c>
      <c r="H144" s="176">
        <f t="shared" si="80"/>
        <v>2.1884646809056552E-2</v>
      </c>
      <c r="I144" s="176">
        <f t="shared" si="80"/>
        <v>2.9436674772377325E-2</v>
      </c>
      <c r="J144" s="176">
        <f t="shared" si="80"/>
        <v>3.6034207758719461E-2</v>
      </c>
      <c r="K144" s="176">
        <f t="shared" si="80"/>
        <v>3.9979778734277494E-2</v>
      </c>
      <c r="L144" s="21"/>
    </row>
    <row r="145" spans="3:15" ht="14.4" customHeight="1">
      <c r="C145" s="6" t="s">
        <v>126</v>
      </c>
      <c r="D145" s="55">
        <f>+D140*365/D146</f>
        <v>67.122580139166132</v>
      </c>
      <c r="E145" s="55">
        <f t="shared" ref="E145:F145" si="81">+E140*365/E146</f>
        <v>50.481359445205527</v>
      </c>
      <c r="F145" s="56">
        <f t="shared" si="81"/>
        <v>47.731701251561596</v>
      </c>
      <c r="G145" s="203">
        <f>'Revenue Build &amp; Growth Drivers'!G51</f>
        <v>50</v>
      </c>
      <c r="H145" s="203">
        <f>'Revenue Build &amp; Growth Drivers'!H51</f>
        <v>50</v>
      </c>
      <c r="I145" s="203">
        <f>'Revenue Build &amp; Growth Drivers'!I51</f>
        <v>50</v>
      </c>
      <c r="J145" s="203">
        <f>'Revenue Build &amp; Growth Drivers'!J51</f>
        <v>50</v>
      </c>
      <c r="K145" s="203">
        <f>'Revenue Build &amp; Growth Drivers'!K51</f>
        <v>50</v>
      </c>
      <c r="L145" s="21"/>
      <c r="O145" s="380"/>
    </row>
    <row r="146" spans="3:15" ht="14.4" customHeight="1">
      <c r="C146" s="299" t="s">
        <v>122</v>
      </c>
      <c r="D146" s="366">
        <f>+D15</f>
        <v>2511818</v>
      </c>
      <c r="E146" s="366">
        <f t="shared" ref="E146:K146" si="82">+E15</f>
        <v>3522025</v>
      </c>
      <c r="F146" s="367">
        <f t="shared" si="82"/>
        <v>3590874</v>
      </c>
      <c r="G146" s="366">
        <f t="shared" si="82"/>
        <v>3717679.4046455426</v>
      </c>
      <c r="H146" s="366">
        <f t="shared" si="82"/>
        <v>3799039.5053655142</v>
      </c>
      <c r="I146" s="366">
        <f t="shared" si="82"/>
        <v>3910870.5957323718</v>
      </c>
      <c r="J146" s="366">
        <f t="shared" si="82"/>
        <v>4051795.7192964586</v>
      </c>
      <c r="K146" s="366">
        <f t="shared" si="82"/>
        <v>4213785.6156304237</v>
      </c>
      <c r="L146" s="21"/>
    </row>
    <row r="147" spans="3:15" ht="14.4" customHeight="1">
      <c r="C147" s="6"/>
      <c r="D147" s="14"/>
      <c r="E147" s="14"/>
      <c r="F147" s="363"/>
      <c r="G147" s="14"/>
      <c r="H147" s="14"/>
      <c r="I147" s="14"/>
      <c r="J147" s="14"/>
      <c r="K147" s="14"/>
      <c r="L147" s="21"/>
    </row>
    <row r="148" spans="3:15" ht="14.4" customHeight="1">
      <c r="C148" s="51" t="s">
        <v>127</v>
      </c>
      <c r="D148" s="401" t="s">
        <v>9</v>
      </c>
      <c r="E148" s="402"/>
      <c r="F148" s="403"/>
      <c r="G148" s="401" t="s">
        <v>10</v>
      </c>
      <c r="H148" s="402"/>
      <c r="I148" s="402"/>
      <c r="J148" s="402"/>
      <c r="K148" s="402"/>
      <c r="L148" s="21"/>
    </row>
    <row r="149" spans="3:15" ht="14.4" customHeight="1">
      <c r="C149" s="51"/>
      <c r="D149" s="10">
        <f>+D$12</f>
        <v>44561</v>
      </c>
      <c r="E149" s="10">
        <f t="shared" ref="E149:K149" si="83">+E$12</f>
        <v>44926</v>
      </c>
      <c r="F149" s="11">
        <f t="shared" si="83"/>
        <v>45291</v>
      </c>
      <c r="G149" s="10">
        <f t="shared" si="83"/>
        <v>45657</v>
      </c>
      <c r="H149" s="10">
        <f t="shared" si="83"/>
        <v>46022</v>
      </c>
      <c r="I149" s="10">
        <f t="shared" si="83"/>
        <v>46387</v>
      </c>
      <c r="J149" s="10">
        <f t="shared" si="83"/>
        <v>46752</v>
      </c>
      <c r="K149" s="10">
        <f t="shared" si="83"/>
        <v>47118</v>
      </c>
      <c r="L149" s="21"/>
    </row>
    <row r="150" spans="3:15" ht="14.4" customHeight="1">
      <c r="L150" s="21"/>
    </row>
    <row r="151" spans="3:15" ht="14.4" customHeight="1">
      <c r="C151" s="7" t="s">
        <v>34</v>
      </c>
      <c r="E151" s="19"/>
      <c r="F151" s="52"/>
      <c r="L151" s="21"/>
    </row>
    <row r="152" spans="3:15" ht="14.4" customHeight="1">
      <c r="C152" s="6" t="s">
        <v>112</v>
      </c>
      <c r="D152" s="205">
        <v>1410685</v>
      </c>
      <c r="E152" s="147">
        <f>+D155</f>
        <v>1949763</v>
      </c>
      <c r="F152" s="172">
        <f>+E155</f>
        <v>1966994</v>
      </c>
      <c r="G152" s="147">
        <f>+F155</f>
        <v>2042568</v>
      </c>
      <c r="H152" s="147">
        <f t="shared" ref="H152:K152" ca="1" si="84">+G155</f>
        <v>2156618.7032218897</v>
      </c>
      <c r="I152" s="147">
        <f t="shared" ca="1" si="84"/>
        <v>2282458.8643693086</v>
      </c>
      <c r="J152" s="147">
        <f t="shared" ca="1" si="84"/>
        <v>2419580.5864309999</v>
      </c>
      <c r="K152" s="147">
        <f t="shared" ca="1" si="84"/>
        <v>2567968.785454669</v>
      </c>
      <c r="L152" s="21"/>
      <c r="O152" s="368"/>
    </row>
    <row r="153" spans="3:15" ht="14.4" customHeight="1">
      <c r="C153" s="6" t="s">
        <v>128</v>
      </c>
      <c r="D153" s="205">
        <f>543847</f>
        <v>543847</v>
      </c>
      <c r="E153" s="205">
        <v>18692</v>
      </c>
      <c r="F153" s="206">
        <v>74181</v>
      </c>
      <c r="G153" s="322">
        <f ca="1">+G344</f>
        <v>114050.70322188963</v>
      </c>
      <c r="H153" s="322">
        <f t="shared" ref="H153:K153" ca="1" si="85">+H344</f>
        <v>125840.16114741893</v>
      </c>
      <c r="I153" s="322">
        <f t="shared" ca="1" si="85"/>
        <v>137121.72206169151</v>
      </c>
      <c r="J153" s="322">
        <f t="shared" ca="1" si="85"/>
        <v>148388.19902366903</v>
      </c>
      <c r="K153" s="322">
        <f t="shared" ca="1" si="85"/>
        <v>160770.01046585213</v>
      </c>
      <c r="L153" s="21"/>
      <c r="O153" s="368"/>
    </row>
    <row r="154" spans="3:15" ht="14.4" customHeight="1">
      <c r="C154" s="6" t="s">
        <v>129</v>
      </c>
      <c r="D154" s="205">
        <v>4769</v>
      </c>
      <c r="E154" s="205">
        <v>1461</v>
      </c>
      <c r="F154" s="206">
        <v>-1393</v>
      </c>
      <c r="G154" s="254">
        <v>0</v>
      </c>
      <c r="H154" s="254">
        <v>0</v>
      </c>
      <c r="I154" s="254">
        <v>0</v>
      </c>
      <c r="J154" s="254">
        <v>0</v>
      </c>
      <c r="K154" s="254">
        <v>0</v>
      </c>
      <c r="L154" s="21"/>
      <c r="O154" s="368"/>
    </row>
    <row r="155" spans="3:15" ht="14.4" customHeight="1">
      <c r="C155" s="54" t="s">
        <v>114</v>
      </c>
      <c r="D155" s="150">
        <f>+D152+D153-D154</f>
        <v>1949763</v>
      </c>
      <c r="E155" s="150">
        <f>+E152+E153-E154</f>
        <v>1966994</v>
      </c>
      <c r="F155" s="173">
        <f t="shared" ref="F155" si="86">+F152+F153-F154</f>
        <v>2042568</v>
      </c>
      <c r="G155" s="183">
        <f t="shared" ref="G155" ca="1" si="87">+G152+G153-G154</f>
        <v>2156618.7032218897</v>
      </c>
      <c r="H155" s="183">
        <f t="shared" ref="H155" ca="1" si="88">+H152+H153-H154</f>
        <v>2282458.8643693086</v>
      </c>
      <c r="I155" s="183">
        <f t="shared" ref="I155" ca="1" si="89">+I152+I153-I154</f>
        <v>2419580.5864309999</v>
      </c>
      <c r="J155" s="183">
        <f t="shared" ref="J155" ca="1" si="90">+J152+J153-J154</f>
        <v>2567968.785454669</v>
      </c>
      <c r="K155" s="183">
        <f t="shared" ref="K155" ca="1" si="91">+K152+K153-K154</f>
        <v>2728738.795920521</v>
      </c>
      <c r="L155" s="21"/>
    </row>
    <row r="156" spans="3:15" ht="14.4" customHeight="1">
      <c r="D156" s="153"/>
      <c r="E156" s="147"/>
      <c r="F156" s="172"/>
      <c r="G156" s="153"/>
      <c r="H156" s="153"/>
      <c r="I156" s="153"/>
      <c r="J156" s="153"/>
      <c r="K156" s="153"/>
      <c r="L156" s="21"/>
    </row>
    <row r="157" spans="3:15" ht="14.4" customHeight="1">
      <c r="C157" s="7" t="s">
        <v>35</v>
      </c>
      <c r="D157" s="153"/>
      <c r="E157" s="153"/>
      <c r="F157" s="172"/>
      <c r="G157" s="153"/>
      <c r="H157" s="153"/>
      <c r="I157" s="153"/>
      <c r="J157" s="153"/>
      <c r="K157" s="153"/>
      <c r="L157" s="21"/>
    </row>
    <row r="158" spans="3:15" ht="14.4" customHeight="1">
      <c r="C158" s="6" t="s">
        <v>112</v>
      </c>
      <c r="D158" s="205">
        <v>190605</v>
      </c>
      <c r="E158" s="147">
        <f>+D161</f>
        <v>684209</v>
      </c>
      <c r="F158" s="172">
        <f>+E161</f>
        <v>614967</v>
      </c>
      <c r="G158" s="147">
        <f>+F161</f>
        <v>591058</v>
      </c>
      <c r="H158" s="147">
        <f t="shared" ref="H158:K158" ca="1" si="92">+G161</f>
        <v>582009.37973982038</v>
      </c>
      <c r="I158" s="147">
        <f t="shared" ca="1" si="92"/>
        <v>572484.02456611325</v>
      </c>
      <c r="J158" s="147">
        <f t="shared" ca="1" si="92"/>
        <v>561500.30261726817</v>
      </c>
      <c r="K158" s="147">
        <f t="shared" ca="1" si="92"/>
        <v>549592.17490418942</v>
      </c>
      <c r="L158" s="21"/>
      <c r="O158" s="368"/>
    </row>
    <row r="159" spans="3:15" ht="14.4" customHeight="1">
      <c r="C159" s="6" t="s">
        <v>130</v>
      </c>
      <c r="D159" s="147">
        <f>+D161+D160-D158</f>
        <v>530105</v>
      </c>
      <c r="E159" s="147">
        <f>+E161+E160-E158</f>
        <v>-1622</v>
      </c>
      <c r="F159" s="172">
        <f t="shared" ref="F159" si="93">+F161+F160-F158</f>
        <v>45230</v>
      </c>
      <c r="G159" s="322">
        <f ca="1">+G345</f>
        <v>68430.421933133781</v>
      </c>
      <c r="H159" s="322">
        <f t="shared" ref="H159:K159" ca="1" si="94">+H345</f>
        <v>75504.096688451347</v>
      </c>
      <c r="I159" s="322">
        <f t="shared" ca="1" si="94"/>
        <v>82273.033237014912</v>
      </c>
      <c r="J159" s="322">
        <f t="shared" ca="1" si="94"/>
        <v>89032.919414201417</v>
      </c>
      <c r="K159" s="322">
        <f t="shared" ca="1" si="94"/>
        <v>96462.006279511275</v>
      </c>
      <c r="L159" s="21"/>
      <c r="O159" s="368"/>
    </row>
    <row r="160" spans="3:15" ht="14.4" customHeight="1">
      <c r="C160" s="6" t="s">
        <v>131</v>
      </c>
      <c r="D160" s="295">
        <f t="shared" ref="D160:K160" si="95">D174</f>
        <v>36501</v>
      </c>
      <c r="E160" s="295">
        <f t="shared" si="95"/>
        <v>67620</v>
      </c>
      <c r="F160" s="331">
        <f t="shared" si="95"/>
        <v>69139</v>
      </c>
      <c r="G160" s="295">
        <f t="shared" ca="1" si="95"/>
        <v>77479.042193313377</v>
      </c>
      <c r="H160" s="295">
        <f t="shared" ca="1" si="95"/>
        <v>85029.451862158516</v>
      </c>
      <c r="I160" s="295">
        <f t="shared" ca="1" si="95"/>
        <v>93256.755185860005</v>
      </c>
      <c r="J160" s="295">
        <f t="shared" ca="1" si="95"/>
        <v>100941.04712728015</v>
      </c>
      <c r="K160" s="295">
        <f t="shared" ca="1" si="95"/>
        <v>110091.24775523128</v>
      </c>
      <c r="L160" s="21"/>
      <c r="O160" s="368"/>
    </row>
    <row r="161" spans="3:15" ht="14.4" customHeight="1">
      <c r="C161" s="326" t="s">
        <v>114</v>
      </c>
      <c r="D161" s="163">
        <f>+D53-D155</f>
        <v>684209</v>
      </c>
      <c r="E161" s="163">
        <f>+E53-E155</f>
        <v>614967</v>
      </c>
      <c r="F161" s="164">
        <f>+F53-F155</f>
        <v>591058</v>
      </c>
      <c r="G161" s="327">
        <f t="shared" ref="G161" ca="1" si="96">+G158+G159-G160</f>
        <v>582009.37973982038</v>
      </c>
      <c r="H161" s="327">
        <f t="shared" ref="H161" ca="1" si="97">+H158+H159-H160</f>
        <v>572484.02456611325</v>
      </c>
      <c r="I161" s="327">
        <f t="shared" ref="I161" ca="1" si="98">+I158+I159-I160</f>
        <v>561500.30261726817</v>
      </c>
      <c r="J161" s="327">
        <f t="shared" ref="J161" ca="1" si="99">+J158+J159-J160</f>
        <v>549592.17490418942</v>
      </c>
      <c r="K161" s="327">
        <f t="shared" ref="K161" ca="1" si="100">+K158+K159-K160</f>
        <v>535962.93342846935</v>
      </c>
      <c r="L161" s="21"/>
    </row>
    <row r="162" spans="3:15" ht="14.4" customHeight="1">
      <c r="C162" s="326"/>
      <c r="D162" s="163"/>
      <c r="E162" s="163"/>
      <c r="F162" s="164"/>
      <c r="G162" s="327"/>
      <c r="H162" s="327"/>
      <c r="I162" s="327"/>
      <c r="J162" s="327"/>
      <c r="K162" s="327"/>
      <c r="L162" s="21"/>
    </row>
    <row r="163" spans="3:15" ht="14.4" customHeight="1">
      <c r="C163" s="336" t="s">
        <v>132</v>
      </c>
      <c r="D163" s="163"/>
      <c r="E163" s="163"/>
      <c r="F163" s="164"/>
      <c r="G163" s="327"/>
      <c r="H163" s="327"/>
      <c r="I163" s="327"/>
      <c r="J163" s="327"/>
      <c r="K163" s="327"/>
      <c r="L163" s="21"/>
    </row>
    <row r="164" spans="3:15" ht="14.4" customHeight="1">
      <c r="C164" s="271" t="s">
        <v>133</v>
      </c>
      <c r="D164" s="205">
        <v>36501</v>
      </c>
      <c r="E164" s="205">
        <v>67620</v>
      </c>
      <c r="F164" s="300">
        <v>69139</v>
      </c>
      <c r="G164" s="328">
        <v>70636</v>
      </c>
      <c r="H164" s="328">
        <v>70636</v>
      </c>
      <c r="I164" s="328">
        <v>70636</v>
      </c>
      <c r="J164" s="328">
        <v>69417</v>
      </c>
      <c r="K164" s="328">
        <v>68921</v>
      </c>
      <c r="L164" s="21"/>
      <c r="O164" s="368"/>
    </row>
    <row r="165" spans="3:15" ht="14.4" customHeight="1">
      <c r="C165" s="374"/>
      <c r="D165" s="330"/>
      <c r="F165" s="298"/>
      <c r="L165" s="21"/>
    </row>
    <row r="166" spans="3:15" ht="14.4" customHeight="1">
      <c r="C166" s="374" t="s">
        <v>134</v>
      </c>
      <c r="D166" s="329">
        <v>10</v>
      </c>
      <c r="F166" s="298"/>
      <c r="L166" s="21"/>
    </row>
    <row r="167" spans="3:15" ht="14.4" customHeight="1">
      <c r="C167" s="380" t="s">
        <v>135</v>
      </c>
      <c r="F167" s="298"/>
      <c r="L167" s="21"/>
      <c r="O167" s="380"/>
    </row>
    <row r="168" spans="3:15" ht="14.4" customHeight="1">
      <c r="C168" s="381">
        <f>+$G$337</f>
        <v>45657</v>
      </c>
      <c r="D168" s="334"/>
      <c r="E168" s="334"/>
      <c r="F168" s="335"/>
      <c r="G168" s="153">
        <f ca="1">+IF(COUNT(G$149:$G$149)&lt;=$D$166,$G$159/$D$166,0)</f>
        <v>6843.0421933133784</v>
      </c>
      <c r="H168" s="153">
        <f ca="1">+IF(COUNT($G$149:H$149)&lt;=$D$166,$G$159/$D$166,0)</f>
        <v>6843.0421933133784</v>
      </c>
      <c r="I168" s="153">
        <f ca="1">+IF(COUNT($G$149:I$149)&lt;=$D$166,$G$159/$D$166,0)</f>
        <v>6843.0421933133784</v>
      </c>
      <c r="J168" s="153">
        <f ca="1">+IF(COUNT($G$149:J$149)&lt;=$D$166,$G$159/$D$166,0)</f>
        <v>6843.0421933133784</v>
      </c>
      <c r="K168" s="153">
        <f ca="1">+IF(COUNT($G$149:K$149)&lt;=$D$166,$G$159/$D$166,0)</f>
        <v>6843.0421933133784</v>
      </c>
      <c r="L168" s="21"/>
    </row>
    <row r="169" spans="3:15" ht="14.4" customHeight="1">
      <c r="C169" s="381">
        <f>+$H$337</f>
        <v>46022</v>
      </c>
      <c r="D169" s="334"/>
      <c r="E169" s="334"/>
      <c r="F169" s="335"/>
      <c r="G169" s="185"/>
      <c r="H169" s="153">
        <f ca="1">+IF(COUNT($H$149:H$149)&lt;=$D$166,$H$159/$D$166,0)</f>
        <v>7550.4096688451345</v>
      </c>
      <c r="I169" s="153">
        <f ca="1">+IF(COUNT($H$149:I$149)&lt;=$D$166,$H$159/$D$166,0)</f>
        <v>7550.4096688451345</v>
      </c>
      <c r="J169" s="153">
        <f ca="1">+IF(COUNT($H$149:J$149)&lt;=$D$166,$H$159/$D$166,0)</f>
        <v>7550.4096688451345</v>
      </c>
      <c r="K169" s="153">
        <f ca="1">+IF(COUNT($H$149:K$149)&lt;=$D$166,$H$159/$D$166,0)</f>
        <v>7550.4096688451345</v>
      </c>
      <c r="L169" s="21"/>
    </row>
    <row r="170" spans="3:15" ht="14.4" customHeight="1">
      <c r="C170" s="381">
        <f>+$I$337</f>
        <v>46387</v>
      </c>
      <c r="D170" s="334"/>
      <c r="E170" s="334"/>
      <c r="F170" s="335"/>
      <c r="G170" s="185"/>
      <c r="H170" s="185"/>
      <c r="I170" s="153">
        <f ca="1">+IF(COUNT($I$149:I$149)&lt;=$D$166,$I$159/$D$166,0)</f>
        <v>8227.3033237014915</v>
      </c>
      <c r="J170" s="153">
        <f ca="1">+IF(COUNT($I$149:J$149)&lt;=$D$166,$I$159/$D$166,0)</f>
        <v>8227.3033237014915</v>
      </c>
      <c r="K170" s="153">
        <f ca="1">+IF(COUNT($I$149:K$149)&lt;=$D$166,$I$159/$D$166,0)</f>
        <v>8227.3033237014915</v>
      </c>
      <c r="L170" s="21"/>
    </row>
    <row r="171" spans="3:15" ht="14.4" customHeight="1">
      <c r="C171" s="381">
        <f>+$J$337</f>
        <v>46752</v>
      </c>
      <c r="D171" s="334"/>
      <c r="E171" s="334"/>
      <c r="F171" s="335"/>
      <c r="G171" s="185"/>
      <c r="H171" s="185"/>
      <c r="I171" s="185"/>
      <c r="J171" s="153">
        <f ca="1">+IF(COUNT($J$149:J$149)&lt;=$D$166,$J$159/$D$166,0)</f>
        <v>8903.2919414201424</v>
      </c>
      <c r="K171" s="153">
        <f ca="1">+IF(COUNT($J$149:K$149)&lt;=$D$166,$J$159/$D$166,0)</f>
        <v>8903.2919414201424</v>
      </c>
      <c r="L171" s="21"/>
    </row>
    <row r="172" spans="3:15" ht="14.4" customHeight="1">
      <c r="C172" s="381">
        <f>+$K$337</f>
        <v>47118</v>
      </c>
      <c r="D172" s="334"/>
      <c r="E172" s="334"/>
      <c r="F172" s="335"/>
      <c r="G172" s="185"/>
      <c r="H172" s="185"/>
      <c r="I172" s="185"/>
      <c r="J172" s="185"/>
      <c r="K172" s="153">
        <f ca="1">+IF(COUNT($K$149:K$149)&lt;=$D$166,$K$159/$D$166,0)</f>
        <v>9646.2006279511279</v>
      </c>
      <c r="L172" s="21"/>
    </row>
    <row r="173" spans="3:15" ht="14.4" customHeight="1">
      <c r="C173" s="381"/>
      <c r="D173" s="24"/>
      <c r="E173" s="24"/>
      <c r="F173" s="298"/>
      <c r="G173" s="153"/>
      <c r="H173" s="153"/>
      <c r="I173" s="153"/>
      <c r="J173" s="153"/>
      <c r="K173" s="153"/>
      <c r="L173" s="21"/>
    </row>
    <row r="174" spans="3:15" ht="14.4" customHeight="1">
      <c r="C174" s="324" t="s">
        <v>136</v>
      </c>
      <c r="D174" s="325">
        <f t="shared" ref="D174:F174" si="101">+D164+SUM(D168:D172)</f>
        <v>36501</v>
      </c>
      <c r="E174" s="325">
        <f t="shared" si="101"/>
        <v>67620</v>
      </c>
      <c r="F174" s="332">
        <f t="shared" si="101"/>
        <v>69139</v>
      </c>
      <c r="G174" s="325">
        <f ca="1">+G164+SUM(G168:G172)</f>
        <v>77479.042193313377</v>
      </c>
      <c r="H174" s="325">
        <f t="shared" ref="H174:K174" ca="1" si="102">+H164+SUM(H168:H172)</f>
        <v>85029.451862158516</v>
      </c>
      <c r="I174" s="325">
        <f t="shared" ca="1" si="102"/>
        <v>93256.755185860005</v>
      </c>
      <c r="J174" s="325">
        <f t="shared" ca="1" si="102"/>
        <v>100941.04712728015</v>
      </c>
      <c r="K174" s="325">
        <f t="shared" ca="1" si="102"/>
        <v>110091.24775523128</v>
      </c>
      <c r="L174" s="21"/>
    </row>
    <row r="175" spans="3:15" ht="14.4" customHeight="1">
      <c r="E175" s="14"/>
      <c r="F175" s="153"/>
      <c r="L175" s="21"/>
    </row>
    <row r="176" spans="3:15" ht="14.4" customHeight="1">
      <c r="C176" s="51" t="s">
        <v>137</v>
      </c>
      <c r="D176" s="401" t="s">
        <v>9</v>
      </c>
      <c r="E176" s="402"/>
      <c r="F176" s="403"/>
      <c r="G176" s="401" t="s">
        <v>10</v>
      </c>
      <c r="H176" s="402"/>
      <c r="I176" s="402"/>
      <c r="J176" s="402"/>
      <c r="K176" s="402"/>
      <c r="L176" s="21"/>
      <c r="M176" s="48" t="s">
        <v>41</v>
      </c>
    </row>
    <row r="177" spans="3:15" ht="14.4" customHeight="1">
      <c r="C177" s="51"/>
      <c r="D177" s="10">
        <f>+D$12</f>
        <v>44561</v>
      </c>
      <c r="E177" s="10">
        <f t="shared" ref="E177:K177" si="103">+E$12</f>
        <v>44926</v>
      </c>
      <c r="F177" s="11">
        <f t="shared" si="103"/>
        <v>45291</v>
      </c>
      <c r="G177" s="10">
        <f t="shared" si="103"/>
        <v>45657</v>
      </c>
      <c r="H177" s="10">
        <f t="shared" si="103"/>
        <v>46022</v>
      </c>
      <c r="I177" s="10">
        <f t="shared" si="103"/>
        <v>46387</v>
      </c>
      <c r="J177" s="10">
        <f t="shared" si="103"/>
        <v>46752</v>
      </c>
      <c r="K177" s="10">
        <f t="shared" si="103"/>
        <v>47118</v>
      </c>
      <c r="L177" s="21"/>
      <c r="M177" s="10" t="s">
        <v>42</v>
      </c>
    </row>
    <row r="178" spans="3:15" ht="14.4" customHeight="1">
      <c r="L178" s="21"/>
    </row>
    <row r="179" spans="3:15" ht="14.4" customHeight="1">
      <c r="C179" s="7" t="s">
        <v>138</v>
      </c>
      <c r="E179" s="19"/>
      <c r="F179" s="52"/>
      <c r="L179" s="21"/>
      <c r="M179" s="21"/>
    </row>
    <row r="180" spans="3:15" ht="14.4" customHeight="1">
      <c r="C180" s="6" t="s">
        <v>112</v>
      </c>
      <c r="D180" s="185"/>
      <c r="E180" s="171"/>
      <c r="F180" s="186"/>
      <c r="G180" s="147">
        <f t="shared" ref="G180:K180" si="104">+F184</f>
        <v>258909</v>
      </c>
      <c r="H180" s="147">
        <f t="shared" ca="1" si="104"/>
        <v>344393.32644191524</v>
      </c>
      <c r="I180" s="147">
        <f t="shared" ca="1" si="104"/>
        <v>421427.30948251695</v>
      </c>
      <c r="J180" s="147">
        <f t="shared" ca="1" si="104"/>
        <v>489876.62605805363</v>
      </c>
      <c r="K180" s="147">
        <f t="shared" ca="1" si="104"/>
        <v>554154.17548999505</v>
      </c>
      <c r="L180" s="21"/>
      <c r="M180" s="21"/>
    </row>
    <row r="181" spans="3:15" ht="14.4" customHeight="1">
      <c r="C181" s="6" t="s">
        <v>139</v>
      </c>
      <c r="D181" s="295">
        <f>-D88</f>
        <v>55546</v>
      </c>
      <c r="E181" s="295">
        <f t="shared" ref="E181:F181" si="105">-E88</f>
        <v>76382</v>
      </c>
      <c r="F181" s="331">
        <f t="shared" si="105"/>
        <v>63998</v>
      </c>
      <c r="G181" s="147">
        <f>+G186*G14</f>
        <v>78129.970313372236</v>
      </c>
      <c r="H181" s="147">
        <f>+H186*H14</f>
        <v>77774.944653048515</v>
      </c>
      <c r="I181" s="147">
        <f>+I186*I14</f>
        <v>77958.358560824592</v>
      </c>
      <c r="J181" s="147">
        <f>+J186*J14</f>
        <v>83572.809548205681</v>
      </c>
      <c r="K181" s="147">
        <f>+K186*K14</f>
        <v>86229.827893273075</v>
      </c>
      <c r="L181" s="21"/>
      <c r="O181" s="380"/>
    </row>
    <row r="182" spans="3:15" ht="14.4" customHeight="1">
      <c r="C182" s="6" t="s">
        <v>140</v>
      </c>
      <c r="D182" s="185"/>
      <c r="E182" s="171"/>
      <c r="F182" s="186"/>
      <c r="G182" s="147">
        <f ca="1">+G346</f>
        <v>45620.281288755854</v>
      </c>
      <c r="H182" s="147">
        <f t="shared" ref="H182:K182" ca="1" si="106">+H346</f>
        <v>50336.064458967572</v>
      </c>
      <c r="I182" s="147">
        <f t="shared" ca="1" si="106"/>
        <v>54848.68882467661</v>
      </c>
      <c r="J182" s="147">
        <f t="shared" ca="1" si="106"/>
        <v>59355.279609467616</v>
      </c>
      <c r="K182" s="147">
        <f t="shared" ca="1" si="106"/>
        <v>64308.004186340855</v>
      </c>
      <c r="L182" s="21"/>
    </row>
    <row r="183" spans="3:15" ht="14.4" customHeight="1">
      <c r="C183" s="6" t="s">
        <v>141</v>
      </c>
      <c r="D183" s="295">
        <f t="shared" ref="D183:K183" si="107">D208</f>
        <v>42900</v>
      </c>
      <c r="E183" s="295">
        <f t="shared" si="107"/>
        <v>52900</v>
      </c>
      <c r="F183" s="331">
        <f t="shared" si="107"/>
        <v>61600</v>
      </c>
      <c r="G183" s="147">
        <f t="shared" ca="1" si="107"/>
        <v>38265.925160212813</v>
      </c>
      <c r="H183" s="147">
        <f t="shared" ca="1" si="107"/>
        <v>51077.026071414424</v>
      </c>
      <c r="I183" s="147">
        <f t="shared" ca="1" si="107"/>
        <v>64357.730809964538</v>
      </c>
      <c r="J183" s="147">
        <f t="shared" ca="1" si="107"/>
        <v>78650.539725731869</v>
      </c>
      <c r="K183" s="147">
        <f t="shared" ca="1" si="107"/>
        <v>93704.322933693242</v>
      </c>
      <c r="L183" s="21"/>
    </row>
    <row r="184" spans="3:15" ht="14.4" customHeight="1">
      <c r="C184" s="54" t="s">
        <v>114</v>
      </c>
      <c r="D184" s="207">
        <v>234831</v>
      </c>
      <c r="E184" s="207">
        <v>246837</v>
      </c>
      <c r="F184" s="208">
        <v>258909</v>
      </c>
      <c r="G184" s="183">
        <f ca="1">+G180+G181+G182-G183</f>
        <v>344393.32644191524</v>
      </c>
      <c r="H184" s="183">
        <f t="shared" ref="H184:K184" ca="1" si="108">+H180+H181+H182-H183</f>
        <v>421427.30948251695</v>
      </c>
      <c r="I184" s="183">
        <f t="shared" ca="1" si="108"/>
        <v>489876.62605805363</v>
      </c>
      <c r="J184" s="183">
        <f t="shared" ca="1" si="108"/>
        <v>554154.17548999505</v>
      </c>
      <c r="K184" s="183">
        <f t="shared" ca="1" si="108"/>
        <v>610987.68463591579</v>
      </c>
      <c r="L184" s="21"/>
      <c r="M184" s="49">
        <f ca="1">+_xlfn.RRI(YEAR($K$12)-YEAR($F$12),F184,K184)</f>
        <v>0.18734536660994183</v>
      </c>
      <c r="O184" s="368"/>
    </row>
    <row r="185" spans="3:15" ht="14.4" customHeight="1">
      <c r="D185" s="19"/>
      <c r="E185" s="19"/>
      <c r="F185" s="53"/>
      <c r="G185" s="19"/>
      <c r="H185" s="19"/>
      <c r="L185" s="21"/>
    </row>
    <row r="186" spans="3:15" ht="14.4" customHeight="1">
      <c r="C186" s="6" t="s">
        <v>142</v>
      </c>
      <c r="D186" s="144">
        <f>+D181/D14</f>
        <v>1.5933075689424064E-2</v>
      </c>
      <c r="E186" s="144">
        <f>+E181/E14</f>
        <v>1.5249731269955102E-2</v>
      </c>
      <c r="F186" s="175">
        <f>+F181/F14</f>
        <v>1.2319878707003724E-2</v>
      </c>
      <c r="G186" s="144">
        <f>+AVERAGE(D186:F186)</f>
        <v>1.450089522212763E-2</v>
      </c>
      <c r="H186" s="144">
        <f t="shared" ref="H186:K186" si="109">+AVERAGE(E186:G186)</f>
        <v>1.4023501733028819E-2</v>
      </c>
      <c r="I186" s="144">
        <f t="shared" si="109"/>
        <v>1.3614758554053391E-2</v>
      </c>
      <c r="J186" s="144">
        <f t="shared" si="109"/>
        <v>1.4046385169736613E-2</v>
      </c>
      <c r="K186" s="144">
        <f t="shared" si="109"/>
        <v>1.3894881818939608E-2</v>
      </c>
      <c r="L186" s="21"/>
      <c r="O186" s="368"/>
    </row>
    <row r="187" spans="3:15" ht="14.4" customHeight="1">
      <c r="D187" s="19"/>
      <c r="E187" s="19"/>
      <c r="F187" s="53"/>
      <c r="G187" s="19"/>
      <c r="H187" s="19"/>
      <c r="L187" s="21"/>
    </row>
    <row r="188" spans="3:15" ht="14.4" customHeight="1">
      <c r="C188" s="283" t="s">
        <v>143</v>
      </c>
      <c r="D188" s="19"/>
      <c r="E188" s="19"/>
      <c r="F188" s="53"/>
      <c r="L188" s="21"/>
      <c r="O188" s="380"/>
    </row>
    <row r="189" spans="3:15" ht="14.4" customHeight="1">
      <c r="C189" s="380" t="s">
        <v>144</v>
      </c>
      <c r="D189" s="329">
        <v>10</v>
      </c>
      <c r="E189" s="19"/>
      <c r="F189" s="53"/>
      <c r="G189" s="284"/>
      <c r="H189" s="284"/>
      <c r="I189" s="284"/>
      <c r="J189" s="284"/>
      <c r="K189" s="284"/>
      <c r="L189" s="21"/>
      <c r="O189" s="380"/>
    </row>
    <row r="190" spans="3:15" ht="14.4" customHeight="1">
      <c r="C190" s="380" t="s">
        <v>145</v>
      </c>
      <c r="D190" s="329">
        <v>10</v>
      </c>
      <c r="E190" s="19"/>
      <c r="F190" s="53"/>
      <c r="G190" s="284"/>
      <c r="H190" s="284"/>
      <c r="I190" s="284"/>
      <c r="J190" s="284"/>
      <c r="K190" s="284"/>
      <c r="L190" s="21"/>
      <c r="O190" s="380"/>
    </row>
    <row r="191" spans="3:15" ht="14.4" customHeight="1">
      <c r="C191" s="26"/>
      <c r="D191" s="19"/>
      <c r="E191" s="19"/>
      <c r="F191" s="53"/>
      <c r="L191" s="21"/>
    </row>
    <row r="192" spans="3:15" ht="14.4" customHeight="1">
      <c r="C192" s="380" t="s">
        <v>146</v>
      </c>
      <c r="D192" s="284">
        <v>42900</v>
      </c>
      <c r="E192" s="284">
        <v>52900</v>
      </c>
      <c r="F192" s="206">
        <v>61600</v>
      </c>
      <c r="G192" s="153">
        <f>+IF(COUNT(G$177:$G$177)&lt;=$D$189,$F$184/$D$189,0)</f>
        <v>25890.9</v>
      </c>
      <c r="H192" s="153">
        <f>+IF(COUNT($G$177:H$177)&lt;=$D$189,$F$184/$D$189,0)</f>
        <v>25890.9</v>
      </c>
      <c r="I192" s="153">
        <f>+IF(COUNT($G$177:I$177)&lt;=$D$189,$F$184/$D$189,0)</f>
        <v>25890.9</v>
      </c>
      <c r="J192" s="153">
        <f>+IF(COUNT($G$177:J$177)&lt;=$D$189,$F$184/$D$189,0)</f>
        <v>25890.9</v>
      </c>
      <c r="K192" s="153">
        <f>+IF(COUNT($G$177:K$177)&lt;=$D$189,$F$184/$D$189,0)</f>
        <v>25890.9</v>
      </c>
      <c r="L192" s="21"/>
      <c r="O192" s="380"/>
    </row>
    <row r="193" spans="3:15" ht="14.4" customHeight="1">
      <c r="C193" s="380"/>
      <c r="D193" s="19"/>
      <c r="E193" s="19"/>
      <c r="F193" s="53"/>
      <c r="G193" s="153"/>
      <c r="H193" s="153"/>
      <c r="I193" s="153"/>
      <c r="J193" s="153"/>
      <c r="K193" s="153"/>
      <c r="L193" s="21"/>
    </row>
    <row r="194" spans="3:15" ht="14.4" customHeight="1">
      <c r="C194" s="380" t="s">
        <v>147</v>
      </c>
      <c r="D194" s="19"/>
      <c r="E194" s="19"/>
      <c r="F194" s="53"/>
      <c r="G194" s="19"/>
      <c r="H194" s="19"/>
      <c r="L194" s="21"/>
      <c r="O194" s="380"/>
    </row>
    <row r="195" spans="3:15" ht="14.4" customHeight="1">
      <c r="C195" s="323">
        <f>+$G$177</f>
        <v>45657</v>
      </c>
      <c r="D195" s="334"/>
      <c r="E195" s="334"/>
      <c r="F195" s="335"/>
      <c r="G195" s="153">
        <f>+IF(COUNT(G$177:$G$177)&lt;=$D$190,$G$181/$D$190,0)</f>
        <v>7812.9970313372232</v>
      </c>
      <c r="H195" s="153">
        <f>+IF(COUNT($G$177:H$177)&lt;=$D$190,$G$181/$D$190,0)</f>
        <v>7812.9970313372232</v>
      </c>
      <c r="I195" s="153">
        <f>+IF(COUNT($G$177:I$177)&lt;=$D$190,$G$181/$D$190,0)</f>
        <v>7812.9970313372232</v>
      </c>
      <c r="J195" s="153">
        <f>+IF(COUNT($G$177:J$177)&lt;=$D$190,$G$181/$D$190,0)</f>
        <v>7812.9970313372232</v>
      </c>
      <c r="K195" s="153">
        <f>+IF(COUNT($G$177:K$177)&lt;=$D$190,$G$181/$D$190,0)</f>
        <v>7812.9970313372232</v>
      </c>
      <c r="L195" s="21"/>
    </row>
    <row r="196" spans="3:15" ht="14.4" customHeight="1">
      <c r="C196" s="323">
        <f>+$H$177</f>
        <v>46022</v>
      </c>
      <c r="D196" s="334"/>
      <c r="E196" s="334"/>
      <c r="F196" s="335"/>
      <c r="G196" s="185"/>
      <c r="H196" s="153">
        <f>+IF(COUNT($H$177:H$177)&lt;=$D$190,$H$181/$D$190,0)</f>
        <v>7777.4944653048515</v>
      </c>
      <c r="I196" s="153">
        <f>+IF(COUNT($H$177:I$177)&lt;=$D$190,$H$181/$D$190,0)</f>
        <v>7777.4944653048515</v>
      </c>
      <c r="J196" s="153">
        <f>+IF(COUNT($H$177:J$177)&lt;=$D$190,$H$181/$D$190,0)</f>
        <v>7777.4944653048515</v>
      </c>
      <c r="K196" s="153">
        <f>+IF(COUNT($H$177:K$177)&lt;=$D$190,$H$181/$D$190,0)</f>
        <v>7777.4944653048515</v>
      </c>
      <c r="L196" s="21"/>
    </row>
    <row r="197" spans="3:15" ht="14.4" customHeight="1">
      <c r="C197" s="323">
        <f>+$I$177</f>
        <v>46387</v>
      </c>
      <c r="D197" s="334"/>
      <c r="E197" s="334"/>
      <c r="F197" s="335"/>
      <c r="G197" s="185"/>
      <c r="H197" s="185"/>
      <c r="I197" s="153">
        <f>+IF(COUNT($I$177:I$177)&lt;=$D$190,$I$181/$D$190,0)</f>
        <v>7795.835856082459</v>
      </c>
      <c r="J197" s="153">
        <f>+IF(COUNT($I$177:J$177)&lt;=$D$190,$I$181/$D$190,0)</f>
        <v>7795.835856082459</v>
      </c>
      <c r="K197" s="153">
        <f>+IF(COUNT($I$177:K$177)&lt;=$D$190,$I$181/$D$190,0)</f>
        <v>7795.835856082459</v>
      </c>
      <c r="L197" s="21"/>
    </row>
    <row r="198" spans="3:15" ht="14.4" customHeight="1">
      <c r="C198" s="323">
        <f>+$J$177</f>
        <v>46752</v>
      </c>
      <c r="D198" s="334"/>
      <c r="E198" s="334"/>
      <c r="F198" s="335"/>
      <c r="G198" s="185"/>
      <c r="H198" s="185"/>
      <c r="I198" s="185"/>
      <c r="J198" s="153">
        <f>+IF(COUNT($J$177:J$177)&lt;=$D$190,$J$181/$D$190,0)</f>
        <v>8357.2809548205678</v>
      </c>
      <c r="K198" s="153">
        <f>+IF(COUNT($J$177:K$177)&lt;=$D$190,$J$181/$D$190,0)</f>
        <v>8357.2809548205678</v>
      </c>
      <c r="L198" s="21"/>
    </row>
    <row r="199" spans="3:15" ht="14.4" customHeight="1">
      <c r="C199" s="323">
        <f>+$K$177</f>
        <v>47118</v>
      </c>
      <c r="D199" s="334"/>
      <c r="E199" s="334"/>
      <c r="F199" s="335"/>
      <c r="G199" s="185"/>
      <c r="H199" s="185"/>
      <c r="I199" s="185"/>
      <c r="J199" s="185"/>
      <c r="K199" s="153">
        <f>+IF(COUNT($K$177:K$177)&lt;=$D$190,$K$181/$D$190,0)</f>
        <v>8622.9827893273068</v>
      </c>
      <c r="L199" s="21"/>
    </row>
    <row r="200" spans="3:15" ht="14.4" customHeight="1">
      <c r="C200" s="323"/>
      <c r="D200" s="19"/>
      <c r="E200" s="19"/>
      <c r="F200" s="53"/>
      <c r="G200" s="19"/>
      <c r="H200" s="19"/>
      <c r="K200" s="153"/>
      <c r="L200" s="21"/>
    </row>
    <row r="201" spans="3:15" ht="14.4" customHeight="1">
      <c r="C201" s="380" t="s">
        <v>148</v>
      </c>
      <c r="D201" s="19"/>
      <c r="E201" s="19"/>
      <c r="F201" s="53"/>
      <c r="G201" s="19"/>
      <c r="H201" s="19"/>
      <c r="L201" s="21"/>
    </row>
    <row r="202" spans="3:15" ht="14.4" customHeight="1">
      <c r="C202" s="323">
        <f>+$G$177</f>
        <v>45657</v>
      </c>
      <c r="D202" s="334"/>
      <c r="E202" s="334"/>
      <c r="F202" s="335"/>
      <c r="G202" s="153">
        <f ca="1">+IF(COUNT(G$177:$G$177)&lt;=$D$190,$G$182/$D$190,0)</f>
        <v>4562.028128875585</v>
      </c>
      <c r="H202" s="153">
        <f ca="1">+IF(COUNT($G$177:H$177)&lt;=$D$190,$G$182/$D$190,0)</f>
        <v>4562.028128875585</v>
      </c>
      <c r="I202" s="153">
        <f ca="1">+IF(COUNT($G$177:I$177)&lt;=$D$190,$G$182/$D$190,0)</f>
        <v>4562.028128875585</v>
      </c>
      <c r="J202" s="153">
        <f ca="1">+IF(COUNT($G$177:J$177)&lt;=$D$190,$G$182/$D$190,0)</f>
        <v>4562.028128875585</v>
      </c>
      <c r="K202" s="153">
        <f ca="1">+IF(COUNT($G$177:K$177)&lt;=$D$190,$G$182/$D$190,0)</f>
        <v>4562.028128875585</v>
      </c>
      <c r="L202" s="21"/>
    </row>
    <row r="203" spans="3:15" ht="14.4" customHeight="1">
      <c r="C203" s="323">
        <f>+$H$177</f>
        <v>46022</v>
      </c>
      <c r="D203" s="334"/>
      <c r="E203" s="334"/>
      <c r="F203" s="335"/>
      <c r="G203" s="185"/>
      <c r="H203" s="153">
        <f ca="1">+IF(COUNT($H$177:H$177)&lt;=$D$190,$H$182/$D$190,0)</f>
        <v>5033.6064458967576</v>
      </c>
      <c r="I203" s="153">
        <f ca="1">+IF(COUNT($H$177:I$177)&lt;=$D$190,$H$182/$D$190,0)</f>
        <v>5033.6064458967576</v>
      </c>
      <c r="J203" s="153">
        <f ca="1">+IF(COUNT($H$177:J$177)&lt;=$D$190,$H$182/$D$190,0)</f>
        <v>5033.6064458967576</v>
      </c>
      <c r="K203" s="153">
        <f ca="1">+IF(COUNT($H$177:K$177)&lt;=$D$190,$H$182/$D$190,0)</f>
        <v>5033.6064458967576</v>
      </c>
      <c r="L203" s="21"/>
    </row>
    <row r="204" spans="3:15" ht="14.4" customHeight="1">
      <c r="C204" s="323">
        <f>+$I$177</f>
        <v>46387</v>
      </c>
      <c r="D204" s="334"/>
      <c r="E204" s="334"/>
      <c r="F204" s="335"/>
      <c r="G204" s="185"/>
      <c r="H204" s="185"/>
      <c r="I204" s="153">
        <f ca="1">+IF(COUNT($I$177:I$177)&lt;=$D$190,$I$182/$D$190,0)</f>
        <v>5484.868882467661</v>
      </c>
      <c r="J204" s="153">
        <f ca="1">+IF(COUNT($I$177:J$177)&lt;=$D$190,$I$182/$D$190,0)</f>
        <v>5484.868882467661</v>
      </c>
      <c r="K204" s="153">
        <f ca="1">+IF(COUNT($I$177:K$177)&lt;=$D$190,$I$182/$D$190,0)</f>
        <v>5484.868882467661</v>
      </c>
      <c r="L204" s="21"/>
    </row>
    <row r="205" spans="3:15" ht="14.4" customHeight="1">
      <c r="C205" s="323">
        <f>+$J$177</f>
        <v>46752</v>
      </c>
      <c r="D205" s="334"/>
      <c r="E205" s="334"/>
      <c r="F205" s="335"/>
      <c r="G205" s="185"/>
      <c r="H205" s="185"/>
      <c r="I205" s="185"/>
      <c r="J205" s="153">
        <f ca="1">+IF(COUNT($J$177:J$177)&lt;=$D$190,$J$182/$D$190,0)</f>
        <v>5935.5279609467616</v>
      </c>
      <c r="K205" s="153">
        <f ca="1">+IF(COUNT($J$177:K$177)&lt;=$D$190,$J$182/$D$190,0)</f>
        <v>5935.5279609467616</v>
      </c>
      <c r="L205" s="21"/>
    </row>
    <row r="206" spans="3:15" ht="14.4" customHeight="1">
      <c r="C206" s="323">
        <f>+$K$177</f>
        <v>47118</v>
      </c>
      <c r="D206" s="334"/>
      <c r="E206" s="334"/>
      <c r="F206" s="335"/>
      <c r="G206" s="185"/>
      <c r="H206" s="185"/>
      <c r="I206" s="185"/>
      <c r="J206" s="185"/>
      <c r="K206" s="153">
        <f ca="1">+IF(COUNT($K$177:K$177)&lt;=$D$190,$K$182/$D$190,0)</f>
        <v>6430.8004186340859</v>
      </c>
      <c r="L206" s="21"/>
    </row>
    <row r="207" spans="3:15" ht="14.4" customHeight="1">
      <c r="C207" s="323"/>
      <c r="D207" s="19"/>
      <c r="E207" s="19"/>
      <c r="F207" s="53"/>
      <c r="G207" s="19"/>
      <c r="H207" s="19"/>
      <c r="K207" s="153"/>
      <c r="L207" s="21"/>
    </row>
    <row r="208" spans="3:15" ht="14.4" customHeight="1">
      <c r="C208" s="324" t="s">
        <v>149</v>
      </c>
      <c r="D208" s="325">
        <f t="shared" ref="D208" si="110">+D192+SUM(D195:D199)+SUM(D202:D206)</f>
        <v>42900</v>
      </c>
      <c r="E208" s="325">
        <f t="shared" ref="E208" si="111">+E192+SUM(E195:E199)+SUM(E202:E206)</f>
        <v>52900</v>
      </c>
      <c r="F208" s="184">
        <f t="shared" ref="F208" si="112">+F192+SUM(F195:F199)+SUM(F202:F206)</f>
        <v>61600</v>
      </c>
      <c r="G208" s="325">
        <f t="shared" ref="G208:J208" ca="1" si="113">+G192+SUM(G195:G199)+SUM(G202:G206)</f>
        <v>38265.925160212813</v>
      </c>
      <c r="H208" s="325">
        <f t="shared" ca="1" si="113"/>
        <v>51077.026071414424</v>
      </c>
      <c r="I208" s="325">
        <f t="shared" ca="1" si="113"/>
        <v>64357.730809964538</v>
      </c>
      <c r="J208" s="325">
        <f t="shared" ca="1" si="113"/>
        <v>78650.539725731869</v>
      </c>
      <c r="K208" s="325">
        <f ca="1">+K192+SUM(K195:K199)+SUM(K202:K206)</f>
        <v>93704.322933693242</v>
      </c>
      <c r="L208" s="21"/>
    </row>
    <row r="209" spans="3:15" ht="14.4" customHeight="1">
      <c r="C209" s="22"/>
      <c r="D209" s="23"/>
      <c r="E209" s="23"/>
      <c r="F209" s="23"/>
      <c r="G209" s="23"/>
      <c r="H209" s="23"/>
      <c r="I209" s="23"/>
      <c r="J209" s="23"/>
      <c r="K209" s="23"/>
      <c r="L209" s="21"/>
    </row>
    <row r="210" spans="3:15" ht="14.4" customHeight="1">
      <c r="C210" s="51" t="s">
        <v>150</v>
      </c>
      <c r="D210" s="401" t="s">
        <v>9</v>
      </c>
      <c r="E210" s="402"/>
      <c r="F210" s="403"/>
      <c r="G210" s="401" t="s">
        <v>10</v>
      </c>
      <c r="H210" s="402"/>
      <c r="I210" s="402"/>
      <c r="J210" s="402"/>
      <c r="K210" s="402"/>
      <c r="L210" s="21"/>
    </row>
    <row r="211" spans="3:15" ht="14.4" customHeight="1">
      <c r="C211" s="51"/>
      <c r="D211" s="10">
        <f>+D$12</f>
        <v>44561</v>
      </c>
      <c r="E211" s="10">
        <f t="shared" ref="E211:K211" si="114">+E$12</f>
        <v>44926</v>
      </c>
      <c r="F211" s="11">
        <f t="shared" si="114"/>
        <v>45291</v>
      </c>
      <c r="G211" s="10">
        <f t="shared" si="114"/>
        <v>45657</v>
      </c>
      <c r="H211" s="10">
        <f t="shared" si="114"/>
        <v>46022</v>
      </c>
      <c r="I211" s="10">
        <f t="shared" si="114"/>
        <v>46387</v>
      </c>
      <c r="J211" s="10">
        <f t="shared" si="114"/>
        <v>46752</v>
      </c>
      <c r="K211" s="10">
        <f t="shared" si="114"/>
        <v>47118</v>
      </c>
      <c r="L211" s="21"/>
    </row>
    <row r="212" spans="3:15" ht="14.4" customHeight="1">
      <c r="L212" s="21"/>
    </row>
    <row r="213" spans="3:15" ht="14.4" customHeight="1">
      <c r="C213" s="380" t="s">
        <v>112</v>
      </c>
      <c r="D213" s="205">
        <v>876660</v>
      </c>
      <c r="E213" s="147">
        <f>+D217</f>
        <v>1200676</v>
      </c>
      <c r="F213" s="172">
        <f t="shared" ref="F213:K213" si="115">+E217</f>
        <v>1756665</v>
      </c>
      <c r="G213" s="147">
        <f t="shared" si="115"/>
        <v>2370919</v>
      </c>
      <c r="H213" s="147">
        <f t="shared" ca="1" si="115"/>
        <v>3043911.4895253889</v>
      </c>
      <c r="I213" s="147">
        <f t="shared" ca="1" si="115"/>
        <v>3771785.9171077125</v>
      </c>
      <c r="J213" s="147">
        <f t="shared" ca="1" si="115"/>
        <v>4552212.1449209414</v>
      </c>
      <c r="K213" s="147">
        <f t="shared" ca="1" si="115"/>
        <v>5392264.7790992334</v>
      </c>
      <c r="L213" s="21"/>
    </row>
    <row r="214" spans="3:15" ht="14.4" customHeight="1">
      <c r="C214" s="6" t="s">
        <v>151</v>
      </c>
      <c r="D214" s="147">
        <f t="shared" ref="D214:K214" si="116">+D26</f>
        <v>324016</v>
      </c>
      <c r="E214" s="147">
        <f t="shared" si="116"/>
        <v>555989</v>
      </c>
      <c r="F214" s="172">
        <f t="shared" si="116"/>
        <v>614254</v>
      </c>
      <c r="G214" s="147">
        <f t="shared" ca="1" si="116"/>
        <v>672992.48952538881</v>
      </c>
      <c r="H214" s="147">
        <f t="shared" ca="1" si="116"/>
        <v>727874.42758232378</v>
      </c>
      <c r="I214" s="147">
        <f t="shared" ca="1" si="116"/>
        <v>780426.22781322943</v>
      </c>
      <c r="J214" s="147">
        <f t="shared" ca="1" si="116"/>
        <v>840052.63417829154</v>
      </c>
      <c r="K214" s="147">
        <f t="shared" ca="1" si="116"/>
        <v>900402.36509114993</v>
      </c>
      <c r="L214" s="21"/>
    </row>
    <row r="215" spans="3:15" ht="14.4" customHeight="1">
      <c r="C215" s="6" t="s">
        <v>152</v>
      </c>
      <c r="D215" s="205">
        <v>0</v>
      </c>
      <c r="E215" s="205">
        <v>0</v>
      </c>
      <c r="F215" s="206">
        <v>0</v>
      </c>
      <c r="G215" s="147">
        <f ca="1">+G214*G219</f>
        <v>0</v>
      </c>
      <c r="H215" s="147">
        <f t="shared" ref="H215:K215" ca="1" si="117">+H214*H219</f>
        <v>0</v>
      </c>
      <c r="I215" s="147">
        <f t="shared" ca="1" si="117"/>
        <v>0</v>
      </c>
      <c r="J215" s="147">
        <f t="shared" ca="1" si="117"/>
        <v>0</v>
      </c>
      <c r="K215" s="147">
        <f t="shared" ca="1" si="117"/>
        <v>0</v>
      </c>
      <c r="L215" s="21"/>
      <c r="O215" s="368"/>
    </row>
    <row r="216" spans="3:15" ht="14.4" customHeight="1">
      <c r="C216" s="6" t="s">
        <v>153</v>
      </c>
      <c r="D216" s="205">
        <v>0</v>
      </c>
      <c r="E216" s="205">
        <v>0</v>
      </c>
      <c r="F216" s="206">
        <v>0</v>
      </c>
      <c r="G216" s="254">
        <v>0</v>
      </c>
      <c r="H216" s="254">
        <v>0</v>
      </c>
      <c r="I216" s="254">
        <v>0</v>
      </c>
      <c r="J216" s="254">
        <v>0</v>
      </c>
      <c r="K216" s="254">
        <v>0</v>
      </c>
      <c r="L216" s="21"/>
      <c r="O216" s="368"/>
    </row>
    <row r="217" spans="3:15" ht="14.4" customHeight="1">
      <c r="C217" s="54" t="s">
        <v>114</v>
      </c>
      <c r="D217" s="150">
        <f>+D213+D214-D215-D216</f>
        <v>1200676</v>
      </c>
      <c r="E217" s="150">
        <f t="shared" ref="E217:K217" si="118">+E213+E214-E215-E216</f>
        <v>1756665</v>
      </c>
      <c r="F217" s="173">
        <f t="shared" si="118"/>
        <v>2370919</v>
      </c>
      <c r="G217" s="150">
        <f t="shared" ca="1" si="118"/>
        <v>3043911.4895253889</v>
      </c>
      <c r="H217" s="150">
        <f t="shared" ca="1" si="118"/>
        <v>3771785.9171077125</v>
      </c>
      <c r="I217" s="150">
        <f t="shared" ca="1" si="118"/>
        <v>4552212.1449209414</v>
      </c>
      <c r="J217" s="150">
        <f t="shared" ca="1" si="118"/>
        <v>5392264.7790992334</v>
      </c>
      <c r="K217" s="150">
        <f t="shared" ca="1" si="118"/>
        <v>6292667.1441903831</v>
      </c>
      <c r="L217" s="21"/>
    </row>
    <row r="218" spans="3:15" ht="14.4" customHeight="1">
      <c r="D218" s="16"/>
      <c r="E218" s="16"/>
      <c r="F218" s="53"/>
      <c r="L218" s="21"/>
    </row>
    <row r="219" spans="3:15" ht="14.4" customHeight="1">
      <c r="C219" s="299" t="s">
        <v>154</v>
      </c>
      <c r="D219" s="187">
        <f>+D215/D214</f>
        <v>0</v>
      </c>
      <c r="E219" s="187">
        <f t="shared" ref="E219:F219" si="119">+E215/E214</f>
        <v>0</v>
      </c>
      <c r="F219" s="188">
        <f t="shared" si="119"/>
        <v>0</v>
      </c>
      <c r="G219" s="187">
        <f>+AVERAGE(D219:F219)</f>
        <v>0</v>
      </c>
      <c r="H219" s="187">
        <f t="shared" ref="H219:K219" si="120">+AVERAGE(E219:G219)</f>
        <v>0</v>
      </c>
      <c r="I219" s="187">
        <f t="shared" si="120"/>
        <v>0</v>
      </c>
      <c r="J219" s="187">
        <f t="shared" si="120"/>
        <v>0</v>
      </c>
      <c r="K219" s="187">
        <f t="shared" si="120"/>
        <v>0</v>
      </c>
      <c r="L219" s="21"/>
      <c r="O219" s="368"/>
    </row>
    <row r="220" spans="3:15" ht="14.4" customHeight="1">
      <c r="C220" s="271"/>
      <c r="D220" s="272"/>
      <c r="E220" s="272"/>
      <c r="F220" s="272"/>
      <c r="G220" s="272"/>
      <c r="H220" s="272"/>
      <c r="I220" s="272"/>
      <c r="J220" s="272"/>
      <c r="K220" s="272"/>
      <c r="L220" s="21"/>
    </row>
    <row r="221" spans="3:15" ht="14.4" customHeight="1">
      <c r="C221" s="51" t="s">
        <v>155</v>
      </c>
      <c r="D221" s="401" t="s">
        <v>9</v>
      </c>
      <c r="E221" s="402"/>
      <c r="F221" s="403"/>
      <c r="G221" s="401" t="s">
        <v>10</v>
      </c>
      <c r="H221" s="402"/>
      <c r="I221" s="402"/>
      <c r="J221" s="402"/>
      <c r="K221" s="402"/>
      <c r="L221" s="21"/>
    </row>
    <row r="222" spans="3:15" ht="14.4" customHeight="1">
      <c r="C222" s="51"/>
      <c r="D222" s="10">
        <f>+D$12</f>
        <v>44561</v>
      </c>
      <c r="E222" s="10">
        <f t="shared" ref="E222:K222" si="121">+E$12</f>
        <v>44926</v>
      </c>
      <c r="F222" s="11">
        <f t="shared" si="121"/>
        <v>45291</v>
      </c>
      <c r="G222" s="10">
        <f t="shared" si="121"/>
        <v>45657</v>
      </c>
      <c r="H222" s="10">
        <f t="shared" si="121"/>
        <v>46022</v>
      </c>
      <c r="I222" s="10">
        <f t="shared" si="121"/>
        <v>46387</v>
      </c>
      <c r="J222" s="10">
        <f t="shared" si="121"/>
        <v>46752</v>
      </c>
      <c r="K222" s="10">
        <f t="shared" si="121"/>
        <v>47118</v>
      </c>
      <c r="L222" s="21"/>
    </row>
    <row r="223" spans="3:15" ht="14.4" customHeight="1">
      <c r="L223" s="21"/>
    </row>
    <row r="224" spans="3:15" ht="14.4" customHeight="1">
      <c r="C224" s="380" t="s">
        <v>112</v>
      </c>
      <c r="D224" s="205">
        <v>0</v>
      </c>
      <c r="E224" s="147">
        <f>+D227</f>
        <v>0</v>
      </c>
      <c r="F224" s="172">
        <f t="shared" ref="F224" si="122">+E227</f>
        <v>0</v>
      </c>
      <c r="G224" s="147">
        <f t="shared" ref="G224" si="123">+F227</f>
        <v>0</v>
      </c>
      <c r="H224" s="147">
        <f t="shared" ref="H224" ca="1" si="124">+G227</f>
        <v>0</v>
      </c>
      <c r="I224" s="147">
        <f t="shared" ref="I224" ca="1" si="125">+H227</f>
        <v>0</v>
      </c>
      <c r="J224" s="147">
        <f t="shared" ref="J224" ca="1" si="126">+I227</f>
        <v>0</v>
      </c>
      <c r="K224" s="147">
        <f t="shared" ref="K224" ca="1" si="127">+J227</f>
        <v>0</v>
      </c>
      <c r="L224" s="21"/>
    </row>
    <row r="225" spans="3:15" ht="14.4" customHeight="1">
      <c r="C225" s="6" t="s">
        <v>156</v>
      </c>
      <c r="D225" s="254">
        <v>0</v>
      </c>
      <c r="E225" s="254">
        <v>0</v>
      </c>
      <c r="F225" s="206">
        <v>0</v>
      </c>
      <c r="G225" s="147">
        <f ca="1">+G229*(G23-G24)</f>
        <v>0</v>
      </c>
      <c r="H225" s="147">
        <f ca="1">+H229*(H23-H24)</f>
        <v>0</v>
      </c>
      <c r="I225" s="147">
        <f ca="1">+I229*(I23-I24)</f>
        <v>0</v>
      </c>
      <c r="J225" s="147">
        <f ca="1">+J229*(J23-J24)</f>
        <v>0</v>
      </c>
      <c r="K225" s="147">
        <f ca="1">+K229*(K23-K24)</f>
        <v>0</v>
      </c>
      <c r="L225" s="21"/>
    </row>
    <row r="226" spans="3:15" ht="14.4" customHeight="1">
      <c r="C226" s="6" t="s">
        <v>153</v>
      </c>
      <c r="D226" s="205">
        <v>0</v>
      </c>
      <c r="E226" s="205">
        <v>0</v>
      </c>
      <c r="F226" s="206">
        <v>0</v>
      </c>
      <c r="G226" s="254">
        <v>0</v>
      </c>
      <c r="H226" s="254">
        <v>0</v>
      </c>
      <c r="I226" s="254">
        <v>0</v>
      </c>
      <c r="J226" s="254">
        <v>0</v>
      </c>
      <c r="K226" s="254">
        <v>0</v>
      </c>
      <c r="L226" s="21"/>
    </row>
    <row r="227" spans="3:15" ht="14.4" customHeight="1">
      <c r="C227" s="54" t="s">
        <v>114</v>
      </c>
      <c r="D227" s="150">
        <f>+D224+D225-D226</f>
        <v>0</v>
      </c>
      <c r="E227" s="150">
        <f t="shared" ref="E227:K227" si="128">+E224+E225-E226</f>
        <v>0</v>
      </c>
      <c r="F227" s="173">
        <f t="shared" si="128"/>
        <v>0</v>
      </c>
      <c r="G227" s="150">
        <f t="shared" ca="1" si="128"/>
        <v>0</v>
      </c>
      <c r="H227" s="150">
        <f t="shared" ca="1" si="128"/>
        <v>0</v>
      </c>
      <c r="I227" s="150">
        <f t="shared" ca="1" si="128"/>
        <v>0</v>
      </c>
      <c r="J227" s="150">
        <f t="shared" ca="1" si="128"/>
        <v>0</v>
      </c>
      <c r="K227" s="150">
        <f t="shared" ca="1" si="128"/>
        <v>0</v>
      </c>
      <c r="L227" s="21"/>
      <c r="N227" s="380"/>
      <c r="O227" s="380"/>
    </row>
    <row r="228" spans="3:15" ht="14.4" customHeight="1">
      <c r="D228" s="16"/>
      <c r="E228" s="16"/>
      <c r="F228" s="53"/>
      <c r="L228" s="21"/>
      <c r="N228" s="380"/>
      <c r="O228" s="380"/>
    </row>
    <row r="229" spans="3:15" ht="14.4" customHeight="1">
      <c r="C229" s="299" t="s">
        <v>157</v>
      </c>
      <c r="D229" s="187">
        <f>+D225/SUM(D225,D214)</f>
        <v>0</v>
      </c>
      <c r="E229" s="187">
        <f t="shared" ref="E229:F229" si="129">+E225/SUM(E225,E214)</f>
        <v>0</v>
      </c>
      <c r="F229" s="188">
        <f t="shared" si="129"/>
        <v>0</v>
      </c>
      <c r="G229" s="187">
        <f>+AVERAGE(D229:F229)</f>
        <v>0</v>
      </c>
      <c r="H229" s="187">
        <f t="shared" ref="H229" si="130">+AVERAGE(E229:G229)</f>
        <v>0</v>
      </c>
      <c r="I229" s="187">
        <f t="shared" ref="I229" si="131">+AVERAGE(F229:H229)</f>
        <v>0</v>
      </c>
      <c r="J229" s="187">
        <f t="shared" ref="J229" si="132">+AVERAGE(G229:I229)</f>
        <v>0</v>
      </c>
      <c r="K229" s="187">
        <f t="shared" ref="K229" si="133">+AVERAGE(H229:J229)</f>
        <v>0</v>
      </c>
      <c r="L229" s="21"/>
      <c r="N229" s="380"/>
      <c r="O229" s="368"/>
    </row>
    <row r="230" spans="3:15" ht="14.4" customHeight="1">
      <c r="L230" s="21"/>
    </row>
    <row r="231" spans="3:15" ht="14.4" customHeight="1">
      <c r="C231" s="51" t="s">
        <v>158</v>
      </c>
      <c r="D231" s="401" t="s">
        <v>9</v>
      </c>
      <c r="E231" s="402"/>
      <c r="F231" s="403"/>
      <c r="G231" s="401" t="s">
        <v>10</v>
      </c>
      <c r="H231" s="402"/>
      <c r="I231" s="402"/>
      <c r="J231" s="402"/>
      <c r="K231" s="402"/>
      <c r="L231" s="21"/>
    </row>
    <row r="232" spans="3:15" ht="14.4" customHeight="1">
      <c r="C232" s="51"/>
      <c r="D232" s="10">
        <f>+D$12</f>
        <v>44561</v>
      </c>
      <c r="E232" s="10">
        <f t="shared" ref="E232:K232" si="134">+E$12</f>
        <v>44926</v>
      </c>
      <c r="F232" s="11">
        <f t="shared" si="134"/>
        <v>45291</v>
      </c>
      <c r="G232" s="10">
        <f t="shared" si="134"/>
        <v>45657</v>
      </c>
      <c r="H232" s="10">
        <f t="shared" si="134"/>
        <v>46022</v>
      </c>
      <c r="I232" s="10">
        <f t="shared" si="134"/>
        <v>46387</v>
      </c>
      <c r="J232" s="10">
        <f t="shared" si="134"/>
        <v>46752</v>
      </c>
      <c r="K232" s="10">
        <f t="shared" si="134"/>
        <v>47118</v>
      </c>
      <c r="L232" s="21"/>
    </row>
    <row r="233" spans="3:15" ht="14.4" customHeight="1">
      <c r="D233" s="14"/>
      <c r="L233" s="21"/>
    </row>
    <row r="234" spans="3:15" ht="14.4" customHeight="1">
      <c r="C234" s="26" t="s">
        <v>159</v>
      </c>
      <c r="D234" s="363"/>
      <c r="E234" s="24"/>
      <c r="F234" s="298"/>
      <c r="L234" s="21"/>
    </row>
    <row r="235" spans="3:15" ht="14.4" customHeight="1">
      <c r="C235" t="s">
        <v>160</v>
      </c>
      <c r="D235" s="284">
        <v>400000</v>
      </c>
      <c r="E235" s="285">
        <f>+D235+E241</f>
        <v>400000</v>
      </c>
      <c r="F235" s="331">
        <f t="shared" ref="F235:K235" si="135">+E235+F241</f>
        <v>400000</v>
      </c>
      <c r="G235" s="382">
        <f t="shared" si="135"/>
        <v>400000</v>
      </c>
      <c r="H235" s="382">
        <f t="shared" si="135"/>
        <v>400000</v>
      </c>
      <c r="I235" s="382">
        <f t="shared" si="135"/>
        <v>400000</v>
      </c>
      <c r="J235" s="382">
        <f t="shared" si="135"/>
        <v>400000</v>
      </c>
      <c r="K235" s="382">
        <f t="shared" si="135"/>
        <v>400000</v>
      </c>
      <c r="L235" s="21"/>
    </row>
    <row r="236" spans="3:15" ht="14.4" customHeight="1">
      <c r="C236" t="s">
        <v>161</v>
      </c>
      <c r="D236" s="284">
        <v>500000</v>
      </c>
      <c r="E236" s="285">
        <f t="shared" ref="E236:K236" si="136">+D236+E242</f>
        <v>500000</v>
      </c>
      <c r="F236" s="331">
        <f t="shared" si="136"/>
        <v>500000</v>
      </c>
      <c r="G236" s="382">
        <f t="shared" si="136"/>
        <v>500000</v>
      </c>
      <c r="H236" s="382">
        <f t="shared" si="136"/>
        <v>500000</v>
      </c>
      <c r="I236" s="382">
        <f t="shared" si="136"/>
        <v>500000</v>
      </c>
      <c r="J236" s="382">
        <f t="shared" si="136"/>
        <v>500000</v>
      </c>
      <c r="K236" s="382">
        <f t="shared" si="136"/>
        <v>500000</v>
      </c>
      <c r="L236" s="21"/>
    </row>
    <row r="237" spans="3:15" ht="14.4" customHeight="1">
      <c r="C237" t="s">
        <v>162</v>
      </c>
      <c r="D237" s="284">
        <v>596250</v>
      </c>
      <c r="E237" s="285">
        <f t="shared" ref="E237:K237" si="137">+D237+E243</f>
        <v>566250</v>
      </c>
      <c r="F237" s="331">
        <f t="shared" si="137"/>
        <v>532500</v>
      </c>
      <c r="G237" s="382">
        <f t="shared" si="137"/>
        <v>487500</v>
      </c>
      <c r="H237" s="382">
        <f t="shared" si="137"/>
        <v>438750</v>
      </c>
      <c r="I237" s="382">
        <f t="shared" si="137"/>
        <v>0</v>
      </c>
      <c r="J237" s="382">
        <f t="shared" si="137"/>
        <v>0</v>
      </c>
      <c r="K237" s="382">
        <f t="shared" si="137"/>
        <v>0</v>
      </c>
      <c r="L237" s="21"/>
    </row>
    <row r="238" spans="3:15" ht="14.4" customHeight="1">
      <c r="C238" s="6" t="s">
        <v>163</v>
      </c>
      <c r="D238" s="284">
        <v>17085</v>
      </c>
      <c r="E238" s="285">
        <f t="shared" ref="E238:K238" si="138">+D238+E244</f>
        <v>8427</v>
      </c>
      <c r="F238" s="331">
        <f t="shared" si="138"/>
        <v>2039</v>
      </c>
      <c r="G238" s="382">
        <f t="shared" si="138"/>
        <v>0</v>
      </c>
      <c r="H238" s="382">
        <f t="shared" si="138"/>
        <v>0</v>
      </c>
      <c r="I238" s="382">
        <f t="shared" si="138"/>
        <v>0</v>
      </c>
      <c r="J238" s="382">
        <f t="shared" si="138"/>
        <v>0</v>
      </c>
      <c r="K238" s="382">
        <f t="shared" si="138"/>
        <v>0</v>
      </c>
      <c r="L238" s="21"/>
    </row>
    <row r="239" spans="3:15" ht="14.4" customHeight="1">
      <c r="D239" s="363"/>
      <c r="E239" s="24"/>
      <c r="F239" s="298"/>
      <c r="L239" s="21"/>
    </row>
    <row r="240" spans="3:15" ht="14.4" customHeight="1">
      <c r="C240" s="26" t="s">
        <v>164</v>
      </c>
      <c r="D240" s="363"/>
      <c r="E240" s="24"/>
      <c r="F240" s="298"/>
      <c r="L240" s="21"/>
      <c r="O240" s="380"/>
    </row>
    <row r="241" spans="3:15" ht="14.4" customHeight="1">
      <c r="C241" s="6" t="str">
        <f>+C235</f>
        <v>Senior Debt due 2029</v>
      </c>
      <c r="D241" s="284">
        <v>400000</v>
      </c>
      <c r="E241" s="284">
        <v>0</v>
      </c>
      <c r="F241" s="206">
        <v>0</v>
      </c>
      <c r="G241" s="254">
        <v>0</v>
      </c>
      <c r="H241" s="254">
        <v>0</v>
      </c>
      <c r="I241" s="254">
        <v>0</v>
      </c>
      <c r="J241" s="254">
        <v>0</v>
      </c>
      <c r="K241" s="254">
        <v>0</v>
      </c>
      <c r="L241" s="21"/>
    </row>
    <row r="242" spans="3:15" ht="14.4" customHeight="1">
      <c r="C242" s="6" t="str">
        <f t="shared" ref="C242:C244" si="139">+C236</f>
        <v>Senior Debt due 2032</v>
      </c>
      <c r="D242" s="284">
        <v>500000</v>
      </c>
      <c r="E242" s="284">
        <v>0</v>
      </c>
      <c r="F242" s="206">
        <v>0</v>
      </c>
      <c r="G242" s="254">
        <v>0</v>
      </c>
      <c r="H242" s="254">
        <v>0</v>
      </c>
      <c r="I242" s="254">
        <v>0</v>
      </c>
      <c r="J242" s="254">
        <v>0</v>
      </c>
      <c r="K242" s="254">
        <v>0</v>
      </c>
      <c r="L242" s="21"/>
    </row>
    <row r="243" spans="3:15" ht="14.4" customHeight="1">
      <c r="C243" s="6" t="str">
        <f t="shared" si="139"/>
        <v>Term loan due 2026</v>
      </c>
      <c r="D243" s="284">
        <f>322500-15000</f>
        <v>307500</v>
      </c>
      <c r="E243" s="284">
        <v>-30000</v>
      </c>
      <c r="F243" s="206">
        <v>-33750</v>
      </c>
      <c r="G243" s="254">
        <v>-45000</v>
      </c>
      <c r="H243" s="254">
        <v>-48750</v>
      </c>
      <c r="I243" s="254">
        <v>-438750</v>
      </c>
      <c r="J243" s="254">
        <v>0</v>
      </c>
      <c r="K243" s="254">
        <v>0</v>
      </c>
      <c r="L243" s="21"/>
    </row>
    <row r="244" spans="3:15" ht="14.4" customHeight="1">
      <c r="C244" s="6" t="str">
        <f t="shared" si="139"/>
        <v>Equipment notes</v>
      </c>
      <c r="D244" s="284">
        <f>-8333-33</f>
        <v>-8366</v>
      </c>
      <c r="E244" s="284">
        <f>-8651-7</f>
        <v>-8658</v>
      </c>
      <c r="F244" s="206">
        <f>-6337-51</f>
        <v>-6388</v>
      </c>
      <c r="G244" s="254">
        <v>-2039</v>
      </c>
      <c r="H244" s="254">
        <v>0</v>
      </c>
      <c r="I244" s="254">
        <v>0</v>
      </c>
      <c r="J244" s="254">
        <v>0</v>
      </c>
      <c r="K244" s="254">
        <v>0</v>
      </c>
      <c r="L244" s="21"/>
    </row>
    <row r="245" spans="3:15" ht="14.4" customHeight="1">
      <c r="D245" s="363"/>
      <c r="E245" s="24"/>
      <c r="F245" s="298"/>
      <c r="L245" s="21"/>
    </row>
    <row r="246" spans="3:15" ht="14.4" customHeight="1">
      <c r="C246" s="26" t="s">
        <v>165</v>
      </c>
      <c r="D246" s="363"/>
      <c r="E246" s="24"/>
      <c r="F246" s="298"/>
      <c r="L246" s="21"/>
    </row>
    <row r="247" spans="3:15" ht="14.4" customHeight="1">
      <c r="C247" s="18" t="str">
        <f>+C235</f>
        <v>Senior Debt due 2029</v>
      </c>
      <c r="D247" s="185"/>
      <c r="E247" s="60"/>
      <c r="F247" s="281"/>
      <c r="G247" s="280">
        <v>3.6249999999999998E-2</v>
      </c>
      <c r="H247" s="342">
        <f>+G247</f>
        <v>3.6249999999999998E-2</v>
      </c>
      <c r="I247" s="342">
        <f t="shared" ref="I247" si="140">+H247</f>
        <v>3.6249999999999998E-2</v>
      </c>
      <c r="J247" s="342">
        <f t="shared" ref="J247" si="141">+I247</f>
        <v>3.6249999999999998E-2</v>
      </c>
      <c r="K247" s="342">
        <f t="shared" ref="K247" si="142">+J247</f>
        <v>3.6249999999999998E-2</v>
      </c>
      <c r="L247" s="21"/>
    </row>
    <row r="248" spans="3:15" ht="14.4" customHeight="1">
      <c r="C248" s="18" t="str">
        <f t="shared" ref="C248:C250" si="143">+C236</f>
        <v>Senior Debt due 2032</v>
      </c>
      <c r="D248" s="185"/>
      <c r="E248" s="60"/>
      <c r="F248" s="281"/>
      <c r="G248" s="280">
        <v>4.1250000000000002E-2</v>
      </c>
      <c r="H248" s="342">
        <f>+G248</f>
        <v>4.1250000000000002E-2</v>
      </c>
      <c r="I248" s="342">
        <f t="shared" ref="I248" si="144">+H248</f>
        <v>4.1250000000000002E-2</v>
      </c>
      <c r="J248" s="342">
        <f t="shared" ref="J248" si="145">+I248</f>
        <v>4.1250000000000002E-2</v>
      </c>
      <c r="K248" s="342">
        <f t="shared" ref="K248" si="146">+J248</f>
        <v>4.1250000000000002E-2</v>
      </c>
      <c r="L248" s="21"/>
    </row>
    <row r="249" spans="3:15" ht="14.4" customHeight="1">
      <c r="C249" s="18" t="str">
        <f t="shared" si="143"/>
        <v>Term loan due 2026</v>
      </c>
      <c r="D249" s="185"/>
      <c r="E249" s="60"/>
      <c r="F249" s="281"/>
      <c r="G249" s="343">
        <v>6.4600000000000005E-2</v>
      </c>
      <c r="H249" s="344">
        <f>+G249</f>
        <v>6.4600000000000005E-2</v>
      </c>
      <c r="I249" s="344">
        <f t="shared" ref="I249" si="147">+H249</f>
        <v>6.4600000000000005E-2</v>
      </c>
      <c r="J249" s="344">
        <f t="shared" ref="J249" si="148">+I249</f>
        <v>6.4600000000000005E-2</v>
      </c>
      <c r="K249" s="344">
        <f t="shared" ref="K249" si="149">+J249</f>
        <v>6.4600000000000005E-2</v>
      </c>
      <c r="L249" s="21"/>
    </row>
    <row r="250" spans="3:15" ht="14.4" customHeight="1">
      <c r="C250" s="18" t="str">
        <f t="shared" si="143"/>
        <v>Equipment notes</v>
      </c>
      <c r="D250" s="185"/>
      <c r="E250" s="60"/>
      <c r="F250" s="281"/>
      <c r="G250" s="286">
        <f>+AVERAGE(2.8%,4.4%)</f>
        <v>3.6000000000000004E-2</v>
      </c>
      <c r="H250" s="345">
        <f>+G250</f>
        <v>3.6000000000000004E-2</v>
      </c>
      <c r="I250" s="345">
        <f t="shared" ref="I250:K250" si="150">+H250</f>
        <v>3.6000000000000004E-2</v>
      </c>
      <c r="J250" s="345">
        <f t="shared" si="150"/>
        <v>3.6000000000000004E-2</v>
      </c>
      <c r="K250" s="345">
        <f t="shared" si="150"/>
        <v>3.6000000000000004E-2</v>
      </c>
      <c r="L250" s="21"/>
      <c r="O250" s="380"/>
    </row>
    <row r="251" spans="3:15" ht="14.4" customHeight="1">
      <c r="D251" s="363"/>
      <c r="E251" s="24"/>
      <c r="F251" s="298"/>
      <c r="L251" s="21"/>
    </row>
    <row r="252" spans="3:15" ht="14.4" customHeight="1">
      <c r="C252" s="26" t="s">
        <v>166</v>
      </c>
      <c r="D252" s="363"/>
      <c r="E252" s="24"/>
      <c r="F252" s="298"/>
      <c r="L252" s="21"/>
    </row>
    <row r="253" spans="3:15" ht="14.4" customHeight="1">
      <c r="C253" s="6" t="str">
        <f>+C235</f>
        <v>Senior Debt due 2029</v>
      </c>
      <c r="D253" s="364"/>
      <c r="E253" s="171"/>
      <c r="F253" s="186"/>
      <c r="G253" s="147">
        <f>+IF($J$5=1,G247*AVERAGE(F235,G235),0)</f>
        <v>14499.999999999998</v>
      </c>
      <c r="H253" s="147">
        <f t="shared" ref="H253:K253" si="151">+IF($J$5=1,H247*AVERAGE(G235,H235),0)</f>
        <v>14499.999999999998</v>
      </c>
      <c r="I253" s="147">
        <f t="shared" si="151"/>
        <v>14499.999999999998</v>
      </c>
      <c r="J253" s="147">
        <f t="shared" si="151"/>
        <v>14499.999999999998</v>
      </c>
      <c r="K253" s="147">
        <f t="shared" si="151"/>
        <v>14499.999999999998</v>
      </c>
      <c r="L253" s="21"/>
    </row>
    <row r="254" spans="3:15" ht="14.4" customHeight="1">
      <c r="C254" s="6" t="str">
        <f t="shared" ref="C254:C256" si="152">+C236</f>
        <v>Senior Debt due 2032</v>
      </c>
      <c r="D254" s="364"/>
      <c r="E254" s="171"/>
      <c r="F254" s="186"/>
      <c r="G254" s="147">
        <f t="shared" ref="G254:K254" si="153">+IF($J$5=1,G248*AVERAGE(F236,G236),0)</f>
        <v>20625</v>
      </c>
      <c r="H254" s="147">
        <f t="shared" si="153"/>
        <v>20625</v>
      </c>
      <c r="I254" s="147">
        <f t="shared" si="153"/>
        <v>20625</v>
      </c>
      <c r="J254" s="147">
        <f t="shared" si="153"/>
        <v>20625</v>
      </c>
      <c r="K254" s="147">
        <f t="shared" si="153"/>
        <v>20625</v>
      </c>
      <c r="L254" s="21"/>
    </row>
    <row r="255" spans="3:15" ht="14.4" customHeight="1">
      <c r="C255" s="6" t="str">
        <f t="shared" si="152"/>
        <v>Term loan due 2026</v>
      </c>
      <c r="D255" s="364"/>
      <c r="E255" s="171"/>
      <c r="F255" s="186"/>
      <c r="G255" s="147">
        <f t="shared" ref="G255:K255" si="154">+IF($J$5=1,G249*AVERAGE(F237,G237),0)</f>
        <v>32946</v>
      </c>
      <c r="H255" s="147">
        <f t="shared" si="154"/>
        <v>29917.875000000004</v>
      </c>
      <c r="I255" s="147">
        <f t="shared" si="154"/>
        <v>14171.625000000002</v>
      </c>
      <c r="J255" s="147">
        <f t="shared" si="154"/>
        <v>0</v>
      </c>
      <c r="K255" s="147">
        <f t="shared" si="154"/>
        <v>0</v>
      </c>
      <c r="L255" s="21"/>
    </row>
    <row r="256" spans="3:15" ht="14.4" customHeight="1">
      <c r="C256" s="6" t="str">
        <f t="shared" si="152"/>
        <v>Equipment notes</v>
      </c>
      <c r="D256" s="364"/>
      <c r="E256" s="171"/>
      <c r="F256" s="186"/>
      <c r="G256" s="147">
        <f t="shared" ref="G256:K256" si="155">+IF($J$5=1,G250*AVERAGE(F238,G238),0)</f>
        <v>36.702000000000005</v>
      </c>
      <c r="H256" s="147">
        <f t="shared" si="155"/>
        <v>0</v>
      </c>
      <c r="I256" s="147">
        <f t="shared" si="155"/>
        <v>0</v>
      </c>
      <c r="J256" s="147">
        <f t="shared" si="155"/>
        <v>0</v>
      </c>
      <c r="K256" s="147">
        <f t="shared" si="155"/>
        <v>0</v>
      </c>
      <c r="L256" s="21"/>
    </row>
    <row r="257" spans="3:27" ht="14.4" customHeight="1">
      <c r="C257" s="7"/>
      <c r="F257" s="52"/>
      <c r="L257" s="21"/>
    </row>
    <row r="258" spans="3:27" ht="14.4" customHeight="1">
      <c r="C258" s="291" t="s">
        <v>167</v>
      </c>
      <c r="D258" s="292">
        <v>38640</v>
      </c>
      <c r="E258" s="292">
        <v>40068</v>
      </c>
      <c r="F258" s="355">
        <v>47039</v>
      </c>
      <c r="G258" s="293">
        <f>-SUM(H241:H244)</f>
        <v>48750</v>
      </c>
      <c r="H258" s="293">
        <f>-SUM(I241:I244)</f>
        <v>438750</v>
      </c>
      <c r="I258" s="293">
        <f>-SUM(J241:J244)</f>
        <v>0</v>
      </c>
      <c r="J258" s="293">
        <f>-SUM(K241:K244)</f>
        <v>0</v>
      </c>
      <c r="K258" s="309">
        <v>400000</v>
      </c>
      <c r="L258" s="21"/>
      <c r="O258" s="404"/>
      <c r="P258" s="404"/>
      <c r="Q258" s="404"/>
      <c r="R258" s="404"/>
      <c r="S258" s="404"/>
      <c r="T258" s="404"/>
      <c r="U258" s="404"/>
      <c r="V258" s="404"/>
      <c r="W258" s="404"/>
      <c r="X258" s="404"/>
      <c r="Y258" s="404"/>
      <c r="Z258" s="404"/>
      <c r="AA258" s="404"/>
    </row>
    <row r="259" spans="3:27" ht="14.4" customHeight="1">
      <c r="C259" s="294" t="s">
        <v>168</v>
      </c>
      <c r="D259" s="205">
        <v>1454483</v>
      </c>
      <c r="E259" s="205">
        <v>1417257</v>
      </c>
      <c r="F259" s="300">
        <v>1373028</v>
      </c>
      <c r="G259" s="295">
        <f>+SUM(G235:G238)-G258-G261</f>
        <v>1327172.3999999999</v>
      </c>
      <c r="H259" s="295">
        <f>+SUM(H235:H238)-H258-H261</f>
        <v>891316.8</v>
      </c>
      <c r="I259" s="295">
        <f>+SUM(I235:I238)-I258-I261</f>
        <v>894211.2</v>
      </c>
      <c r="J259" s="295">
        <f>+SUM(J235:J238)-J258-J261</f>
        <v>897105.6</v>
      </c>
      <c r="K259" s="296">
        <f>+SUM(K235:K238)-K258-K261</f>
        <v>500000</v>
      </c>
      <c r="L259" s="21"/>
      <c r="O259" s="404"/>
      <c r="P259" s="404"/>
      <c r="Q259" s="404"/>
      <c r="R259" s="404"/>
      <c r="S259" s="404"/>
      <c r="T259" s="404"/>
      <c r="U259" s="404"/>
      <c r="V259" s="404"/>
      <c r="W259" s="404"/>
      <c r="X259" s="404"/>
      <c r="Y259" s="404"/>
      <c r="Z259" s="404"/>
      <c r="AA259" s="404"/>
    </row>
    <row r="260" spans="3:27" ht="14.4" customHeight="1">
      <c r="C260" s="351" t="s">
        <v>169</v>
      </c>
      <c r="D260" s="159">
        <f>+D21-D285</f>
        <v>29119</v>
      </c>
      <c r="E260" s="159">
        <f>+E21-E285</f>
        <v>56448</v>
      </c>
      <c r="F260" s="160">
        <f>+F21-F285</f>
        <v>74404</v>
      </c>
      <c r="G260" s="159">
        <f>+SUM(G253:G256)+F261-G261</f>
        <v>71002.101999999999</v>
      </c>
      <c r="H260" s="159">
        <f t="shared" ref="H260:K260" si="156">+SUM(H253:H256)+G261-H261</f>
        <v>67937.275000000009</v>
      </c>
      <c r="I260" s="159">
        <f t="shared" si="156"/>
        <v>52191.024999999994</v>
      </c>
      <c r="J260" s="159">
        <f t="shared" si="156"/>
        <v>38019.4</v>
      </c>
      <c r="K260" s="352">
        <f t="shared" si="156"/>
        <v>38019.4</v>
      </c>
      <c r="L260" s="21"/>
      <c r="O260" s="404"/>
      <c r="P260" s="404"/>
      <c r="Q260" s="404"/>
      <c r="R260" s="404"/>
      <c r="S260" s="404"/>
      <c r="T260" s="404"/>
      <c r="U260" s="404"/>
      <c r="V260" s="404"/>
      <c r="W260" s="404"/>
      <c r="X260" s="404"/>
      <c r="Y260" s="404"/>
      <c r="Z260" s="404"/>
      <c r="AA260" s="404"/>
    </row>
    <row r="261" spans="3:27" ht="14.4" customHeight="1">
      <c r="C261" s="297" t="s">
        <v>170</v>
      </c>
      <c r="D261" s="353">
        <f>+SUM(D235:D238)-D258-D259</f>
        <v>20212</v>
      </c>
      <c r="E261" s="353">
        <f>+SUM(E235:E238)-E258-E259</f>
        <v>17352</v>
      </c>
      <c r="F261" s="365">
        <f>+SUM(F235:F238)-F258-F259</f>
        <v>14472</v>
      </c>
      <c r="G261" s="353">
        <f>+MAX(0,MIN($F261,F261-$F261/5))</f>
        <v>11577.6</v>
      </c>
      <c r="H261" s="353">
        <f t="shared" ref="H261:K261" si="157">+MAX(0,MIN($F261,G261-$F261/5))</f>
        <v>8683.2000000000007</v>
      </c>
      <c r="I261" s="353">
        <f t="shared" si="157"/>
        <v>5788.8000000000011</v>
      </c>
      <c r="J261" s="353">
        <f t="shared" si="157"/>
        <v>2894.400000000001</v>
      </c>
      <c r="K261" s="354">
        <f t="shared" si="157"/>
        <v>9.0949470177292824E-13</v>
      </c>
      <c r="L261" s="21"/>
      <c r="O261" s="404"/>
      <c r="P261" s="404"/>
      <c r="Q261" s="404"/>
      <c r="R261" s="404"/>
      <c r="S261" s="404"/>
      <c r="T261" s="404"/>
      <c r="U261" s="404"/>
      <c r="V261" s="404"/>
      <c r="W261" s="404"/>
      <c r="X261" s="404"/>
      <c r="Y261" s="404"/>
      <c r="Z261" s="404"/>
      <c r="AA261" s="404"/>
    </row>
    <row r="262" spans="3:27" ht="14.4" customHeight="1">
      <c r="D262" s="153"/>
      <c r="E262" s="153"/>
      <c r="F262" s="52"/>
      <c r="G262" s="153"/>
      <c r="L262" s="21"/>
      <c r="O262" s="380"/>
    </row>
    <row r="263" spans="3:27" ht="14.4" customHeight="1">
      <c r="C263" s="7" t="s">
        <v>171</v>
      </c>
      <c r="D263" s="14"/>
      <c r="F263" s="298"/>
      <c r="G263" s="153"/>
      <c r="L263" s="21"/>
    </row>
    <row r="264" spans="3:27" ht="14.4" customHeight="1">
      <c r="C264" s="6" t="s">
        <v>172</v>
      </c>
      <c r="D264" s="185"/>
      <c r="E264" s="185"/>
      <c r="F264" s="186"/>
      <c r="G264" s="147">
        <f ca="1">+F46+G86+G93+G95+G97+G98+G241+G242+G243+G244+G101</f>
        <v>1331865.9943147644</v>
      </c>
      <c r="H264" s="147">
        <f t="shared" ref="H264:K264" ca="1" si="158">+G46+H86+H93+H95+H97+H98+H241+H242+H243+H244+H101</f>
        <v>1868402.9029968521</v>
      </c>
      <c r="I264" s="147">
        <f t="shared" ca="1" si="158"/>
        <v>2067529.37178441</v>
      </c>
      <c r="J264" s="147">
        <f t="shared" ca="1" si="158"/>
        <v>2757917.0227397331</v>
      </c>
      <c r="K264" s="147">
        <f t="shared" ca="1" si="158"/>
        <v>3506004.7658375474</v>
      </c>
      <c r="L264" s="21"/>
      <c r="O264" s="380"/>
    </row>
    <row r="265" spans="3:27" ht="14.4" customHeight="1">
      <c r="C265" s="6" t="s">
        <v>173</v>
      </c>
      <c r="D265" s="185"/>
      <c r="E265" s="185"/>
      <c r="F265" s="186"/>
      <c r="G265" s="147">
        <f>+G266*G14</f>
        <v>134698.52915382403</v>
      </c>
      <c r="H265" s="147">
        <f>+H266*H14</f>
        <v>138651.07683815746</v>
      </c>
      <c r="I265" s="147">
        <f>+I266*I14</f>
        <v>143150.46104437672</v>
      </c>
      <c r="J265" s="147">
        <f>+J266*J14</f>
        <v>148744.3362443634</v>
      </c>
      <c r="K265" s="147">
        <f>+K266*K14</f>
        <v>155146.74578904358</v>
      </c>
      <c r="L265" s="21"/>
    </row>
    <row r="266" spans="3:27" ht="14.4" customHeight="1">
      <c r="C266" s="5" t="s">
        <v>174</v>
      </c>
      <c r="D266" s="190"/>
      <c r="E266" s="190"/>
      <c r="F266" s="186"/>
      <c r="G266" s="253">
        <v>2.5000000000000001E-2</v>
      </c>
      <c r="H266" s="253">
        <v>2.5000000000000001E-2</v>
      </c>
      <c r="I266" s="253">
        <v>2.5000000000000001E-2</v>
      </c>
      <c r="J266" s="253">
        <v>2.5000000000000001E-2</v>
      </c>
      <c r="K266" s="253">
        <v>2.5000000000000001E-2</v>
      </c>
      <c r="L266" s="21"/>
    </row>
    <row r="267" spans="3:27" ht="14.4" customHeight="1">
      <c r="C267" s="54"/>
      <c r="D267" s="153"/>
      <c r="E267" s="153"/>
      <c r="F267" s="172"/>
      <c r="G267" s="153"/>
      <c r="H267" s="153"/>
      <c r="I267" s="153"/>
      <c r="J267" s="153"/>
      <c r="K267" s="153"/>
      <c r="L267" s="21"/>
    </row>
    <row r="268" spans="3:27" ht="14.4" customHeight="1">
      <c r="C268" s="7" t="s">
        <v>175</v>
      </c>
      <c r="D268" s="153"/>
      <c r="E268" s="153"/>
      <c r="F268" s="172"/>
      <c r="G268" s="153"/>
      <c r="H268" s="153"/>
      <c r="I268" s="153"/>
      <c r="J268" s="153"/>
      <c r="K268" s="153"/>
      <c r="L268" s="21"/>
      <c r="M268" s="383"/>
      <c r="N268" s="383"/>
      <c r="O268" s="379"/>
      <c r="P268" s="379"/>
      <c r="Q268" s="379"/>
      <c r="R268" s="379"/>
      <c r="S268" s="379"/>
      <c r="T268" s="379"/>
      <c r="U268" s="379"/>
      <c r="V268" s="379"/>
      <c r="W268" s="379"/>
      <c r="X268" s="379"/>
    </row>
    <row r="269" spans="3:27" ht="14.4" customHeight="1">
      <c r="C269" s="6" t="s">
        <v>176</v>
      </c>
      <c r="D269" s="185"/>
      <c r="E269" s="185"/>
      <c r="F269" s="186"/>
      <c r="G269" s="147">
        <f>+F271</f>
        <v>0</v>
      </c>
      <c r="H269" s="147">
        <f t="shared" ref="H269:K269" ca="1" si="159">+G271</f>
        <v>0</v>
      </c>
      <c r="I269" s="147">
        <f t="shared" ca="1" si="159"/>
        <v>0</v>
      </c>
      <c r="J269" s="147">
        <f t="shared" ca="1" si="159"/>
        <v>0</v>
      </c>
      <c r="K269" s="147">
        <f t="shared" ca="1" si="159"/>
        <v>0</v>
      </c>
      <c r="L269" s="21"/>
      <c r="M269" s="383"/>
      <c r="N269" s="383"/>
      <c r="O269" s="405"/>
      <c r="P269" s="405"/>
      <c r="Q269" s="405"/>
      <c r="R269" s="405"/>
      <c r="S269" s="405"/>
      <c r="T269" s="405"/>
      <c r="U269" s="405"/>
      <c r="V269" s="405"/>
      <c r="W269" s="405"/>
      <c r="X269" s="405"/>
      <c r="Y269" s="405"/>
      <c r="Z269" s="405"/>
      <c r="AA269" s="405"/>
    </row>
    <row r="270" spans="3:27" ht="14.4" customHeight="1">
      <c r="C270" s="6" t="s">
        <v>164</v>
      </c>
      <c r="D270" s="185"/>
      <c r="E270" s="185"/>
      <c r="F270" s="186"/>
      <c r="G270" s="147">
        <f ca="1">+IF(G264-G265&gt;0,-MIN(G269,G264-G265),MAX(0,G265-G264))</f>
        <v>0</v>
      </c>
      <c r="H270" s="147">
        <f t="shared" ref="H270:K270" ca="1" si="160">+IF(H264-H265&gt;0,-MIN(H269,H264-H265),MAX(0,H265-H264))</f>
        <v>0</v>
      </c>
      <c r="I270" s="147">
        <f t="shared" ca="1" si="160"/>
        <v>0</v>
      </c>
      <c r="J270" s="147">
        <f t="shared" ca="1" si="160"/>
        <v>0</v>
      </c>
      <c r="K270" s="147">
        <f t="shared" ca="1" si="160"/>
        <v>0</v>
      </c>
      <c r="L270" s="21"/>
      <c r="M270" s="383"/>
      <c r="N270" s="383"/>
      <c r="O270" s="405"/>
      <c r="P270" s="405"/>
      <c r="Q270" s="405"/>
      <c r="R270" s="405"/>
      <c r="S270" s="405"/>
      <c r="T270" s="405"/>
      <c r="U270" s="405"/>
      <c r="V270" s="405"/>
      <c r="W270" s="405"/>
      <c r="X270" s="405"/>
      <c r="Y270" s="405"/>
      <c r="Z270" s="405"/>
      <c r="AA270" s="405"/>
    </row>
    <row r="271" spans="3:27" ht="14.4" customHeight="1">
      <c r="C271" s="54" t="s">
        <v>114</v>
      </c>
      <c r="D271" s="185"/>
      <c r="E271" s="185"/>
      <c r="F271" s="186"/>
      <c r="G271" s="150">
        <f ca="1">+G269+G270</f>
        <v>0</v>
      </c>
      <c r="H271" s="150">
        <f t="shared" ref="H271:K271" ca="1" si="161">+H269+H270</f>
        <v>0</v>
      </c>
      <c r="I271" s="150">
        <f t="shared" ca="1" si="161"/>
        <v>0</v>
      </c>
      <c r="J271" s="150">
        <f t="shared" ca="1" si="161"/>
        <v>0</v>
      </c>
      <c r="K271" s="150">
        <f t="shared" ca="1" si="161"/>
        <v>0</v>
      </c>
      <c r="L271" s="21"/>
      <c r="M271" s="383"/>
      <c r="N271" s="383"/>
      <c r="O271" s="405"/>
      <c r="P271" s="405"/>
      <c r="Q271" s="405"/>
      <c r="R271" s="405"/>
      <c r="S271" s="405"/>
      <c r="T271" s="405"/>
      <c r="U271" s="405"/>
      <c r="V271" s="405"/>
      <c r="W271" s="405"/>
      <c r="X271" s="405"/>
      <c r="Y271" s="405"/>
      <c r="Z271" s="405"/>
      <c r="AA271" s="405"/>
    </row>
    <row r="272" spans="3:27" ht="14.4" customHeight="1">
      <c r="F272" s="52"/>
      <c r="L272" s="21"/>
      <c r="M272" s="383"/>
    </row>
    <row r="273" spans="3:18" ht="14.4" customHeight="1">
      <c r="C273" s="6" t="s">
        <v>177</v>
      </c>
      <c r="D273" s="60"/>
      <c r="E273" s="301"/>
      <c r="F273" s="302"/>
      <c r="G273" s="253">
        <v>0.06</v>
      </c>
      <c r="H273" s="253">
        <v>0.06</v>
      </c>
      <c r="I273" s="253">
        <v>0.06</v>
      </c>
      <c r="J273" s="253">
        <v>0.06</v>
      </c>
      <c r="K273" s="253">
        <v>0.06</v>
      </c>
      <c r="L273" s="21"/>
      <c r="O273" s="380"/>
    </row>
    <row r="274" spans="3:18" ht="14.4" customHeight="1">
      <c r="C274" s="54" t="s">
        <v>49</v>
      </c>
      <c r="D274" s="61"/>
      <c r="E274" s="190"/>
      <c r="F274" s="282"/>
      <c r="G274" s="150">
        <f ca="1">+IF($J$5=1,G273*AVERAGE(G269,G271),0)</f>
        <v>0</v>
      </c>
      <c r="H274" s="150">
        <f ca="1">+IF($J$5=1,H273*AVERAGE(H269,H271),0)</f>
        <v>0</v>
      </c>
      <c r="I274" s="150">
        <f ca="1">+IF($J$5=1,I273*AVERAGE(I269,I271),0)</f>
        <v>0</v>
      </c>
      <c r="J274" s="150">
        <f ca="1">+IF($J$5=1,J273*AVERAGE(J269,J271),0)</f>
        <v>0</v>
      </c>
      <c r="K274" s="150">
        <f ca="1">+IF($J$5=1,K273*AVERAGE(K269,K271),0)</f>
        <v>0</v>
      </c>
      <c r="L274" s="21"/>
    </row>
    <row r="275" spans="3:18" ht="14.4" customHeight="1">
      <c r="F275" s="52"/>
      <c r="L275" s="21"/>
    </row>
    <row r="276" spans="3:18" ht="14.4" customHeight="1">
      <c r="C276" s="7" t="s">
        <v>178</v>
      </c>
      <c r="F276" s="52"/>
      <c r="L276" s="21"/>
    </row>
    <row r="277" spans="3:18" ht="14.4" customHeight="1">
      <c r="C277" s="6" t="s">
        <v>177</v>
      </c>
      <c r="D277" s="174"/>
      <c r="E277" s="287"/>
      <c r="F277" s="288"/>
      <c r="G277" s="253">
        <v>0.03</v>
      </c>
      <c r="H277" s="253">
        <f>+G277</f>
        <v>0.03</v>
      </c>
      <c r="I277" s="253">
        <f t="shared" ref="I277:K277" si="162">+H277</f>
        <v>0.03</v>
      </c>
      <c r="J277" s="253">
        <f t="shared" si="162"/>
        <v>0.03</v>
      </c>
      <c r="K277" s="253">
        <f t="shared" si="162"/>
        <v>0.03</v>
      </c>
      <c r="L277" s="21"/>
      <c r="N277" s="62"/>
      <c r="O277" s="380"/>
      <c r="P277" s="62"/>
      <c r="Q277" s="62"/>
      <c r="R277" s="62"/>
    </row>
    <row r="278" spans="3:18" ht="14.4" customHeight="1">
      <c r="C278" s="6" t="s">
        <v>179</v>
      </c>
      <c r="D278" s="171"/>
      <c r="E278" s="171"/>
      <c r="F278" s="172">
        <f t="shared" ref="F278:K278" si="163">+F46</f>
        <v>848565</v>
      </c>
      <c r="G278" s="147">
        <f t="shared" ca="1" si="163"/>
        <v>1331865.9943147642</v>
      </c>
      <c r="H278" s="147">
        <f t="shared" ca="1" si="163"/>
        <v>1868402.9029968525</v>
      </c>
      <c r="I278" s="147">
        <f t="shared" ca="1" si="163"/>
        <v>2067529.37178441</v>
      </c>
      <c r="J278" s="147">
        <f t="shared" ca="1" si="163"/>
        <v>2757917.0227397331</v>
      </c>
      <c r="K278" s="147">
        <f t="shared" ca="1" si="163"/>
        <v>3506004.7658375478</v>
      </c>
      <c r="L278" s="21"/>
      <c r="N278" s="62"/>
      <c r="O278" s="384"/>
      <c r="P278" s="62"/>
      <c r="Q278" s="62"/>
      <c r="R278" s="62"/>
    </row>
    <row r="279" spans="3:18" ht="14.4" customHeight="1">
      <c r="C279" s="59" t="s">
        <v>180</v>
      </c>
      <c r="D279" s="191"/>
      <c r="E279" s="289"/>
      <c r="F279" s="290"/>
      <c r="G279" s="161">
        <f ca="1">+IF($J$5=1,G277*AVERAGE(F278:G278),0)</f>
        <v>32706.464914721462</v>
      </c>
      <c r="H279" s="161">
        <f t="shared" ref="H279:K279" ca="1" si="164">+IF($J$5=1,H277*AVERAGE(G278:H278),0)</f>
        <v>48004.033459674247</v>
      </c>
      <c r="I279" s="161">
        <f t="shared" ca="1" si="164"/>
        <v>59038.984121718939</v>
      </c>
      <c r="J279" s="161">
        <f t="shared" ca="1" si="164"/>
        <v>72381.695917862147</v>
      </c>
      <c r="K279" s="161">
        <f t="shared" ca="1" si="164"/>
        <v>93958.826828659207</v>
      </c>
      <c r="L279" s="21"/>
    </row>
    <row r="280" spans="3:18" ht="14.4" customHeight="1">
      <c r="C280" s="21"/>
      <c r="D280" s="21"/>
      <c r="E280" s="21"/>
      <c r="F280" s="21"/>
      <c r="G280" s="21"/>
      <c r="H280" s="21"/>
      <c r="I280" s="21"/>
      <c r="J280" s="21"/>
      <c r="K280" s="21"/>
      <c r="L280" s="21"/>
    </row>
    <row r="281" spans="3:18" ht="14.4" customHeight="1">
      <c r="C281" s="51" t="s">
        <v>181</v>
      </c>
      <c r="D281" s="401" t="s">
        <v>9</v>
      </c>
      <c r="E281" s="402"/>
      <c r="F281" s="403"/>
      <c r="G281" s="401" t="s">
        <v>10</v>
      </c>
      <c r="H281" s="402"/>
      <c r="I281" s="402"/>
      <c r="J281" s="402"/>
      <c r="K281" s="402"/>
      <c r="L281" s="21"/>
    </row>
    <row r="282" spans="3:18" ht="14.4" customHeight="1">
      <c r="C282" s="51"/>
      <c r="D282" s="10">
        <f>+D$12</f>
        <v>44561</v>
      </c>
      <c r="E282" s="10">
        <f t="shared" ref="E282:K282" si="165">+E$12</f>
        <v>44926</v>
      </c>
      <c r="F282" s="11">
        <f t="shared" si="165"/>
        <v>45291</v>
      </c>
      <c r="G282" s="10">
        <f t="shared" si="165"/>
        <v>45657</v>
      </c>
      <c r="H282" s="10">
        <f t="shared" si="165"/>
        <v>46022</v>
      </c>
      <c r="I282" s="10">
        <f t="shared" si="165"/>
        <v>46387</v>
      </c>
      <c r="J282" s="10">
        <f t="shared" si="165"/>
        <v>46752</v>
      </c>
      <c r="K282" s="10">
        <f t="shared" si="165"/>
        <v>47118</v>
      </c>
      <c r="L282" s="21"/>
    </row>
    <row r="283" spans="3:18" ht="14.4" customHeight="1">
      <c r="D283" s="14"/>
      <c r="L283" s="21"/>
    </row>
    <row r="284" spans="3:18" ht="14.4" customHeight="1">
      <c r="C284" s="394" t="s">
        <v>182</v>
      </c>
      <c r="D284" s="14"/>
      <c r="F284" s="298"/>
      <c r="L284" s="21"/>
    </row>
    <row r="285" spans="3:18" ht="14.4" customHeight="1">
      <c r="C285" s="380" t="s">
        <v>183</v>
      </c>
      <c r="D285" s="254">
        <v>24</v>
      </c>
      <c r="E285" s="254">
        <v>268</v>
      </c>
      <c r="F285" s="300">
        <v>210</v>
      </c>
      <c r="G285" s="147">
        <f>+IF($J$5=0,0,G286*AVERAGE(G297+G300,F297+F300))</f>
        <v>173.64932894836775</v>
      </c>
      <c r="H285" s="147">
        <f>+IF($J$5=0,0,H286*AVERAGE(H297+H300,G297+G300))</f>
        <v>179.41457832969473</v>
      </c>
      <c r="I285" s="147">
        <f>+IF($J$5=0,0,I286*AVERAGE(I297+I300,H297+H300))</f>
        <v>184.96205219822954</v>
      </c>
      <c r="J285" s="147">
        <f>+IF($J$5=0,0,J286*AVERAGE(J297+J300,I297+I300))</f>
        <v>191.58682077532339</v>
      </c>
      <c r="K285" s="147">
        <f>+IF($J$5=0,0,K286*AVERAGE(K297+K300,J297+J300))</f>
        <v>199.46065092472736</v>
      </c>
      <c r="O285" s="368"/>
    </row>
    <row r="286" spans="3:18" ht="14.4" customHeight="1">
      <c r="C286" s="6" t="s">
        <v>184</v>
      </c>
      <c r="D286" s="174"/>
      <c r="E286" s="144">
        <f>+E285/AVERAGE(E300+E297,D300+D297)</f>
        <v>2.8155696800966541E-2</v>
      </c>
      <c r="F286" s="349">
        <f>+F285/AVERAGE(F300+F297,E300+E297)</f>
        <v>2.8099284137285074E-2</v>
      </c>
      <c r="G286" s="58">
        <f>+$F$286</f>
        <v>2.8099284137285074E-2</v>
      </c>
      <c r="H286" s="58">
        <f>+$F$286</f>
        <v>2.8099284137285074E-2</v>
      </c>
      <c r="I286" s="58">
        <f>+$F$286</f>
        <v>2.8099284137285074E-2</v>
      </c>
      <c r="J286" s="58">
        <f>+$F$286</f>
        <v>2.8099284137285074E-2</v>
      </c>
      <c r="K286" s="58">
        <f>+$F$286</f>
        <v>2.8099284137285074E-2</v>
      </c>
      <c r="O286" s="368"/>
    </row>
    <row r="287" spans="3:18" ht="14.4" customHeight="1">
      <c r="C287" s="283"/>
      <c r="D287" s="14"/>
      <c r="F287" s="298"/>
      <c r="L287" s="21"/>
    </row>
    <row r="288" spans="3:18" ht="14.4" customHeight="1">
      <c r="C288" s="393" t="s">
        <v>296</v>
      </c>
      <c r="D288" s="254">
        <v>562</v>
      </c>
      <c r="E288" s="254">
        <v>2361</v>
      </c>
      <c r="F288" s="300">
        <v>2776</v>
      </c>
      <c r="G288" s="147">
        <f>+G289*F294</f>
        <v>1896.6207207207208</v>
      </c>
      <c r="H288" s="147">
        <f t="shared" ref="H288:K288" si="166">+H289*G294</f>
        <v>1967.1766725335253</v>
      </c>
      <c r="I288" s="147">
        <f t="shared" si="166"/>
        <v>2024.9008336698196</v>
      </c>
      <c r="J288" s="147">
        <f t="shared" si="166"/>
        <v>2090.6111551324425</v>
      </c>
      <c r="K288" s="147">
        <f t="shared" si="166"/>
        <v>2172.3057428284301</v>
      </c>
      <c r="L288" s="21"/>
    </row>
    <row r="289" spans="3:12" ht="14.4" customHeight="1">
      <c r="C289" s="6" t="s">
        <v>304</v>
      </c>
      <c r="D289" s="174"/>
      <c r="E289" s="144">
        <f>+E288/D294</f>
        <v>0.23245052673033376</v>
      </c>
      <c r="F289" s="349">
        <f>+F288/E294</f>
        <v>0.31261261261261264</v>
      </c>
      <c r="G289" s="177">
        <f>+F289</f>
        <v>0.31261261261261264</v>
      </c>
      <c r="H289" s="177">
        <f t="shared" ref="H289:K289" si="167">+G289</f>
        <v>0.31261261261261264</v>
      </c>
      <c r="I289" s="177">
        <f t="shared" si="167"/>
        <v>0.31261261261261264</v>
      </c>
      <c r="J289" s="177">
        <f t="shared" si="167"/>
        <v>0.31261261261261264</v>
      </c>
      <c r="K289" s="177">
        <f t="shared" si="167"/>
        <v>0.31261261261261264</v>
      </c>
      <c r="L289" s="21"/>
    </row>
    <row r="290" spans="3:12" ht="14.4" customHeight="1">
      <c r="C290" s="283"/>
      <c r="D290" s="14"/>
      <c r="F290" s="298"/>
      <c r="L290" s="21"/>
    </row>
    <row r="291" spans="3:12" ht="14.4" customHeight="1">
      <c r="C291" s="393" t="s">
        <v>299</v>
      </c>
      <c r="D291" s="364"/>
      <c r="E291" s="60"/>
      <c r="F291" s="335"/>
      <c r="G291" s="153">
        <f>+F294</f>
        <v>6067</v>
      </c>
      <c r="H291" s="153">
        <f t="shared" ref="H291:K291" si="168">+G294</f>
        <v>6292.69771329168</v>
      </c>
      <c r="I291" s="153">
        <f t="shared" si="168"/>
        <v>6477.3484881080676</v>
      </c>
      <c r="J291" s="153">
        <f t="shared" si="168"/>
        <v>6687.5457700202051</v>
      </c>
      <c r="K291" s="153">
        <f t="shared" si="168"/>
        <v>6948.8742782119807</v>
      </c>
      <c r="L291" s="21"/>
    </row>
    <row r="292" spans="3:12" ht="14.4" customHeight="1">
      <c r="C292" s="393" t="s">
        <v>297</v>
      </c>
      <c r="D292" s="364"/>
      <c r="E292" s="60"/>
      <c r="F292" s="335"/>
      <c r="G292" s="153">
        <f>+G294+G293-G291</f>
        <v>2122.3184340124008</v>
      </c>
      <c r="H292" s="153">
        <f t="shared" ref="H292:K292" si="169">+H294+H293-H291</f>
        <v>2151.8274473499132</v>
      </c>
      <c r="I292" s="153">
        <f t="shared" si="169"/>
        <v>2235.0981155819572</v>
      </c>
      <c r="J292" s="153">
        <f t="shared" si="169"/>
        <v>2351.9396633242186</v>
      </c>
      <c r="K292" s="153">
        <f t="shared" si="169"/>
        <v>2471.4064691278018</v>
      </c>
      <c r="L292" s="21"/>
    </row>
    <row r="293" spans="3:12" ht="14.4" customHeight="1">
      <c r="C293" s="393" t="s">
        <v>298</v>
      </c>
      <c r="D293" s="364"/>
      <c r="E293" s="60"/>
      <c r="F293" s="335"/>
      <c r="G293" s="153">
        <f>+G288</f>
        <v>1896.6207207207208</v>
      </c>
      <c r="H293" s="153">
        <f t="shared" ref="H293:K293" si="170">+H288</f>
        <v>1967.1766725335253</v>
      </c>
      <c r="I293" s="153">
        <f t="shared" si="170"/>
        <v>2024.9008336698196</v>
      </c>
      <c r="J293" s="153">
        <f t="shared" si="170"/>
        <v>2090.6111551324425</v>
      </c>
      <c r="K293" s="153">
        <f t="shared" si="170"/>
        <v>2172.3057428284301</v>
      </c>
      <c r="L293" s="21"/>
    </row>
    <row r="294" spans="3:12" ht="14.4" customHeight="1">
      <c r="C294" s="26" t="s">
        <v>300</v>
      </c>
      <c r="D294" s="150">
        <f>+D297+D300</f>
        <v>10157</v>
      </c>
      <c r="E294" s="399">
        <f>+E297+E300</f>
        <v>8880</v>
      </c>
      <c r="F294" s="400">
        <f>+F297+F300</f>
        <v>6067</v>
      </c>
      <c r="G294" s="399">
        <f>+G295*G14</f>
        <v>6292.69771329168</v>
      </c>
      <c r="H294" s="399">
        <f>+H295*H14</f>
        <v>6477.3484881080676</v>
      </c>
      <c r="I294" s="399">
        <f>+I295*I14</f>
        <v>6687.5457700202051</v>
      </c>
      <c r="J294" s="399">
        <f>+J295*J14</f>
        <v>6948.8742782119807</v>
      </c>
      <c r="K294" s="399">
        <f>+K295*K14</f>
        <v>7247.9750045113524</v>
      </c>
      <c r="L294" s="21"/>
    </row>
    <row r="295" spans="3:12" ht="14.4" customHeight="1">
      <c r="C295" s="6" t="s">
        <v>301</v>
      </c>
      <c r="D295" s="176">
        <f>+D294/D14</f>
        <v>2.9134816148323954E-3</v>
      </c>
      <c r="E295" s="176">
        <f>+E294/E14</f>
        <v>1.7728995532612568E-3</v>
      </c>
      <c r="F295" s="192">
        <f>+F294/F14</f>
        <v>1.1679224993810992E-3</v>
      </c>
      <c r="G295" s="176">
        <f>+F295</f>
        <v>1.1679224993810992E-3</v>
      </c>
      <c r="H295" s="176">
        <f t="shared" ref="H295:K295" si="171">+G295</f>
        <v>1.1679224993810992E-3</v>
      </c>
      <c r="I295" s="176">
        <f t="shared" si="171"/>
        <v>1.1679224993810992E-3</v>
      </c>
      <c r="J295" s="176">
        <f t="shared" si="171"/>
        <v>1.1679224993810992E-3</v>
      </c>
      <c r="K295" s="176">
        <f t="shared" si="171"/>
        <v>1.1679224993810992E-3</v>
      </c>
      <c r="L295" s="21"/>
    </row>
    <row r="296" spans="3:12" ht="14.4" customHeight="1">
      <c r="C296" s="283"/>
      <c r="D296" s="14"/>
      <c r="F296" s="298"/>
      <c r="L296" s="21"/>
    </row>
    <row r="297" spans="3:12" ht="14.4" customHeight="1">
      <c r="C297" s="6" t="s">
        <v>290</v>
      </c>
      <c r="D297" s="254">
        <v>2387</v>
      </c>
      <c r="E297" s="254">
        <v>2207</v>
      </c>
      <c r="F297" s="300">
        <v>1917</v>
      </c>
      <c r="G297" s="147">
        <f>+G298*G294</f>
        <v>1988.3140788495384</v>
      </c>
      <c r="H297" s="147">
        <f t="shared" ref="H297:K297" si="172">+H298*H294</f>
        <v>2046.6584888253115</v>
      </c>
      <c r="I297" s="147">
        <f t="shared" si="172"/>
        <v>2113.0748707975495</v>
      </c>
      <c r="J297" s="147">
        <f t="shared" si="172"/>
        <v>2195.6472706992527</v>
      </c>
      <c r="K297" s="147">
        <f t="shared" si="172"/>
        <v>2290.1546206771486</v>
      </c>
      <c r="L297" s="21"/>
    </row>
    <row r="298" spans="3:12" ht="14.4" customHeight="1">
      <c r="C298" s="6" t="s">
        <v>291</v>
      </c>
      <c r="D298" s="346">
        <f>+D297/D294</f>
        <v>0.23501033769813923</v>
      </c>
      <c r="E298" s="346">
        <f t="shared" ref="E298:F298" si="173">+E297/E294</f>
        <v>0.24853603603603602</v>
      </c>
      <c r="F298" s="192">
        <f t="shared" si="173"/>
        <v>0.31597164990934562</v>
      </c>
      <c r="G298" s="58">
        <f>+F298</f>
        <v>0.31597164990934562</v>
      </c>
      <c r="H298" s="58">
        <f t="shared" ref="H298" si="174">+G298</f>
        <v>0.31597164990934562</v>
      </c>
      <c r="I298" s="58">
        <f t="shared" ref="I298" si="175">+H298</f>
        <v>0.31597164990934562</v>
      </c>
      <c r="J298" s="58">
        <f t="shared" ref="J298" si="176">+I298</f>
        <v>0.31597164990934562</v>
      </c>
      <c r="K298" s="58">
        <f t="shared" ref="K298" si="177">+J298</f>
        <v>0.31597164990934562</v>
      </c>
      <c r="L298" s="21"/>
    </row>
    <row r="299" spans="3:12" ht="14.4" customHeight="1">
      <c r="C299" s="283"/>
      <c r="D299" s="14"/>
      <c r="F299" s="298"/>
      <c r="L299" s="21"/>
    </row>
    <row r="300" spans="3:12" ht="14.4" customHeight="1">
      <c r="C300" s="6" t="s">
        <v>292</v>
      </c>
      <c r="D300" s="254">
        <v>7770</v>
      </c>
      <c r="E300" s="254">
        <v>6673</v>
      </c>
      <c r="F300" s="300">
        <v>4150</v>
      </c>
      <c r="G300" s="147">
        <f>+G294-G297</f>
        <v>4304.3836344421416</v>
      </c>
      <c r="H300" s="147">
        <f t="shared" ref="H300:K300" si="178">+H294-H297</f>
        <v>4430.6899992827566</v>
      </c>
      <c r="I300" s="147">
        <f t="shared" si="178"/>
        <v>4574.4708992226551</v>
      </c>
      <c r="J300" s="147">
        <f t="shared" si="178"/>
        <v>4753.2270075127281</v>
      </c>
      <c r="K300" s="147">
        <f t="shared" si="178"/>
        <v>4957.8203838342033</v>
      </c>
      <c r="L300" s="21"/>
    </row>
    <row r="301" spans="3:12" ht="14.4" customHeight="1">
      <c r="C301" s="283"/>
      <c r="D301" s="14"/>
      <c r="F301" s="298"/>
      <c r="L301" s="21"/>
    </row>
    <row r="302" spans="3:12" ht="14.4" customHeight="1">
      <c r="C302" s="396" t="s">
        <v>306</v>
      </c>
      <c r="D302" s="254">
        <v>673</v>
      </c>
      <c r="E302" s="254">
        <v>2815</v>
      </c>
      <c r="F302" s="300">
        <v>2188</v>
      </c>
      <c r="G302" s="147">
        <f>+G303*F308</f>
        <v>1835.78697156612</v>
      </c>
      <c r="H302" s="147">
        <f t="shared" ref="H302:K302" si="179">+H303*G308</f>
        <v>1930.1048352388239</v>
      </c>
      <c r="I302" s="147">
        <f t="shared" si="179"/>
        <v>2003.0895012985595</v>
      </c>
      <c r="J302" s="147">
        <f t="shared" si="179"/>
        <v>2079.460021541086</v>
      </c>
      <c r="K302" s="147">
        <f t="shared" si="179"/>
        <v>2169.152432586895</v>
      </c>
      <c r="L302" s="21"/>
    </row>
    <row r="303" spans="3:12" ht="14.4" customHeight="1">
      <c r="C303" s="6" t="s">
        <v>307</v>
      </c>
      <c r="D303" s="174"/>
      <c r="E303" s="144">
        <f>+E302/D308</f>
        <v>0.28892538232577236</v>
      </c>
      <c r="F303" s="349">
        <f>+F302/E308</f>
        <v>0.32917105461110274</v>
      </c>
      <c r="G303" s="177">
        <f>+F303</f>
        <v>0.32917105461110274</v>
      </c>
      <c r="H303" s="177">
        <f t="shared" ref="H303:K303" si="180">+G303</f>
        <v>0.32917105461110274</v>
      </c>
      <c r="I303" s="177">
        <f t="shared" si="180"/>
        <v>0.32917105461110274</v>
      </c>
      <c r="J303" s="177">
        <f t="shared" si="180"/>
        <v>0.32917105461110274</v>
      </c>
      <c r="K303" s="177">
        <f t="shared" si="180"/>
        <v>0.32917105461110274</v>
      </c>
      <c r="L303" s="21"/>
    </row>
    <row r="304" spans="3:12" ht="14.4" customHeight="1">
      <c r="C304" s="283"/>
      <c r="D304" s="14"/>
      <c r="F304" s="298"/>
      <c r="L304" s="21"/>
    </row>
    <row r="305" spans="3:12" ht="14.4" customHeight="1">
      <c r="C305" s="393" t="s">
        <v>303</v>
      </c>
      <c r="D305" s="364"/>
      <c r="E305" s="60"/>
      <c r="F305" s="335"/>
      <c r="G305" s="153">
        <f>+F308</f>
        <v>5577</v>
      </c>
      <c r="H305" s="153">
        <f t="shared" ref="H305:K305" si="181">+G308</f>
        <v>5863.5314624462808</v>
      </c>
      <c r="I305" s="153">
        <f t="shared" si="181"/>
        <v>6085.2540745573697</v>
      </c>
      <c r="J305" s="153">
        <f t="shared" si="181"/>
        <v>6317.2626888407676</v>
      </c>
      <c r="K305" s="153">
        <f t="shared" si="181"/>
        <v>6589.7423306238998</v>
      </c>
      <c r="L305" s="21"/>
    </row>
    <row r="306" spans="3:12" ht="14.4" customHeight="1">
      <c r="C306" s="393" t="s">
        <v>297</v>
      </c>
      <c r="D306" s="364"/>
      <c r="E306" s="60"/>
      <c r="F306" s="335"/>
      <c r="G306" s="153">
        <f>+G292</f>
        <v>2122.3184340124008</v>
      </c>
      <c r="H306" s="153">
        <f t="shared" ref="H306:K306" si="182">+H292</f>
        <v>2151.8274473499132</v>
      </c>
      <c r="I306" s="153">
        <f t="shared" si="182"/>
        <v>2235.0981155819572</v>
      </c>
      <c r="J306" s="153">
        <f t="shared" si="182"/>
        <v>2351.9396633242186</v>
      </c>
      <c r="K306" s="153">
        <f t="shared" si="182"/>
        <v>2471.4064691278018</v>
      </c>
      <c r="L306" s="21"/>
    </row>
    <row r="307" spans="3:12" ht="14.4" customHeight="1">
      <c r="C307" s="395" t="s">
        <v>305</v>
      </c>
      <c r="D307" s="364"/>
      <c r="E307" s="60"/>
      <c r="F307" s="335"/>
      <c r="G307" s="153">
        <f>+G302</f>
        <v>1835.78697156612</v>
      </c>
      <c r="H307" s="153">
        <f>+H302</f>
        <v>1930.1048352388239</v>
      </c>
      <c r="I307" s="153">
        <f>+I302</f>
        <v>2003.0895012985595</v>
      </c>
      <c r="J307" s="153">
        <f>+J302</f>
        <v>2079.460021541086</v>
      </c>
      <c r="K307" s="153">
        <f>+K302</f>
        <v>2169.152432586895</v>
      </c>
      <c r="L307" s="21"/>
    </row>
    <row r="308" spans="3:12" ht="14.4" customHeight="1">
      <c r="C308" s="26" t="s">
        <v>302</v>
      </c>
      <c r="D308" s="397">
        <v>9743</v>
      </c>
      <c r="E308" s="397">
        <v>6647</v>
      </c>
      <c r="F308" s="398">
        <v>5577</v>
      </c>
      <c r="G308" s="150">
        <f>+G305+G306-G307</f>
        <v>5863.5314624462808</v>
      </c>
      <c r="H308" s="150">
        <f t="shared" ref="H308:K308" si="183">+H305+H306-H307</f>
        <v>6085.2540745573697</v>
      </c>
      <c r="I308" s="150">
        <f t="shared" si="183"/>
        <v>6317.2626888407676</v>
      </c>
      <c r="J308" s="150">
        <f t="shared" si="183"/>
        <v>6589.7423306238998</v>
      </c>
      <c r="K308" s="150">
        <f t="shared" si="183"/>
        <v>6891.9963671648065</v>
      </c>
      <c r="L308" s="21"/>
    </row>
    <row r="309" spans="3:12" ht="14.4" customHeight="1">
      <c r="F309" s="298"/>
    </row>
    <row r="310" spans="3:12" ht="14.4" customHeight="1">
      <c r="C310" s="394" t="s">
        <v>185</v>
      </c>
      <c r="D310" s="14"/>
      <c r="F310" s="298"/>
      <c r="L310" s="21"/>
    </row>
    <row r="311" spans="3:12" ht="14.4" customHeight="1">
      <c r="C311" s="6" t="s">
        <v>279</v>
      </c>
      <c r="D311" s="254">
        <f>55824+15258-882</f>
        <v>70200</v>
      </c>
      <c r="E311" s="254">
        <f>75366+18315-780</f>
        <v>92901</v>
      </c>
      <c r="F311" s="300">
        <f>88292+24275-1022</f>
        <v>111545</v>
      </c>
      <c r="G311" s="147">
        <f>+G312*G14</f>
        <v>115694.57168767438</v>
      </c>
      <c r="H311" s="147">
        <f>+H312*H14</f>
        <v>119089.47372770964</v>
      </c>
      <c r="I311" s="147">
        <f>+I312*I14</f>
        <v>122954.06179609425</v>
      </c>
      <c r="J311" s="147">
        <f>+J312*J14</f>
        <v>127758.72447060415</v>
      </c>
      <c r="K311" s="147">
        <f>+K312*K14</f>
        <v>133257.84932886416</v>
      </c>
      <c r="L311" s="21"/>
    </row>
    <row r="312" spans="3:12" ht="14.4" customHeight="1">
      <c r="C312" s="6" t="s">
        <v>280</v>
      </c>
      <c r="D312" s="177">
        <f>+D311/D14</f>
        <v>2.013649791879828E-2</v>
      </c>
      <c r="E312" s="177">
        <f>+E311/E14</f>
        <v>1.8547763670892344E-2</v>
      </c>
      <c r="F312" s="389">
        <f>+F311/F14</f>
        <v>2.1472872126827875E-2</v>
      </c>
      <c r="G312" s="176">
        <f>+F312</f>
        <v>2.1472872126827875E-2</v>
      </c>
      <c r="H312" s="176">
        <f t="shared" ref="H312:K312" si="184">+G312</f>
        <v>2.1472872126827875E-2</v>
      </c>
      <c r="I312" s="176">
        <f t="shared" si="184"/>
        <v>2.1472872126827875E-2</v>
      </c>
      <c r="J312" s="176">
        <f t="shared" si="184"/>
        <v>2.1472872126827875E-2</v>
      </c>
      <c r="K312" s="176">
        <f t="shared" si="184"/>
        <v>2.1472872126827875E-2</v>
      </c>
      <c r="L312" s="21"/>
    </row>
    <row r="313" spans="3:12" ht="14.4" customHeight="1">
      <c r="C313" s="6"/>
      <c r="D313" s="254"/>
      <c r="E313" s="254"/>
      <c r="F313" s="300"/>
      <c r="G313" s="147"/>
      <c r="H313" s="147"/>
      <c r="I313" s="147"/>
      <c r="J313" s="147"/>
      <c r="K313" s="147"/>
      <c r="L313" s="21"/>
    </row>
    <row r="314" spans="3:12" ht="14.4" customHeight="1">
      <c r="C314" s="6" t="s">
        <v>281</v>
      </c>
      <c r="D314" s="254">
        <v>48125</v>
      </c>
      <c r="E314" s="254">
        <v>74135</v>
      </c>
      <c r="F314" s="300">
        <v>71667</v>
      </c>
      <c r="G314" s="147">
        <f>+G315*G311</f>
        <v>74333.075163750589</v>
      </c>
      <c r="H314" s="147">
        <f t="shared" ref="H314:K314" si="185">+H315*H311</f>
        <v>76514.279561107774</v>
      </c>
      <c r="I314" s="147">
        <f t="shared" si="185"/>
        <v>78997.254442069898</v>
      </c>
      <c r="J314" s="147">
        <f t="shared" si="185"/>
        <v>82084.22167407583</v>
      </c>
      <c r="K314" s="147">
        <f t="shared" si="185"/>
        <v>85617.376734517078</v>
      </c>
      <c r="L314" s="21"/>
    </row>
    <row r="315" spans="3:12" ht="14.4" customHeight="1">
      <c r="C315" s="6" t="s">
        <v>282</v>
      </c>
      <c r="D315" s="176">
        <f>+D314/D311</f>
        <v>0.68554131054131051</v>
      </c>
      <c r="E315" s="176">
        <f t="shared" ref="E315:F315" si="186">+E314/E311</f>
        <v>0.79800002152829352</v>
      </c>
      <c r="F315" s="389">
        <f t="shared" si="186"/>
        <v>0.64249406069299386</v>
      </c>
      <c r="G315" s="177">
        <f>+F315</f>
        <v>0.64249406069299386</v>
      </c>
      <c r="H315" s="177">
        <f t="shared" ref="H315:K315" si="187">+G315</f>
        <v>0.64249406069299386</v>
      </c>
      <c r="I315" s="177">
        <f t="shared" si="187"/>
        <v>0.64249406069299386</v>
      </c>
      <c r="J315" s="177">
        <f t="shared" si="187"/>
        <v>0.64249406069299386</v>
      </c>
      <c r="K315" s="177">
        <f t="shared" si="187"/>
        <v>0.64249406069299386</v>
      </c>
      <c r="L315" s="21"/>
    </row>
    <row r="316" spans="3:12" ht="14.4" customHeight="1">
      <c r="C316" s="6"/>
      <c r="D316" s="176"/>
      <c r="E316" s="176"/>
      <c r="F316" s="192"/>
      <c r="G316" s="177"/>
      <c r="H316" s="177"/>
      <c r="I316" s="177"/>
      <c r="J316" s="177"/>
      <c r="K316" s="177"/>
      <c r="L316" s="21"/>
    </row>
    <row r="317" spans="3:12" ht="14.4" customHeight="1">
      <c r="C317" s="6" t="s">
        <v>283</v>
      </c>
      <c r="D317" s="287"/>
      <c r="E317" s="287"/>
      <c r="F317" s="390"/>
      <c r="G317" s="253">
        <v>0.03</v>
      </c>
      <c r="H317" s="253">
        <v>0.03</v>
      </c>
      <c r="I317" s="253">
        <v>0.03</v>
      </c>
      <c r="J317" s="253">
        <v>0.03</v>
      </c>
      <c r="K317" s="253">
        <v>0.03</v>
      </c>
      <c r="L317" s="21"/>
    </row>
    <row r="318" spans="3:12" ht="14.4" customHeight="1">
      <c r="C318" s="6"/>
      <c r="D318" s="176"/>
      <c r="E318" s="176"/>
      <c r="F318" s="192"/>
      <c r="G318" s="177"/>
      <c r="H318" s="177"/>
      <c r="I318" s="177"/>
      <c r="J318" s="177"/>
      <c r="K318" s="177"/>
      <c r="L318" s="21"/>
    </row>
    <row r="319" spans="3:12" ht="14.4" customHeight="1">
      <c r="C319" s="6" t="s">
        <v>284</v>
      </c>
      <c r="D319" s="287"/>
      <c r="E319" s="287"/>
      <c r="F319" s="390"/>
      <c r="G319" s="322">
        <f>+F323</f>
        <v>211993</v>
      </c>
      <c r="H319" s="322">
        <f t="shared" ref="H319:K319" si="188">+G323</f>
        <v>219879.32525693806</v>
      </c>
      <c r="I319" s="322">
        <f t="shared" si="188"/>
        <v>226331.38916095163</v>
      </c>
      <c r="J319" s="322">
        <f t="shared" si="188"/>
        <v>233676.09863588156</v>
      </c>
      <c r="K319" s="322">
        <f t="shared" si="188"/>
        <v>242807.43445870982</v>
      </c>
      <c r="L319" s="21"/>
    </row>
    <row r="320" spans="3:12" ht="14.4" customHeight="1">
      <c r="C320" s="6" t="s">
        <v>285</v>
      </c>
      <c r="D320" s="287"/>
      <c r="E320" s="287"/>
      <c r="F320" s="390"/>
      <c r="G320" s="322">
        <f>+G323+G322-G321-G319</f>
        <v>75741.315541834629</v>
      </c>
      <c r="H320" s="322">
        <f t="shared" ref="H320:K320" si="189">+H323+H322-H321-H319</f>
        <v>76273.182748852996</v>
      </c>
      <c r="I320" s="322">
        <f t="shared" si="189"/>
        <v>79441.851600047346</v>
      </c>
      <c r="J320" s="322">
        <f t="shared" si="189"/>
        <v>84068.304500485247</v>
      </c>
      <c r="K320" s="322">
        <f t="shared" si="189"/>
        <v>88627.558079580107</v>
      </c>
      <c r="L320" s="21"/>
    </row>
    <row r="321" spans="3:15" ht="14.4" customHeight="1">
      <c r="C321" s="6" t="s">
        <v>286</v>
      </c>
      <c r="D321" s="287"/>
      <c r="E321" s="287"/>
      <c r="F321" s="390"/>
      <c r="G321" s="322">
        <f>+IF($J$5=0,0,G317*AVERAGE(F323:G323))</f>
        <v>6478.0848788540707</v>
      </c>
      <c r="H321" s="322">
        <f t="shared" ref="H321:K321" si="190">+IF($J$5=0,0,H317*AVERAGE(G323:H323))</f>
        <v>6693.1607162683458</v>
      </c>
      <c r="I321" s="322">
        <f t="shared" si="190"/>
        <v>6900.1123169524972</v>
      </c>
      <c r="J321" s="322">
        <f t="shared" si="190"/>
        <v>7147.2529964188698</v>
      </c>
      <c r="K321" s="322">
        <f t="shared" si="190"/>
        <v>7440.9906131342532</v>
      </c>
      <c r="L321" s="21"/>
    </row>
    <row r="322" spans="3:15" ht="14.4" customHeight="1">
      <c r="C322" s="6" t="s">
        <v>287</v>
      </c>
      <c r="D322" s="287"/>
      <c r="E322" s="287"/>
      <c r="F322" s="390"/>
      <c r="G322" s="322">
        <f>+G314</f>
        <v>74333.075163750589</v>
      </c>
      <c r="H322" s="322">
        <f t="shared" ref="H322:K322" si="191">+H314</f>
        <v>76514.279561107774</v>
      </c>
      <c r="I322" s="322">
        <f t="shared" si="191"/>
        <v>78997.254442069898</v>
      </c>
      <c r="J322" s="322">
        <f t="shared" si="191"/>
        <v>82084.22167407583</v>
      </c>
      <c r="K322" s="322">
        <f t="shared" si="191"/>
        <v>85617.376734517078</v>
      </c>
      <c r="L322" s="21"/>
    </row>
    <row r="323" spans="3:15" ht="14.4" customHeight="1">
      <c r="C323" s="54" t="s">
        <v>288</v>
      </c>
      <c r="D323" s="150">
        <f>+D326+D329</f>
        <v>179930</v>
      </c>
      <c r="E323" s="150">
        <f t="shared" ref="E323:F323" si="192">+E326+E329</f>
        <v>210823</v>
      </c>
      <c r="F323" s="164">
        <f t="shared" si="192"/>
        <v>211993</v>
      </c>
      <c r="G323" s="150">
        <f>+G324*G14</f>
        <v>219879.32525693806</v>
      </c>
      <c r="H323" s="150">
        <f>+H324*H14</f>
        <v>226331.38916095163</v>
      </c>
      <c r="I323" s="150">
        <f>+I324*I14</f>
        <v>233676.09863588156</v>
      </c>
      <c r="J323" s="150">
        <f>+J324*J14</f>
        <v>242807.43445870982</v>
      </c>
      <c r="K323" s="150">
        <f>+K324*K14</f>
        <v>253258.60641690707</v>
      </c>
      <c r="L323" s="21"/>
    </row>
    <row r="324" spans="3:15" ht="14.4" customHeight="1">
      <c r="C324" s="6" t="s">
        <v>289</v>
      </c>
      <c r="D324" s="176">
        <f>+D323/D14</f>
        <v>5.1611966816657757E-2</v>
      </c>
      <c r="E324" s="176">
        <f>+E323/E14</f>
        <v>4.2090991274459227E-2</v>
      </c>
      <c r="F324" s="192">
        <f>+F323/F14</f>
        <v>4.0809526027904629E-2</v>
      </c>
      <c r="G324" s="176">
        <f>+F324</f>
        <v>4.0809526027904629E-2</v>
      </c>
      <c r="H324" s="176">
        <f t="shared" ref="H324:K324" si="193">+G324</f>
        <v>4.0809526027904629E-2</v>
      </c>
      <c r="I324" s="176">
        <f t="shared" si="193"/>
        <v>4.0809526027904629E-2</v>
      </c>
      <c r="J324" s="176">
        <f t="shared" si="193"/>
        <v>4.0809526027904629E-2</v>
      </c>
      <c r="K324" s="176">
        <f t="shared" si="193"/>
        <v>4.0809526027904629E-2</v>
      </c>
      <c r="L324" s="21"/>
    </row>
    <row r="325" spans="3:15" ht="14.4" customHeight="1">
      <c r="C325" s="283"/>
      <c r="D325" s="14"/>
      <c r="F325" s="298"/>
      <c r="L325" s="21"/>
    </row>
    <row r="326" spans="3:15" ht="14.4" customHeight="1">
      <c r="C326" s="6" t="s">
        <v>290</v>
      </c>
      <c r="D326" s="147">
        <f>+D58-D271-D258-D297</f>
        <v>54591</v>
      </c>
      <c r="E326" s="147">
        <f>+E58-E271-E258-E297</f>
        <v>60880</v>
      </c>
      <c r="F326" s="160">
        <f>+F58-F271-F258-F297</f>
        <v>65780</v>
      </c>
      <c r="G326" s="147">
        <f>+G323*G327</f>
        <v>68227.073608097373</v>
      </c>
      <c r="H326" s="147">
        <f t="shared" ref="H326:K326" si="194">+H323*H327</f>
        <v>70229.10557899269</v>
      </c>
      <c r="I326" s="147">
        <f t="shared" si="194"/>
        <v>72508.119458040077</v>
      </c>
      <c r="J326" s="147">
        <f t="shared" si="194"/>
        <v>75341.511458840294</v>
      </c>
      <c r="K326" s="147">
        <f t="shared" si="194"/>
        <v>78584.439722557567</v>
      </c>
      <c r="L326" s="21"/>
    </row>
    <row r="327" spans="3:15" ht="14.4" customHeight="1">
      <c r="C327" s="6" t="s">
        <v>291</v>
      </c>
      <c r="D327" s="346">
        <f>+D326/D323</f>
        <v>0.30340132273661979</v>
      </c>
      <c r="E327" s="346">
        <f t="shared" ref="E327:F327" si="195">+E326/E323</f>
        <v>0.28877304658410136</v>
      </c>
      <c r="F327" s="192">
        <f t="shared" si="195"/>
        <v>0.31029326440023963</v>
      </c>
      <c r="G327" s="58">
        <f>+F327</f>
        <v>0.31029326440023963</v>
      </c>
      <c r="H327" s="58">
        <f t="shared" ref="H327:K327" si="196">+G327</f>
        <v>0.31029326440023963</v>
      </c>
      <c r="I327" s="58">
        <f t="shared" si="196"/>
        <v>0.31029326440023963</v>
      </c>
      <c r="J327" s="58">
        <f t="shared" si="196"/>
        <v>0.31029326440023963</v>
      </c>
      <c r="K327" s="58">
        <f t="shared" si="196"/>
        <v>0.31029326440023963</v>
      </c>
      <c r="L327" s="21"/>
      <c r="O327" s="368"/>
    </row>
    <row r="328" spans="3:15" ht="14.4" customHeight="1">
      <c r="C328" s="6"/>
      <c r="D328" s="14"/>
      <c r="E328" s="14"/>
      <c r="F328" s="347"/>
      <c r="G328" s="14"/>
      <c r="H328" s="14"/>
      <c r="I328" s="14"/>
      <c r="J328" s="14"/>
      <c r="K328" s="14"/>
      <c r="L328" s="21"/>
      <c r="O328" s="368"/>
    </row>
    <row r="329" spans="3:15" ht="14.4" customHeight="1">
      <c r="C329" s="6" t="s">
        <v>292</v>
      </c>
      <c r="D329" s="147">
        <f>+D64-D259-D300</f>
        <v>125339</v>
      </c>
      <c r="E329" s="147">
        <f>+E64-E259-E300</f>
        <v>149943</v>
      </c>
      <c r="F329" s="160">
        <f>+F64-F259-F300</f>
        <v>146213</v>
      </c>
      <c r="G329" s="147">
        <f>+G323-G326</f>
        <v>151652.25164884067</v>
      </c>
      <c r="H329" s="147">
        <f t="shared" ref="H329:K329" si="197">+H323-H326</f>
        <v>156102.28358195894</v>
      </c>
      <c r="I329" s="147">
        <f t="shared" si="197"/>
        <v>161167.97917784148</v>
      </c>
      <c r="J329" s="147">
        <f t="shared" si="197"/>
        <v>167465.92299986951</v>
      </c>
      <c r="K329" s="147">
        <f t="shared" si="197"/>
        <v>174674.16669434949</v>
      </c>
      <c r="L329" s="21"/>
      <c r="O329" s="368"/>
    </row>
    <row r="330" spans="3:15" ht="14.4" customHeight="1">
      <c r="C330" s="21"/>
      <c r="D330" s="21"/>
      <c r="E330" s="21"/>
      <c r="F330" s="348"/>
      <c r="G330" s="21"/>
      <c r="H330" s="21"/>
      <c r="I330" s="21"/>
      <c r="J330" s="21"/>
      <c r="K330" s="21"/>
      <c r="L330" s="21"/>
      <c r="O330" s="368"/>
    </row>
    <row r="331" spans="3:15" ht="14.4" customHeight="1">
      <c r="C331" s="391" t="s">
        <v>293</v>
      </c>
      <c r="D331" s="171"/>
      <c r="E331" s="171"/>
      <c r="F331" s="392"/>
      <c r="G331" s="147">
        <f>+F334</f>
        <v>204630</v>
      </c>
      <c r="H331" s="147">
        <f t="shared" ref="H331:K331" si="198">+G334</f>
        <v>171154.82873301432</v>
      </c>
      <c r="I331" s="147">
        <f t="shared" si="198"/>
        <v>135031.69847042602</v>
      </c>
      <c r="J331" s="147">
        <f t="shared" si="198"/>
        <v>98419.600591331618</v>
      </c>
      <c r="K331" s="147">
        <f t="shared" si="198"/>
        <v>61876.43361763157</v>
      </c>
      <c r="L331" s="21"/>
      <c r="O331" s="368"/>
    </row>
    <row r="332" spans="3:15" ht="14.4" customHeight="1">
      <c r="C332" s="391" t="s">
        <v>285</v>
      </c>
      <c r="D332" s="171"/>
      <c r="E332" s="171"/>
      <c r="F332" s="392"/>
      <c r="G332" s="147">
        <f>+G320</f>
        <v>75741.315541834629</v>
      </c>
      <c r="H332" s="147">
        <f t="shared" ref="H332:K332" si="199">+H320</f>
        <v>76273.182748852996</v>
      </c>
      <c r="I332" s="147">
        <f t="shared" si="199"/>
        <v>79441.851600047346</v>
      </c>
      <c r="J332" s="147">
        <f t="shared" si="199"/>
        <v>84068.304500485247</v>
      </c>
      <c r="K332" s="147">
        <f t="shared" si="199"/>
        <v>88627.558079580107</v>
      </c>
      <c r="L332" s="21"/>
      <c r="O332" s="368"/>
    </row>
    <row r="333" spans="3:15" ht="14.4" customHeight="1">
      <c r="C333" s="391" t="s">
        <v>294</v>
      </c>
      <c r="D333" s="171"/>
      <c r="E333" s="171"/>
      <c r="F333" s="392"/>
      <c r="G333" s="147">
        <f>+G311-G321</f>
        <v>109216.48680882031</v>
      </c>
      <c r="H333" s="147">
        <f t="shared" ref="H333:K333" si="200">+H311-H321</f>
        <v>112396.31301144129</v>
      </c>
      <c r="I333" s="147">
        <f t="shared" si="200"/>
        <v>116053.94947914175</v>
      </c>
      <c r="J333" s="147">
        <f t="shared" si="200"/>
        <v>120611.47147418528</v>
      </c>
      <c r="K333" s="147">
        <f t="shared" si="200"/>
        <v>125816.8587157299</v>
      </c>
      <c r="L333" s="21"/>
      <c r="O333" s="368"/>
    </row>
    <row r="334" spans="3:15" ht="14.4" customHeight="1">
      <c r="C334" s="324" t="s">
        <v>295</v>
      </c>
      <c r="D334" s="169">
        <f>+D51-D184-D308</f>
        <v>177177</v>
      </c>
      <c r="E334" s="169">
        <f>+E51-E184-E308</f>
        <v>205892</v>
      </c>
      <c r="F334" s="170">
        <f>+F51-F184-F308</f>
        <v>204630</v>
      </c>
      <c r="G334" s="169">
        <f>+G331+G332-G333</f>
        <v>171154.82873301432</v>
      </c>
      <c r="H334" s="169">
        <f t="shared" ref="H334:K334" si="201">+H331+H332-H333</f>
        <v>135031.69847042602</v>
      </c>
      <c r="I334" s="169">
        <f t="shared" si="201"/>
        <v>98419.600591331618</v>
      </c>
      <c r="J334" s="169">
        <f t="shared" si="201"/>
        <v>61876.43361763157</v>
      </c>
      <c r="K334" s="169">
        <f t="shared" si="201"/>
        <v>24687.132981481787</v>
      </c>
      <c r="O334" s="368"/>
    </row>
    <row r="336" spans="3:15" ht="14.4" customHeight="1">
      <c r="C336" s="51" t="s">
        <v>186</v>
      </c>
      <c r="D336" s="401" t="s">
        <v>9</v>
      </c>
      <c r="E336" s="402"/>
      <c r="F336" s="403"/>
      <c r="G336" s="401" t="s">
        <v>10</v>
      </c>
      <c r="H336" s="402"/>
      <c r="I336" s="402"/>
      <c r="J336" s="402"/>
      <c r="K336" s="402"/>
    </row>
    <row r="337" spans="3:27" ht="14.4" customHeight="1">
      <c r="C337" s="51"/>
      <c r="D337" s="10">
        <f>+D$12</f>
        <v>44561</v>
      </c>
      <c r="E337" s="10">
        <f t="shared" ref="E337:K337" si="202">+E$12</f>
        <v>44926</v>
      </c>
      <c r="F337" s="11">
        <f t="shared" si="202"/>
        <v>45291</v>
      </c>
      <c r="G337" s="10">
        <f t="shared" si="202"/>
        <v>45657</v>
      </c>
      <c r="H337" s="10">
        <f t="shared" si="202"/>
        <v>46022</v>
      </c>
      <c r="I337" s="10">
        <f t="shared" si="202"/>
        <v>46387</v>
      </c>
      <c r="J337" s="10">
        <f t="shared" si="202"/>
        <v>46752</v>
      </c>
      <c r="K337" s="10">
        <f t="shared" si="202"/>
        <v>47118</v>
      </c>
    </row>
    <row r="338" spans="3:27" ht="14.4" customHeight="1">
      <c r="D338" s="14"/>
    </row>
    <row r="339" spans="3:27" ht="14.4" customHeight="1">
      <c r="C339" s="380" t="s">
        <v>187</v>
      </c>
      <c r="D339" s="60"/>
      <c r="E339" s="60"/>
      <c r="F339" s="335"/>
      <c r="G339" s="153">
        <f ca="1">+IF($J$5=0,0,G86+G88)</f>
        <v>760338.02147926425</v>
      </c>
      <c r="H339" s="153">
        <f ca="1">+IF($J$5=0,0,H86+H88)</f>
        <v>838934.40764945955</v>
      </c>
      <c r="I339" s="153">
        <f ca="1">+IF($J$5=0,0,I86+I88)</f>
        <v>914144.81374461018</v>
      </c>
      <c r="J339" s="153">
        <f ca="1">+IF($J$5=0,0,J86+J88)</f>
        <v>989254.66015779367</v>
      </c>
      <c r="K339" s="153">
        <f ca="1">+IF($J$5=0,0,K86+K88)</f>
        <v>1071800.0697723476</v>
      </c>
    </row>
    <row r="340" spans="3:27" ht="14.4" customHeight="1">
      <c r="F340" s="298"/>
    </row>
    <row r="341" spans="3:27" ht="14.4" customHeight="1">
      <c r="C341" s="380" t="s">
        <v>188</v>
      </c>
      <c r="D341" s="60"/>
      <c r="E341" s="60"/>
      <c r="F341" s="335"/>
      <c r="G341" s="153">
        <f ca="1">+G339*G342</f>
        <v>228101.40644377927</v>
      </c>
      <c r="H341" s="153">
        <f t="shared" ref="H341:K341" ca="1" si="203">+H339*H342</f>
        <v>251680.32229483785</v>
      </c>
      <c r="I341" s="153">
        <f t="shared" ca="1" si="203"/>
        <v>274243.44412338303</v>
      </c>
      <c r="J341" s="153">
        <f t="shared" ca="1" si="203"/>
        <v>296776.39804733807</v>
      </c>
      <c r="K341" s="153">
        <f t="shared" ca="1" si="203"/>
        <v>321540.02093170426</v>
      </c>
      <c r="O341" s="404"/>
      <c r="P341" s="404"/>
      <c r="Q341" s="404"/>
      <c r="R341" s="404"/>
      <c r="S341" s="404"/>
      <c r="T341" s="404"/>
      <c r="U341" s="404"/>
      <c r="V341" s="404"/>
      <c r="W341" s="404"/>
      <c r="X341" s="404"/>
      <c r="Y341" s="404"/>
      <c r="Z341" s="404"/>
      <c r="AA341" s="404"/>
    </row>
    <row r="342" spans="3:27" ht="14.4" customHeight="1">
      <c r="C342" s="385" t="s">
        <v>189</v>
      </c>
      <c r="D342" s="60"/>
      <c r="E342" s="60"/>
      <c r="F342" s="335"/>
      <c r="G342" s="253">
        <v>0.3</v>
      </c>
      <c r="H342" s="253">
        <v>0.3</v>
      </c>
      <c r="I342" s="253">
        <v>0.3</v>
      </c>
      <c r="J342" s="253">
        <v>0.3</v>
      </c>
      <c r="K342" s="253">
        <v>0.3</v>
      </c>
      <c r="O342" s="404"/>
      <c r="P342" s="404"/>
      <c r="Q342" s="404"/>
      <c r="R342" s="404"/>
      <c r="S342" s="404"/>
      <c r="T342" s="404"/>
      <c r="U342" s="404"/>
      <c r="V342" s="404"/>
      <c r="W342" s="404"/>
      <c r="X342" s="404"/>
      <c r="Y342" s="404"/>
      <c r="Z342" s="404"/>
      <c r="AA342" s="404"/>
    </row>
    <row r="343" spans="3:27" ht="14.4" customHeight="1">
      <c r="F343" s="298"/>
      <c r="O343" s="404"/>
      <c r="P343" s="404"/>
      <c r="Q343" s="404"/>
      <c r="R343" s="404"/>
      <c r="S343" s="404"/>
      <c r="T343" s="404"/>
      <c r="U343" s="404"/>
      <c r="V343" s="404"/>
      <c r="W343" s="404"/>
      <c r="X343" s="404"/>
      <c r="Y343" s="404"/>
      <c r="Z343" s="404"/>
      <c r="AA343" s="404"/>
    </row>
    <row r="344" spans="3:27" ht="14.4" customHeight="1">
      <c r="C344" s="380" t="s">
        <v>190</v>
      </c>
      <c r="D344" s="60"/>
      <c r="E344" s="60"/>
      <c r="F344" s="335"/>
      <c r="G344" s="153">
        <f ca="1">+G$341*'Revenue Build &amp; Growth Drivers'!G54</f>
        <v>114050.70322188963</v>
      </c>
      <c r="H344" s="153">
        <f ca="1">+H$341*'Revenue Build &amp; Growth Drivers'!H54</f>
        <v>125840.16114741893</v>
      </c>
      <c r="I344" s="153">
        <f ca="1">+I$341*'Revenue Build &amp; Growth Drivers'!I54</f>
        <v>137121.72206169151</v>
      </c>
      <c r="J344" s="153">
        <f ca="1">+J$341*'Revenue Build &amp; Growth Drivers'!J54</f>
        <v>148388.19902366903</v>
      </c>
      <c r="K344" s="153">
        <f ca="1">+K$341*'Revenue Build &amp; Growth Drivers'!K54</f>
        <v>160770.01046585213</v>
      </c>
      <c r="O344" s="379"/>
      <c r="P344" s="379"/>
      <c r="Q344" s="379"/>
      <c r="R344" s="379"/>
      <c r="S344" s="379"/>
      <c r="T344" s="379"/>
      <c r="U344" s="379"/>
      <c r="V344" s="379"/>
      <c r="W344" s="379"/>
      <c r="X344" s="379"/>
      <c r="Y344" s="379"/>
      <c r="Z344" s="379"/>
      <c r="AA344" s="379"/>
    </row>
    <row r="345" spans="3:27" ht="14.4" customHeight="1">
      <c r="C345" s="380" t="s">
        <v>191</v>
      </c>
      <c r="D345" s="60"/>
      <c r="E345" s="60"/>
      <c r="F345" s="335"/>
      <c r="G345" s="153">
        <f ca="1">+G$341*'Revenue Build &amp; Growth Drivers'!G55</f>
        <v>68430.421933133781</v>
      </c>
      <c r="H345" s="153">
        <f ca="1">+H$341*'Revenue Build &amp; Growth Drivers'!H55</f>
        <v>75504.096688451347</v>
      </c>
      <c r="I345" s="153">
        <f ca="1">+I$341*'Revenue Build &amp; Growth Drivers'!I55</f>
        <v>82273.033237014912</v>
      </c>
      <c r="J345" s="153">
        <f ca="1">+J$341*'Revenue Build &amp; Growth Drivers'!J55</f>
        <v>89032.919414201417</v>
      </c>
      <c r="K345" s="153">
        <f ca="1">+K$341*'Revenue Build &amp; Growth Drivers'!K55</f>
        <v>96462.006279511275</v>
      </c>
      <c r="O345" s="379"/>
      <c r="P345" s="379"/>
      <c r="Q345" s="379"/>
      <c r="R345" s="379"/>
      <c r="S345" s="379"/>
      <c r="T345" s="379"/>
      <c r="U345" s="379"/>
      <c r="V345" s="379"/>
      <c r="W345" s="379"/>
      <c r="X345" s="379"/>
      <c r="Y345" s="379"/>
      <c r="Z345" s="379"/>
      <c r="AA345" s="379"/>
    </row>
    <row r="346" spans="3:27" ht="14.4" customHeight="1">
      <c r="C346" s="386" t="s">
        <v>192</v>
      </c>
      <c r="D346" s="337"/>
      <c r="E346" s="337"/>
      <c r="F346" s="338"/>
      <c r="G346" s="339">
        <f ca="1">+G$341*'Revenue Build &amp; Growth Drivers'!G56</f>
        <v>45620.281288755854</v>
      </c>
      <c r="H346" s="339">
        <f ca="1">+H$341*'Revenue Build &amp; Growth Drivers'!H56</f>
        <v>50336.064458967572</v>
      </c>
      <c r="I346" s="339">
        <f ca="1">+I$341*'Revenue Build &amp; Growth Drivers'!I56</f>
        <v>54848.68882467661</v>
      </c>
      <c r="J346" s="339">
        <f ca="1">+J$341*'Revenue Build &amp; Growth Drivers'!J56</f>
        <v>59355.279609467616</v>
      </c>
      <c r="K346" s="339">
        <f ca="1">+K$341*'Revenue Build &amp; Growth Drivers'!K56</f>
        <v>64308.004186340855</v>
      </c>
      <c r="O346" s="379"/>
      <c r="P346" s="379"/>
      <c r="Q346" s="379"/>
      <c r="R346" s="379"/>
      <c r="S346" s="379"/>
      <c r="T346" s="379"/>
      <c r="U346" s="379"/>
      <c r="V346" s="379"/>
      <c r="W346" s="379"/>
      <c r="X346" s="379"/>
      <c r="Y346" s="379"/>
      <c r="Z346" s="379"/>
      <c r="AA346" s="379"/>
    </row>
  </sheetData>
  <mergeCells count="27">
    <mergeCell ref="O341:AA343"/>
    <mergeCell ref="D43:F43"/>
    <mergeCell ref="G43:K43"/>
    <mergeCell ref="D77:F77"/>
    <mergeCell ref="G77:K77"/>
    <mergeCell ref="O269:AA271"/>
    <mergeCell ref="O258:AA261"/>
    <mergeCell ref="D221:F221"/>
    <mergeCell ref="G221:K221"/>
    <mergeCell ref="D134:F134"/>
    <mergeCell ref="G134:K134"/>
    <mergeCell ref="G148:K148"/>
    <mergeCell ref="D11:F11"/>
    <mergeCell ref="G11:K11"/>
    <mergeCell ref="D336:F336"/>
    <mergeCell ref="G336:K336"/>
    <mergeCell ref="D281:F281"/>
    <mergeCell ref="G281:K281"/>
    <mergeCell ref="G107:K107"/>
    <mergeCell ref="D231:F231"/>
    <mergeCell ref="G231:K231"/>
    <mergeCell ref="D107:F107"/>
    <mergeCell ref="D176:F176"/>
    <mergeCell ref="G176:K176"/>
    <mergeCell ref="D210:F210"/>
    <mergeCell ref="G210:K210"/>
    <mergeCell ref="D148:F148"/>
  </mergeCells>
  <dataValidations disablePrompts="1" count="2">
    <dataValidation type="list" allowBlank="1" showErrorMessage="1" sqref="E115 E126 E142" xr:uid="{B8A8E992-5B10-4181-8A1D-D41BDC9054AC}">
      <formula1>"1,2"</formula1>
    </dataValidation>
    <dataValidation type="list" allowBlank="1" showErrorMessage="1" sqref="J5" xr:uid="{00000000-0002-0000-0200-000001000000}">
      <formula1>"0,1"</formula1>
    </dataValidation>
  </dataValidations>
  <printOptions horizontalCentered="1" verticalCentered="1"/>
  <pageMargins left="0.7" right="0.7" top="0.75" bottom="0.75" header="0" footer="0"/>
  <pageSetup orientation="landscape"/>
  <rowBreaks count="3" manualBreakCount="3">
    <brk id="42" man="1"/>
    <brk id="230" man="1"/>
    <brk id="10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8468-1F86-43C8-8DBC-1093473FD6B0}">
  <dimension ref="C1:T124"/>
  <sheetViews>
    <sheetView showGridLines="0" zoomScale="85" zoomScaleNormal="85" workbookViewId="0"/>
  </sheetViews>
  <sheetFormatPr defaultColWidth="14.44140625" defaultRowHeight="14.4" customHeight="1"/>
  <cols>
    <col min="1" max="1" width="1.6640625" style="77" customWidth="1"/>
    <col min="2" max="2" width="2.6640625" style="77" customWidth="1"/>
    <col min="3" max="3" width="45.6640625" style="77" customWidth="1"/>
    <col min="4" max="12" width="12.5546875" style="77" bestFit="1" customWidth="1"/>
    <col min="13" max="13" width="2.6640625" style="77" customWidth="1"/>
    <col min="14" max="14" width="12.5546875" style="77" bestFit="1" customWidth="1"/>
    <col min="15" max="15" width="2.6640625" style="77" customWidth="1"/>
    <col min="16" max="19" width="11.33203125" style="77" customWidth="1"/>
    <col min="20" max="26" width="8.6640625" style="77" customWidth="1"/>
    <col min="27" max="16384" width="14.44140625" style="77"/>
  </cols>
  <sheetData>
    <row r="1" spans="3:14" ht="14.4" customHeight="1" thickBot="1"/>
    <row r="2" spans="3:14" ht="18" customHeight="1">
      <c r="C2" s="82" t="str">
        <f>"Discounted Cash Flow Model For "&amp;D5</f>
        <v>Discounted Cash Flow Model For TopBuild Corp.</v>
      </c>
      <c r="D2" s="82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3:14" ht="14.4" customHeight="1" thickBot="1">
      <c r="C3" s="84" t="s">
        <v>37</v>
      </c>
      <c r="D3" s="84"/>
      <c r="E3" s="85"/>
      <c r="F3" s="85"/>
      <c r="G3" s="85"/>
      <c r="H3" s="85"/>
      <c r="I3" s="85"/>
      <c r="J3" s="80" t="s">
        <v>193</v>
      </c>
      <c r="K3" s="85"/>
      <c r="L3" s="85"/>
      <c r="M3" s="85"/>
      <c r="N3" s="85"/>
    </row>
    <row r="4" spans="3:14" ht="14.4" customHeight="1">
      <c r="C4" s="86"/>
      <c r="D4" s="86"/>
    </row>
    <row r="5" spans="3:14" ht="14.4" customHeight="1">
      <c r="C5" s="35" t="s">
        <v>1</v>
      </c>
      <c r="D5" s="88" t="str">
        <f>'Revenue Build &amp; Growth Drivers'!D5</f>
        <v>TopBuild Corp.</v>
      </c>
      <c r="G5" s="87" t="s">
        <v>194</v>
      </c>
      <c r="J5" s="263">
        <f>+D66</f>
        <v>31775.877</v>
      </c>
    </row>
    <row r="6" spans="3:14" ht="14.4" customHeight="1">
      <c r="C6" s="35" t="s">
        <v>3</v>
      </c>
      <c r="D6" s="387" t="str">
        <f>'Revenue Build &amp; Growth Drivers'!D6</f>
        <v>BLD</v>
      </c>
      <c r="G6" s="87" t="s">
        <v>195</v>
      </c>
      <c r="J6" s="263">
        <f>+D71</f>
        <v>32100.077000000001</v>
      </c>
    </row>
    <row r="7" spans="3:14" ht="14.4" customHeight="1">
      <c r="C7" s="35" t="s">
        <v>5</v>
      </c>
      <c r="D7" s="76">
        <f>'Revenue Build &amp; Growth Drivers'!D7</f>
        <v>45394</v>
      </c>
      <c r="G7" s="87" t="s">
        <v>196</v>
      </c>
      <c r="J7" s="264">
        <f>+'WACC Build'!D43</f>
        <v>0.11325885865021966</v>
      </c>
    </row>
    <row r="8" spans="3:14" ht="14.4" customHeight="1">
      <c r="C8" s="35" t="s">
        <v>6</v>
      </c>
      <c r="D8" s="76">
        <f>'Revenue Build &amp; Growth Drivers'!D8</f>
        <v>45393</v>
      </c>
      <c r="G8" s="87" t="s">
        <v>197</v>
      </c>
      <c r="H8" s="87"/>
      <c r="I8" s="87"/>
      <c r="J8" s="89">
        <v>0</v>
      </c>
    </row>
    <row r="9" spans="3:14" ht="14.4" customHeight="1">
      <c r="C9" s="35" t="s">
        <v>7</v>
      </c>
      <c r="D9" s="237">
        <f>'Revenue Build &amp; Growth Drivers'!D9</f>
        <v>421.45</v>
      </c>
    </row>
    <row r="10" spans="3:14" ht="14.4" customHeight="1">
      <c r="H10" s="90"/>
    </row>
    <row r="11" spans="3:14" ht="14.4" customHeight="1">
      <c r="C11" s="91" t="s">
        <v>198</v>
      </c>
      <c r="D11" s="91"/>
      <c r="E11" s="415" t="s">
        <v>9</v>
      </c>
      <c r="F11" s="413"/>
      <c r="G11" s="416"/>
      <c r="H11" s="415" t="s">
        <v>10</v>
      </c>
      <c r="I11" s="413"/>
      <c r="J11" s="413"/>
      <c r="K11" s="413"/>
      <c r="L11" s="413"/>
      <c r="N11" s="92" t="s">
        <v>41</v>
      </c>
    </row>
    <row r="12" spans="3:14" ht="14.4" customHeight="1">
      <c r="C12" s="91"/>
      <c r="D12" s="91"/>
      <c r="E12" s="93">
        <f>'Financial Statement Model'!D12</f>
        <v>44561</v>
      </c>
      <c r="F12" s="93">
        <f>'Financial Statement Model'!E12</f>
        <v>44926</v>
      </c>
      <c r="G12" s="94">
        <f>'Financial Statement Model'!F12</f>
        <v>45291</v>
      </c>
      <c r="H12" s="93">
        <f>'Financial Statement Model'!G12</f>
        <v>45657</v>
      </c>
      <c r="I12" s="93">
        <f>'Financial Statement Model'!H12</f>
        <v>46022</v>
      </c>
      <c r="J12" s="93">
        <f>'Financial Statement Model'!I12</f>
        <v>46387</v>
      </c>
      <c r="K12" s="93">
        <f>'Financial Statement Model'!J12</f>
        <v>46752</v>
      </c>
      <c r="L12" s="93">
        <f>'Financial Statement Model'!K12</f>
        <v>47118</v>
      </c>
      <c r="N12" s="93" t="s">
        <v>42</v>
      </c>
    </row>
    <row r="14" spans="3:14" ht="14.4" customHeight="1">
      <c r="C14" s="77" t="s">
        <v>11</v>
      </c>
      <c r="E14" s="234">
        <f>+'Financial Statement Model'!D14</f>
        <v>3486207</v>
      </c>
      <c r="F14" s="234">
        <f>+'Financial Statement Model'!E14</f>
        <v>5008744</v>
      </c>
      <c r="G14" s="235">
        <f>+'Financial Statement Model'!F14</f>
        <v>5194694</v>
      </c>
      <c r="H14" s="234">
        <f>+'Financial Statement Model'!G14</f>
        <v>5387941.1661529606</v>
      </c>
      <c r="I14" s="234">
        <f>+'Financial Statement Model'!H14</f>
        <v>5546043.0735262977</v>
      </c>
      <c r="J14" s="234">
        <f>+'Financial Statement Model'!I14</f>
        <v>5726018.4417750686</v>
      </c>
      <c r="K14" s="234">
        <f>+'Financial Statement Model'!J14</f>
        <v>5949773.4497745354</v>
      </c>
      <c r="L14" s="234">
        <f>+'Financial Statement Model'!K14</f>
        <v>6205869.8315617433</v>
      </c>
    </row>
    <row r="15" spans="3:14" ht="14.4" customHeight="1">
      <c r="C15" s="86" t="s">
        <v>199</v>
      </c>
      <c r="D15" s="86"/>
      <c r="E15" s="211"/>
      <c r="F15" s="212">
        <f>+F14/E14-1</f>
        <v>0.4367316685440652</v>
      </c>
      <c r="G15" s="213">
        <f t="shared" ref="G15:L15" si="0">+G14/F14-1</f>
        <v>3.7125075667672425E-2</v>
      </c>
      <c r="H15" s="212">
        <f t="shared" si="0"/>
        <v>3.7200875769190844E-2</v>
      </c>
      <c r="I15" s="212">
        <f t="shared" si="0"/>
        <v>2.9343658829560582E-2</v>
      </c>
      <c r="J15" s="212">
        <f t="shared" si="0"/>
        <v>3.2451130628226244E-2</v>
      </c>
      <c r="K15" s="212">
        <f t="shared" si="0"/>
        <v>3.9076892656689122E-2</v>
      </c>
      <c r="L15" s="212">
        <f t="shared" si="0"/>
        <v>4.3043047596528661E-2</v>
      </c>
      <c r="M15" s="95"/>
    </row>
    <row r="16" spans="3:14" ht="14.4" customHeight="1">
      <c r="C16" s="86"/>
      <c r="D16" s="86"/>
      <c r="G16" s="96"/>
    </row>
    <row r="17" spans="3:14" ht="14.4" customHeight="1">
      <c r="C17" s="77" t="s">
        <v>44</v>
      </c>
      <c r="E17" s="234">
        <f>+'Financial Statement Model'!D16</f>
        <v>974389</v>
      </c>
      <c r="F17" s="234">
        <f>+'Financial Statement Model'!E16</f>
        <v>1486719</v>
      </c>
      <c r="G17" s="235">
        <f>+'Financial Statement Model'!F16</f>
        <v>1603820</v>
      </c>
      <c r="H17" s="234">
        <f>+'Financial Statement Model'!G16</f>
        <v>1670261.7615074178</v>
      </c>
      <c r="I17" s="234">
        <f>+'Financial Statement Model'!H16</f>
        <v>1747003.5681607837</v>
      </c>
      <c r="J17" s="234">
        <f>+'Financial Statement Model'!I16</f>
        <v>1815147.8460426969</v>
      </c>
      <c r="K17" s="234">
        <f>+'Financial Statement Model'!J16</f>
        <v>1897977.7304780767</v>
      </c>
      <c r="L17" s="234">
        <f>+'Financial Statement Model'!K16</f>
        <v>1992084.2159313196</v>
      </c>
    </row>
    <row r="18" spans="3:14" ht="14.4" customHeight="1">
      <c r="C18" s="86" t="s">
        <v>200</v>
      </c>
      <c r="D18" s="86"/>
      <c r="E18" s="212">
        <f>+E17/E$14</f>
        <v>0.27949832009401621</v>
      </c>
      <c r="F18" s="212">
        <f t="shared" ref="F18:L18" si="1">+F17/F$14</f>
        <v>0.29682471294200702</v>
      </c>
      <c r="G18" s="213">
        <f t="shared" si="1"/>
        <v>0.30874195862162429</v>
      </c>
      <c r="H18" s="212">
        <f t="shared" si="1"/>
        <v>0.31</v>
      </c>
      <c r="I18" s="212">
        <f t="shared" si="1"/>
        <v>0.315</v>
      </c>
      <c r="J18" s="212">
        <f t="shared" si="1"/>
        <v>0.317</v>
      </c>
      <c r="K18" s="212">
        <f t="shared" si="1"/>
        <v>0.31900000000000001</v>
      </c>
      <c r="L18" s="212">
        <f t="shared" si="1"/>
        <v>0.32100000000000001</v>
      </c>
    </row>
    <row r="19" spans="3:14" ht="14.4" customHeight="1">
      <c r="C19" s="86"/>
      <c r="D19" s="86"/>
      <c r="G19" s="96"/>
    </row>
    <row r="20" spans="3:14" ht="14.4" customHeight="1">
      <c r="C20" s="77" t="s">
        <v>56</v>
      </c>
      <c r="E20" s="234">
        <f>+'Financial Statement Model'!D29</f>
        <v>571682</v>
      </c>
      <c r="F20" s="234">
        <f>+'Financial Statement Model'!E29</f>
        <v>921799</v>
      </c>
      <c r="G20" s="235">
        <f>+'Financial Statement Model'!F29</f>
        <v>1027903</v>
      </c>
      <c r="H20" s="234">
        <f ca="1">+'Financial Statement Model'!G29</f>
        <v>1060470.4584018602</v>
      </c>
      <c r="I20" s="234">
        <f ca="1">+'Financial Statement Model'!H29</f>
        <v>1136324.3360035452</v>
      </c>
      <c r="J20" s="234">
        <f ca="1">+'Financial Statement Model'!I29</f>
        <v>1201752.9319001858</v>
      </c>
      <c r="K20" s="234">
        <f ca="1">+'Financial Statement Model'!J29</f>
        <v>1276429.3616330677</v>
      </c>
      <c r="L20" s="234">
        <f ca="1">+'Financial Statement Model'!K29</f>
        <v>1360256.5117919957</v>
      </c>
      <c r="N20" s="236">
        <f ca="1">+_xlfn.RRI(YEAR($L$12)-YEAR($G$12),G20,L20)</f>
        <v>5.7629938624851551E-2</v>
      </c>
    </row>
    <row r="21" spans="3:14" ht="14.4" customHeight="1">
      <c r="C21" s="86" t="s">
        <v>201</v>
      </c>
      <c r="D21" s="86"/>
      <c r="E21" s="212">
        <f>+E20/E$14</f>
        <v>0.16398395161274129</v>
      </c>
      <c r="F21" s="212">
        <f t="shared" ref="F21" si="2">+F20/F$14</f>
        <v>0.18403795442530102</v>
      </c>
      <c r="G21" s="213">
        <f t="shared" ref="G21" si="3">+G20/G$14</f>
        <v>0.19787556302642659</v>
      </c>
      <c r="H21" s="212">
        <f t="shared" ref="H21" ca="1" si="4">+H20/H$14</f>
        <v>0.19682294696603858</v>
      </c>
      <c r="I21" s="212">
        <f t="shared" ref="I21" ca="1" si="5">+I20/I$14</f>
        <v>0.20488920135289265</v>
      </c>
      <c r="J21" s="212">
        <f t="shared" ref="J21" ca="1" si="6">+J20/J$14</f>
        <v>0.2098758402754361</v>
      </c>
      <c r="K21" s="212">
        <f t="shared" ref="K21" ca="1" si="7">+K20/K$14</f>
        <v>0.21453411166124947</v>
      </c>
      <c r="L21" s="212">
        <f t="shared" ref="L21" ca="1" si="8">+L20/L$14</f>
        <v>0.21918869533389476</v>
      </c>
    </row>
    <row r="22" spans="3:14" ht="14.4" customHeight="1">
      <c r="C22" s="86"/>
      <c r="D22" s="86"/>
      <c r="G22" s="96"/>
    </row>
    <row r="23" spans="3:14" ht="14.4" customHeight="1">
      <c r="C23" s="77" t="s">
        <v>47</v>
      </c>
      <c r="E23" s="234">
        <f>+'Financial Statement Model'!D19</f>
        <v>492292</v>
      </c>
      <c r="F23" s="234">
        <f>+'Financial Statement Model'!E19</f>
        <v>798464</v>
      </c>
      <c r="G23" s="235">
        <f>+'Financial Statement Model'!F19</f>
        <v>895025</v>
      </c>
      <c r="H23" s="234">
        <f>+'Financial Statement Model'!G19</f>
        <v>942889.70407676802</v>
      </c>
      <c r="I23" s="234">
        <f>+'Financial Statement Model'!H19</f>
        <v>998287.75323473348</v>
      </c>
      <c r="J23" s="234">
        <f>+'Financial Statement Model'!I19</f>
        <v>1042135.3564030626</v>
      </c>
      <c r="K23" s="234">
        <f>+'Financial Statement Model'!J19</f>
        <v>1094758.3147585145</v>
      </c>
      <c r="L23" s="234">
        <f>+'Financial Statement Model'!K19</f>
        <v>1154291.7886704842</v>
      </c>
    </row>
    <row r="24" spans="3:14" ht="14.4" customHeight="1">
      <c r="C24" s="86" t="s">
        <v>202</v>
      </c>
      <c r="D24" s="86"/>
      <c r="E24" s="212">
        <f>+E23/E$14</f>
        <v>0.14121135090371856</v>
      </c>
      <c r="F24" s="212">
        <f t="shared" ref="F24" si="9">+F23/F$14</f>
        <v>0.15941401676747705</v>
      </c>
      <c r="G24" s="213">
        <f t="shared" ref="G24" si="10">+G23/G$14</f>
        <v>0.17229600049589061</v>
      </c>
      <c r="H24" s="212">
        <f t="shared" ref="H24" si="11">+H23/H$14</f>
        <v>0.17499999999999999</v>
      </c>
      <c r="I24" s="212">
        <f t="shared" ref="I24" si="12">+I23/I$14</f>
        <v>0.18</v>
      </c>
      <c r="J24" s="212">
        <f t="shared" ref="J24" si="13">+J23/J$14</f>
        <v>0.18200000000000002</v>
      </c>
      <c r="K24" s="212">
        <f t="shared" ref="K24" si="14">+K23/K$14</f>
        <v>0.184</v>
      </c>
      <c r="L24" s="212">
        <f t="shared" ref="L24" si="15">+L23/L$14</f>
        <v>0.186</v>
      </c>
    </row>
    <row r="25" spans="3:14" ht="14.4" customHeight="1">
      <c r="C25" s="86"/>
      <c r="D25" s="86"/>
      <c r="G25" s="96"/>
    </row>
    <row r="26" spans="3:14" ht="14.4" customHeight="1">
      <c r="C26" s="388" t="s">
        <v>203</v>
      </c>
      <c r="E26" s="223">
        <f>+E23*E27</f>
        <v>124284.01585444913</v>
      </c>
      <c r="F26" s="223">
        <f t="shared" ref="F26:L26" si="16">+F23*F27</f>
        <v>200274.7205616229</v>
      </c>
      <c r="G26" s="373">
        <f t="shared" si="16"/>
        <v>229023.77847272446</v>
      </c>
      <c r="H26" s="223">
        <f t="shared" si="16"/>
        <v>241271.65465846253</v>
      </c>
      <c r="I26" s="223">
        <f t="shared" si="16"/>
        <v>255447.20342880412</v>
      </c>
      <c r="J26" s="223">
        <f t="shared" si="16"/>
        <v>266667.16237361945</v>
      </c>
      <c r="K26" s="223">
        <f t="shared" si="16"/>
        <v>280132.6060841062</v>
      </c>
      <c r="L26" s="223">
        <f t="shared" si="16"/>
        <v>295366.34943309275</v>
      </c>
    </row>
    <row r="27" spans="3:14" ht="14.4" customHeight="1">
      <c r="C27" s="86" t="s">
        <v>204</v>
      </c>
      <c r="D27" s="86"/>
      <c r="E27" s="239">
        <f>+'Financial Statement Model'!D41</f>
        <v>0.2524599543653952</v>
      </c>
      <c r="F27" s="239">
        <f>+'Financial Statement Model'!E41</f>
        <v>0.2508249846726</v>
      </c>
      <c r="G27" s="240">
        <f>+'Financial Statement Model'!F41</f>
        <v>0.25588534227839943</v>
      </c>
      <c r="H27" s="239">
        <f>+'Financial Statement Model'!G41</f>
        <v>0.25588534227839943</v>
      </c>
      <c r="I27" s="239">
        <f>+'Financial Statement Model'!H41</f>
        <v>0.25588534227839943</v>
      </c>
      <c r="J27" s="239">
        <f>+'Financial Statement Model'!I41</f>
        <v>0.25588534227839943</v>
      </c>
      <c r="K27" s="239">
        <f>+'Financial Statement Model'!J41</f>
        <v>0.25588534227839943</v>
      </c>
      <c r="L27" s="239">
        <f>+'Financial Statement Model'!K41</f>
        <v>0.25588534227839943</v>
      </c>
    </row>
    <row r="28" spans="3:14" ht="14.4" customHeight="1">
      <c r="G28" s="96"/>
    </row>
    <row r="29" spans="3:14" ht="14.4" customHeight="1">
      <c r="C29" s="97" t="s">
        <v>205</v>
      </c>
      <c r="D29" s="97"/>
      <c r="E29" s="214">
        <f>+E23-E26</f>
        <v>368007.98414555087</v>
      </c>
      <c r="F29" s="214">
        <f t="shared" ref="F29:L29" si="17">+F23-F26</f>
        <v>598189.27943837713</v>
      </c>
      <c r="G29" s="215">
        <f t="shared" si="17"/>
        <v>666001.22152727551</v>
      </c>
      <c r="H29" s="214">
        <f t="shared" si="17"/>
        <v>701618.04941830551</v>
      </c>
      <c r="I29" s="214">
        <f t="shared" si="17"/>
        <v>742840.54980592942</v>
      </c>
      <c r="J29" s="214">
        <f t="shared" si="17"/>
        <v>775468.1940294432</v>
      </c>
      <c r="K29" s="214">
        <f t="shared" si="17"/>
        <v>814625.70867440826</v>
      </c>
      <c r="L29" s="214">
        <f t="shared" si="17"/>
        <v>858925.43923739146</v>
      </c>
    </row>
    <row r="30" spans="3:14" ht="14.4" customHeight="1">
      <c r="G30" s="96"/>
    </row>
    <row r="31" spans="3:14" ht="14.4" customHeight="1">
      <c r="C31" s="77" t="s">
        <v>206</v>
      </c>
      <c r="E31" s="216"/>
      <c r="F31" s="234">
        <f>+'Financial Statement Model'!E28</f>
        <v>123335</v>
      </c>
      <c r="G31" s="235">
        <f>+'Financial Statement Model'!F28</f>
        <v>132878</v>
      </c>
      <c r="H31" s="234">
        <f ca="1">+'Financial Statement Model'!G28</f>
        <v>117580.7543250923</v>
      </c>
      <c r="I31" s="234">
        <f ca="1">+'Financial Statement Model'!H28</f>
        <v>138036.58276881179</v>
      </c>
      <c r="J31" s="234">
        <f ca="1">+'Financial Statement Model'!I28</f>
        <v>159617.57549712309</v>
      </c>
      <c r="K31" s="234">
        <f ca="1">+'Financial Statement Model'!J28</f>
        <v>181671.04687455311</v>
      </c>
      <c r="L31" s="234">
        <f ca="1">+'Financial Statement Model'!K28</f>
        <v>205964.7231215114</v>
      </c>
    </row>
    <row r="32" spans="3:14" ht="14.4" customHeight="1">
      <c r="C32" s="77" t="s">
        <v>207</v>
      </c>
      <c r="E32" s="216"/>
      <c r="F32" s="234">
        <f>+'Financial Statement Model'!E31</f>
        <v>12310</v>
      </c>
      <c r="G32" s="235">
        <f>+'Financial Statement Model'!F31</f>
        <v>15838</v>
      </c>
      <c r="H32" s="234">
        <f>+'Financial Statement Model'!G31</f>
        <v>13154.666666666666</v>
      </c>
      <c r="I32" s="234">
        <f>+'Financial Statement Model'!H31</f>
        <v>13767.555555555555</v>
      </c>
      <c r="J32" s="234">
        <f>+'Financial Statement Model'!I31</f>
        <v>14253.407407407407</v>
      </c>
      <c r="K32" s="234">
        <f>+'Financial Statement Model'!J31</f>
        <v>13725.209876543209</v>
      </c>
      <c r="L32" s="234">
        <f>+'Financial Statement Model'!K31</f>
        <v>13915.390946502057</v>
      </c>
    </row>
    <row r="33" spans="3:14" ht="14.4" customHeight="1">
      <c r="C33" s="77" t="s">
        <v>208</v>
      </c>
      <c r="E33" s="216"/>
      <c r="F33" s="209">
        <f>F52</f>
        <v>212384</v>
      </c>
      <c r="G33" s="210">
        <f t="shared" ref="G33:L33" si="18">G52</f>
        <v>-78611</v>
      </c>
      <c r="H33" s="209">
        <f t="shared" si="18"/>
        <v>20430.626600867137</v>
      </c>
      <c r="I33" s="209">
        <f t="shared" si="18"/>
        <v>17368.576459210599</v>
      </c>
      <c r="J33" s="209">
        <f t="shared" si="18"/>
        <v>19210.451454100315</v>
      </c>
      <c r="K33" s="209">
        <f t="shared" si="18"/>
        <v>23828.25165474182</v>
      </c>
      <c r="L33" s="209">
        <f t="shared" si="18"/>
        <v>27252.057894992293</v>
      </c>
    </row>
    <row r="34" spans="3:14" ht="14.4" customHeight="1">
      <c r="C34" s="388" t="s">
        <v>209</v>
      </c>
      <c r="E34" s="216"/>
      <c r="F34" s="234">
        <f>+'Financial Statement Model'!E181-'Financial Statement Model'!E89</f>
        <v>96882</v>
      </c>
      <c r="G34" s="235">
        <f>+'Financial Statement Model'!F181-'Financial Statement Model'!F89</f>
        <v>213152</v>
      </c>
      <c r="H34" s="234">
        <f ca="1">+'Financial Statement Model'!G181-'Financial Statement Model'!G89</f>
        <v>306231.37675715151</v>
      </c>
      <c r="I34" s="234">
        <f ca="1">+'Financial Statement Model'!H181-'Financial Statement Model'!H89</f>
        <v>329455.26694788638</v>
      </c>
      <c r="J34" s="234">
        <f ca="1">+'Financial Statement Model'!I181-'Financial Statement Model'!I89</f>
        <v>352201.80268420762</v>
      </c>
      <c r="K34" s="234">
        <f ca="1">+'Financial Statement Model'!J181-'Financial Statement Model'!J89</f>
        <v>380349.20759554376</v>
      </c>
      <c r="L34" s="234">
        <f ca="1">+'Financial Statement Model'!K181-'Financial Statement Model'!K89</f>
        <v>407769.84882497735</v>
      </c>
    </row>
    <row r="35" spans="3:14" ht="14.4" customHeight="1">
      <c r="E35" s="217"/>
      <c r="F35" s="217"/>
      <c r="G35" s="210"/>
      <c r="H35" s="217"/>
      <c r="I35" s="217"/>
      <c r="J35" s="217"/>
      <c r="K35" s="217"/>
      <c r="L35" s="217"/>
    </row>
    <row r="36" spans="3:14" ht="14.4" customHeight="1">
      <c r="C36" s="99" t="s">
        <v>210</v>
      </c>
      <c r="D36" s="99"/>
      <c r="E36" s="218"/>
      <c r="F36" s="219">
        <f>+F29+F31+F32-F33-F34</f>
        <v>424568.27943837713</v>
      </c>
      <c r="G36" s="220">
        <f t="shared" ref="G36:L36" si="19">+G29+G31+G32-G33-G34</f>
        <v>680176.22152727551</v>
      </c>
      <c r="H36" s="219">
        <f t="shared" ca="1" si="19"/>
        <v>505691.4670520458</v>
      </c>
      <c r="I36" s="219">
        <f t="shared" ca="1" si="19"/>
        <v>547820.84472319973</v>
      </c>
      <c r="J36" s="219">
        <f t="shared" ca="1" si="19"/>
        <v>577926.92279566568</v>
      </c>
      <c r="K36" s="219">
        <f t="shared" ca="1" si="19"/>
        <v>605844.50617521908</v>
      </c>
      <c r="L36" s="219">
        <f t="shared" ca="1" si="19"/>
        <v>643783.64658543514</v>
      </c>
      <c r="N36" s="236">
        <f ca="1">+_xlfn.RRI(YEAR($L$12)-YEAR($G$12),G36,L36)</f>
        <v>-1.0937584209035234E-2</v>
      </c>
    </row>
    <row r="37" spans="3:14" ht="14.4" customHeight="1">
      <c r="G37" s="100"/>
    </row>
    <row r="38" spans="3:14" ht="14.4" customHeight="1">
      <c r="C38" s="91" t="s">
        <v>211</v>
      </c>
      <c r="D38" s="91"/>
      <c r="E38" s="415" t="s">
        <v>9</v>
      </c>
      <c r="F38" s="413"/>
      <c r="G38" s="416"/>
      <c r="H38" s="415" t="s">
        <v>10</v>
      </c>
      <c r="I38" s="413"/>
      <c r="J38" s="413"/>
      <c r="K38" s="413"/>
      <c r="L38" s="413"/>
    </row>
    <row r="39" spans="3:14" ht="14.4" customHeight="1">
      <c r="C39" s="91"/>
      <c r="D39" s="91"/>
      <c r="E39" s="93">
        <f>'Financial Statement Model'!D12</f>
        <v>44561</v>
      </c>
      <c r="F39" s="93">
        <f>'Financial Statement Model'!E12</f>
        <v>44926</v>
      </c>
      <c r="G39" s="94">
        <f>'Financial Statement Model'!F12</f>
        <v>45291</v>
      </c>
      <c r="H39" s="93">
        <f>'Financial Statement Model'!G12</f>
        <v>45657</v>
      </c>
      <c r="I39" s="93">
        <f>'Financial Statement Model'!H12</f>
        <v>46022</v>
      </c>
      <c r="J39" s="93">
        <f>'Financial Statement Model'!I12</f>
        <v>46387</v>
      </c>
      <c r="K39" s="93">
        <f>'Financial Statement Model'!J12</f>
        <v>46752</v>
      </c>
      <c r="L39" s="93">
        <f>'Financial Statement Model'!K12</f>
        <v>47118</v>
      </c>
    </row>
    <row r="41" spans="3:14" ht="14.4" customHeight="1">
      <c r="C41" s="77" t="s">
        <v>67</v>
      </c>
      <c r="E41" s="234">
        <f>+'Financial Statement Model'!D47</f>
        <v>668419</v>
      </c>
      <c r="F41" s="234">
        <f>+'Financial Statement Model'!E47</f>
        <v>836071</v>
      </c>
      <c r="G41" s="235">
        <f>+'Financial Statement Model'!F47</f>
        <v>799009</v>
      </c>
      <c r="H41" s="234">
        <f>+'Financial Statement Model'!G47</f>
        <v>828732.83454746543</v>
      </c>
      <c r="I41" s="234">
        <f>+'Financial Statement Model'!H47</f>
        <v>853050.88810528093</v>
      </c>
      <c r="J41" s="234">
        <f>+'Financial Statement Model'!I47</f>
        <v>880733.35390770982</v>
      </c>
      <c r="K41" s="234">
        <f>+'Financial Statement Model'!J47</f>
        <v>915149.67663752718</v>
      </c>
      <c r="L41" s="234">
        <f>+'Financial Statement Model'!K47</f>
        <v>954540.5077269841</v>
      </c>
    </row>
    <row r="42" spans="3:14" ht="14.4" customHeight="1">
      <c r="C42" s="77" t="s">
        <v>68</v>
      </c>
      <c r="E42" s="234">
        <f>+'Financial Statement Model'!D48</f>
        <v>352801</v>
      </c>
      <c r="F42" s="234">
        <f>+'Financial Statement Model'!E48</f>
        <v>438644</v>
      </c>
      <c r="G42" s="235">
        <f>+'Financial Statement Model'!F48</f>
        <v>364731</v>
      </c>
      <c r="H42" s="234">
        <f>+'Financial Statement Model'!G48</f>
        <v>377610.83428039344</v>
      </c>
      <c r="I42" s="234">
        <f>+'Financial Statement Model'!H48</f>
        <v>385874.71401989303</v>
      </c>
      <c r="J42" s="234">
        <f>+'Financial Statement Model'!I48</f>
        <v>397233.58247938071</v>
      </c>
      <c r="K42" s="234">
        <f>+'Financial Statement Model'!J48</f>
        <v>411547.57991918316</v>
      </c>
      <c r="L42" s="234">
        <f>+'Financial Statement Model'!K48</f>
        <v>428001.1611029795</v>
      </c>
    </row>
    <row r="43" spans="3:14" ht="14.4" customHeight="1">
      <c r="C43" s="77" t="s">
        <v>69</v>
      </c>
      <c r="E43" s="234">
        <f>+'Financial Statement Model'!D49</f>
        <v>26692</v>
      </c>
      <c r="F43" s="234">
        <f>+'Financial Statement Model'!E49</f>
        <v>34257</v>
      </c>
      <c r="G43" s="235">
        <f>+'Financial Statement Model'!F49</f>
        <v>36939</v>
      </c>
      <c r="H43" s="234">
        <f>+'Financial Statement Model'!G49</f>
        <v>38313.163150038141</v>
      </c>
      <c r="I43" s="234">
        <f>+'Financial Statement Model'!H49</f>
        <v>39437.411538194152</v>
      </c>
      <c r="J43" s="234">
        <f>+'Financial Statement Model'!I49</f>
        <v>40717.200131659207</v>
      </c>
      <c r="K43" s="234">
        <f>+'Financial Statement Model'!J49</f>
        <v>42308.301790484984</v>
      </c>
      <c r="L43" s="234">
        <f>+'Financial Statement Model'!K49</f>
        <v>44129.380038181131</v>
      </c>
    </row>
    <row r="44" spans="3:14" ht="14.4" customHeight="1">
      <c r="C44" s="97" t="s">
        <v>212</v>
      </c>
      <c r="D44" s="97"/>
      <c r="E44" s="214">
        <f>SUM(E41:E43)</f>
        <v>1047912</v>
      </c>
      <c r="F44" s="214">
        <f t="shared" ref="F44:L44" si="20">SUM(F41:F43)</f>
        <v>1308972</v>
      </c>
      <c r="G44" s="215">
        <f t="shared" si="20"/>
        <v>1200679</v>
      </c>
      <c r="H44" s="214">
        <f t="shared" si="20"/>
        <v>1244656.8319778969</v>
      </c>
      <c r="I44" s="214">
        <f t="shared" si="20"/>
        <v>1278363.0136633681</v>
      </c>
      <c r="J44" s="214">
        <f t="shared" si="20"/>
        <v>1318684.1365187496</v>
      </c>
      <c r="K44" s="214">
        <f t="shared" si="20"/>
        <v>1369005.5583471952</v>
      </c>
      <c r="L44" s="214">
        <f t="shared" si="20"/>
        <v>1426671.0488681446</v>
      </c>
    </row>
    <row r="45" spans="3:14" ht="14.4" customHeight="1">
      <c r="E45" s="209"/>
      <c r="F45" s="209"/>
      <c r="G45" s="210"/>
      <c r="H45" s="209"/>
      <c r="I45" s="209"/>
      <c r="J45" s="209"/>
      <c r="K45" s="209"/>
      <c r="L45" s="209"/>
    </row>
    <row r="46" spans="3:14" ht="14.4" customHeight="1">
      <c r="C46" s="77" t="s">
        <v>78</v>
      </c>
      <c r="E46" s="234">
        <f>+'Financial Statement Model'!D59</f>
        <v>461917</v>
      </c>
      <c r="F46" s="234">
        <f>+'Financial Statement Model'!E59</f>
        <v>487114</v>
      </c>
      <c r="G46" s="235">
        <f>+'Financial Statement Model'!F59</f>
        <v>469585</v>
      </c>
      <c r="H46" s="234">
        <f>+'Financial Statement Model'!G59</f>
        <v>486167.56901814917</v>
      </c>
      <c r="I46" s="234">
        <f>+'Financial Statement Model'!H59</f>
        <v>496807.17455612897</v>
      </c>
      <c r="J46" s="234">
        <f>+'Financial Statement Model'!I59</f>
        <v>511431.52577812143</v>
      </c>
      <c r="K46" s="234">
        <f>+'Financial Statement Model'!J59</f>
        <v>529860.55563236913</v>
      </c>
      <c r="L46" s="234">
        <f>+'Financial Statement Model'!K59</f>
        <v>551044.26340657263</v>
      </c>
    </row>
    <row r="47" spans="3:14" ht="14.4" customHeight="1">
      <c r="C47" s="77" t="s">
        <v>80</v>
      </c>
      <c r="E47" s="234">
        <f>+'Financial Statement Model'!D61</f>
        <v>175891</v>
      </c>
      <c r="F47" s="234">
        <f>+'Financial Statement Model'!E61</f>
        <v>199370</v>
      </c>
      <c r="G47" s="235">
        <f>+'Financial Statement Model'!F61</f>
        <v>187217</v>
      </c>
      <c r="H47" s="234">
        <f>+'Financial Statement Model'!G61</f>
        <v>194181.63635888061</v>
      </c>
      <c r="I47" s="234">
        <f>+'Financial Statement Model'!H61</f>
        <v>199879.63604716139</v>
      </c>
      <c r="J47" s="234">
        <f>+'Financial Statement Model'!I61</f>
        <v>206365.95622645013</v>
      </c>
      <c r="K47" s="234">
        <f>+'Financial Statement Model'!J61</f>
        <v>214430.09654590613</v>
      </c>
      <c r="L47" s="234">
        <f>+'Financial Statement Model'!K61</f>
        <v>223659.82139765981</v>
      </c>
    </row>
    <row r="48" spans="3:14" ht="14.4" customHeight="1">
      <c r="C48" s="97" t="s">
        <v>213</v>
      </c>
      <c r="D48" s="97"/>
      <c r="E48" s="214">
        <f t="shared" ref="E48:L48" si="21">SUM(E46:E47)</f>
        <v>637808</v>
      </c>
      <c r="F48" s="214">
        <f t="shared" si="21"/>
        <v>686484</v>
      </c>
      <c r="G48" s="215">
        <f t="shared" si="21"/>
        <v>656802</v>
      </c>
      <c r="H48" s="214">
        <f t="shared" si="21"/>
        <v>680349.20537702972</v>
      </c>
      <c r="I48" s="214">
        <f t="shared" si="21"/>
        <v>696686.81060329033</v>
      </c>
      <c r="J48" s="214">
        <f t="shared" si="21"/>
        <v>717797.48200457159</v>
      </c>
      <c r="K48" s="214">
        <f t="shared" si="21"/>
        <v>744290.65217827528</v>
      </c>
      <c r="L48" s="214">
        <f t="shared" si="21"/>
        <v>774704.08480423247</v>
      </c>
    </row>
    <row r="49" spans="3:13" ht="14.4" customHeight="1">
      <c r="E49" s="209"/>
      <c r="F49" s="209"/>
      <c r="G49" s="210"/>
      <c r="H49" s="209"/>
      <c r="I49" s="209"/>
      <c r="J49" s="209"/>
      <c r="K49" s="209"/>
      <c r="L49" s="209"/>
    </row>
    <row r="50" spans="3:13" ht="14.4" customHeight="1">
      <c r="C50" s="97" t="s">
        <v>214</v>
      </c>
      <c r="D50" s="97"/>
      <c r="E50" s="214">
        <f t="shared" ref="E50:L50" si="22">+E44-E48</f>
        <v>410104</v>
      </c>
      <c r="F50" s="214">
        <f t="shared" si="22"/>
        <v>622488</v>
      </c>
      <c r="G50" s="215">
        <f t="shared" si="22"/>
        <v>543877</v>
      </c>
      <c r="H50" s="214">
        <f t="shared" si="22"/>
        <v>564307.62660086714</v>
      </c>
      <c r="I50" s="214">
        <f t="shared" si="22"/>
        <v>581676.20306007774</v>
      </c>
      <c r="J50" s="214">
        <f t="shared" si="22"/>
        <v>600886.65451417805</v>
      </c>
      <c r="K50" s="214">
        <f t="shared" si="22"/>
        <v>624714.90616891987</v>
      </c>
      <c r="L50" s="214">
        <f t="shared" si="22"/>
        <v>651966.96406391216</v>
      </c>
    </row>
    <row r="51" spans="3:13" ht="14.4" customHeight="1">
      <c r="E51" s="209"/>
      <c r="F51" s="209"/>
      <c r="G51" s="210"/>
      <c r="H51" s="209"/>
      <c r="I51" s="209"/>
      <c r="J51" s="209"/>
      <c r="K51" s="209"/>
      <c r="L51" s="209"/>
    </row>
    <row r="52" spans="3:13" ht="14.4" customHeight="1">
      <c r="C52" s="99" t="s">
        <v>215</v>
      </c>
      <c r="D52" s="99"/>
      <c r="E52" s="218"/>
      <c r="F52" s="219">
        <f>+F50-E50</f>
        <v>212384</v>
      </c>
      <c r="G52" s="220">
        <f t="shared" ref="G52:L52" si="23">+G50-F50</f>
        <v>-78611</v>
      </c>
      <c r="H52" s="219">
        <f t="shared" si="23"/>
        <v>20430.626600867137</v>
      </c>
      <c r="I52" s="219">
        <f t="shared" si="23"/>
        <v>17368.576459210599</v>
      </c>
      <c r="J52" s="219">
        <f t="shared" si="23"/>
        <v>19210.451454100315</v>
      </c>
      <c r="K52" s="219">
        <f t="shared" si="23"/>
        <v>23828.25165474182</v>
      </c>
      <c r="L52" s="219">
        <f t="shared" si="23"/>
        <v>27252.057894992293</v>
      </c>
    </row>
    <row r="53" spans="3:13" ht="14.4" customHeight="1">
      <c r="E53" s="217"/>
      <c r="F53" s="217"/>
      <c r="G53" s="217"/>
      <c r="H53" s="217"/>
      <c r="I53" s="217"/>
      <c r="J53" s="217"/>
      <c r="K53" s="217"/>
      <c r="L53" s="217"/>
    </row>
    <row r="54" spans="3:13" ht="14.4" customHeight="1">
      <c r="C54" s="91" t="str">
        <f>"Present Value of UFCFs as of "&amp;TEXT(D7,("mmm dd, yyyy"))</f>
        <v>Present Value of UFCFs as of Apr 12, 2024</v>
      </c>
      <c r="D54" s="91"/>
      <c r="E54" s="92"/>
      <c r="F54" s="92" t="s">
        <v>216</v>
      </c>
      <c r="G54" s="92"/>
      <c r="H54" s="92" t="s">
        <v>217</v>
      </c>
      <c r="I54" s="92" t="s">
        <v>218</v>
      </c>
      <c r="J54" s="92" t="s">
        <v>219</v>
      </c>
      <c r="K54" s="92" t="s">
        <v>220</v>
      </c>
      <c r="L54" s="92" t="s">
        <v>221</v>
      </c>
    </row>
    <row r="55" spans="3:13" ht="14.4" customHeight="1">
      <c r="C55" s="101" t="s">
        <v>222</v>
      </c>
      <c r="D55" s="101"/>
      <c r="E55" s="102"/>
      <c r="F55" s="103">
        <f>YEARFRAC(D7,H55,1)</f>
        <v>0.71857923497267762</v>
      </c>
      <c r="G55" s="104"/>
      <c r="H55" s="105">
        <f>IF($J$8=0,H$12,AVERAGE(D7,H12))</f>
        <v>45657</v>
      </c>
      <c r="I55" s="105">
        <f>IF($J$8=0,I$12,AVERAGE(H12:I12))</f>
        <v>46022</v>
      </c>
      <c r="J55" s="105">
        <f>IF($J$8=0,J$12,AVERAGE(I12:J12))</f>
        <v>46387</v>
      </c>
      <c r="K55" s="105">
        <f>IF($J$8=0,K$12,AVERAGE(J12:K12))</f>
        <v>46752</v>
      </c>
      <c r="L55" s="105">
        <f>IF($J$8=0,L$12,AVERAGE(K12:L12))</f>
        <v>47118</v>
      </c>
    </row>
    <row r="56" spans="3:13" ht="14.4" customHeight="1">
      <c r="G56" s="106"/>
    </row>
    <row r="57" spans="3:13" ht="14.4" customHeight="1">
      <c r="C57" s="87" t="s">
        <v>223</v>
      </c>
      <c r="D57" s="87"/>
      <c r="E57" s="137"/>
      <c r="F57" s="137"/>
      <c r="G57" s="138"/>
      <c r="H57" s="221">
        <f>+YEARFRAC($D$7,H55,1)</f>
        <v>0.71857923497267762</v>
      </c>
      <c r="I57" s="221">
        <f>+YEARFRAC($D$7,I55,1)</f>
        <v>1.7181942544459645</v>
      </c>
      <c r="J57" s="221">
        <f>+YEARFRAC($D$7,J55,1)</f>
        <v>2.7180656934306571</v>
      </c>
      <c r="K57" s="221">
        <f>+YEARFRAC($D$7,K55,1)</f>
        <v>3.7180013689253935</v>
      </c>
      <c r="L57" s="221">
        <f>+YEARFRAC($D$7,L55,1)</f>
        <v>4.718117131910236</v>
      </c>
    </row>
    <row r="58" spans="3:13" ht="14.4" customHeight="1">
      <c r="E58" s="137"/>
      <c r="F58" s="137"/>
      <c r="G58" s="138"/>
      <c r="H58" s="107"/>
      <c r="I58" s="108"/>
      <c r="J58" s="108"/>
      <c r="K58" s="108"/>
      <c r="L58" s="108"/>
      <c r="M58" s="109"/>
    </row>
    <row r="59" spans="3:13" ht="14.4" customHeight="1">
      <c r="C59" s="77" t="s">
        <v>224</v>
      </c>
      <c r="E59" s="139"/>
      <c r="F59" s="139"/>
      <c r="G59" s="140"/>
      <c r="H59" s="214">
        <f ca="1">+H36*F55</f>
        <v>363379.38752647006</v>
      </c>
      <c r="I59" s="214">
        <f ca="1">+I36</f>
        <v>547820.84472319973</v>
      </c>
      <c r="J59" s="214">
        <f ca="1">+J36</f>
        <v>577926.92279566568</v>
      </c>
      <c r="K59" s="214">
        <f ca="1">+K36</f>
        <v>605844.50617521908</v>
      </c>
      <c r="L59" s="214">
        <f ca="1">+L36</f>
        <v>643783.64658543514</v>
      </c>
    </row>
    <row r="60" spans="3:13" ht="14.4" customHeight="1">
      <c r="E60" s="137"/>
      <c r="F60" s="137"/>
      <c r="G60" s="138"/>
      <c r="H60" s="217"/>
      <c r="I60" s="217"/>
      <c r="J60" s="217"/>
      <c r="K60" s="217"/>
      <c r="L60" s="217"/>
    </row>
    <row r="61" spans="3:13" ht="14.4" customHeight="1">
      <c r="C61" s="99" t="s">
        <v>225</v>
      </c>
      <c r="D61" s="99"/>
      <c r="E61" s="136"/>
      <c r="F61" s="136"/>
      <c r="G61" s="141"/>
      <c r="H61" s="219">
        <f ca="1">+H59/(1+$J$7)^H57</f>
        <v>336416.47490618861</v>
      </c>
      <c r="I61" s="219">
        <f ca="1">+I59/(1+$J$7)^I57</f>
        <v>455593.26930662256</v>
      </c>
      <c r="J61" s="219">
        <f ca="1">+J59/(1+$J$7)^J57</f>
        <v>431739.22096554359</v>
      </c>
      <c r="K61" s="219">
        <f ca="1">+K59/(1+$J$7)^K57</f>
        <v>406552.4556160564</v>
      </c>
      <c r="L61" s="219">
        <f ca="1">+L59/(1+$J$7)^L57</f>
        <v>388055.46257678192</v>
      </c>
    </row>
    <row r="62" spans="3:13" ht="14.4" customHeight="1">
      <c r="C62" s="97"/>
      <c r="D62" s="97"/>
      <c r="E62" s="98"/>
      <c r="F62" s="98"/>
      <c r="G62" s="98"/>
      <c r="H62" s="98"/>
      <c r="I62" s="98"/>
      <c r="J62" s="98"/>
      <c r="K62" s="98"/>
      <c r="L62" s="98"/>
    </row>
    <row r="63" spans="3:13" ht="14.4" customHeight="1">
      <c r="C63" s="91" t="s">
        <v>226</v>
      </c>
      <c r="D63" s="91"/>
    </row>
    <row r="64" spans="3:13" ht="14.4" customHeight="1">
      <c r="C64" s="101"/>
      <c r="D64" s="101"/>
    </row>
    <row r="66" spans="3:14" ht="14.4" customHeight="1">
      <c r="C66" s="388" t="s">
        <v>227</v>
      </c>
      <c r="D66" s="233">
        <v>31775.877</v>
      </c>
    </row>
    <row r="67" spans="3:14" ht="14.4" customHeight="1">
      <c r="C67" s="77" t="s">
        <v>228</v>
      </c>
      <c r="D67" s="233">
        <v>195.5</v>
      </c>
    </row>
    <row r="68" spans="3:14" ht="14.4" customHeight="1">
      <c r="C68" s="77" t="s">
        <v>229</v>
      </c>
      <c r="D68" s="233">
        <v>128.69999999999999</v>
      </c>
    </row>
    <row r="69" spans="3:14" ht="14.4" customHeight="1">
      <c r="C69" s="77" t="s">
        <v>230</v>
      </c>
      <c r="D69" s="233">
        <v>0</v>
      </c>
    </row>
    <row r="70" spans="3:14" ht="14.4" customHeight="1">
      <c r="C70" s="77" t="s">
        <v>231</v>
      </c>
      <c r="D70" s="233">
        <v>0</v>
      </c>
    </row>
    <row r="71" spans="3:14" ht="14.4" customHeight="1">
      <c r="C71" s="99" t="s">
        <v>195</v>
      </c>
      <c r="D71" s="219">
        <f>SUM(D66:D70)</f>
        <v>32100.077000000001</v>
      </c>
      <c r="F71" s="110"/>
    </row>
    <row r="72" spans="3:14" ht="14.4" customHeight="1">
      <c r="C72" s="97"/>
      <c r="D72" s="97"/>
      <c r="E72" s="98"/>
      <c r="F72" s="98"/>
      <c r="G72" s="98"/>
      <c r="H72" s="98"/>
      <c r="I72" s="98"/>
      <c r="J72" s="98"/>
      <c r="K72" s="98"/>
      <c r="L72" s="98"/>
    </row>
    <row r="73" spans="3:14" ht="14.4" customHeight="1">
      <c r="C73" s="91" t="s">
        <v>232</v>
      </c>
      <c r="D73" s="91"/>
      <c r="E73" s="92"/>
      <c r="F73" s="92"/>
      <c r="G73" s="92"/>
      <c r="H73" s="92"/>
      <c r="I73" s="92"/>
      <c r="J73" s="92"/>
      <c r="K73" s="92"/>
      <c r="L73" s="92"/>
    </row>
    <row r="74" spans="3:14" ht="14.4" customHeight="1">
      <c r="C74" s="101"/>
      <c r="D74" s="101"/>
      <c r="E74" s="102"/>
      <c r="F74" s="102"/>
      <c r="G74" s="102"/>
      <c r="H74" s="102"/>
      <c r="I74" s="102"/>
      <c r="J74" s="102"/>
      <c r="K74" s="102"/>
      <c r="L74" s="102"/>
    </row>
    <row r="76" spans="3:14" ht="14.4" customHeight="1">
      <c r="C76" s="111" t="s">
        <v>233</v>
      </c>
      <c r="D76" s="112"/>
      <c r="E76" s="112"/>
      <c r="G76" s="113"/>
      <c r="H76" s="111" t="s">
        <v>234</v>
      </c>
      <c r="I76" s="112"/>
      <c r="J76" s="112"/>
      <c r="K76" s="112"/>
      <c r="L76" s="112"/>
    </row>
    <row r="77" spans="3:14" ht="14.4" customHeight="1">
      <c r="C77" s="113"/>
      <c r="D77" s="113"/>
      <c r="E77" s="113"/>
      <c r="G77" s="113"/>
      <c r="H77" s="113"/>
      <c r="I77" s="113"/>
      <c r="J77" s="113"/>
      <c r="K77" s="113"/>
      <c r="L77" s="113"/>
    </row>
    <row r="78" spans="3:14" ht="14.4" customHeight="1">
      <c r="C78" s="114" t="s">
        <v>235</v>
      </c>
      <c r="D78" s="115"/>
      <c r="E78" s="241">
        <v>10</v>
      </c>
      <c r="G78" s="113"/>
      <c r="H78" s="114" t="s">
        <v>236</v>
      </c>
      <c r="I78" s="113"/>
      <c r="J78" s="113"/>
      <c r="K78" s="113"/>
      <c r="L78" s="242">
        <v>0.06</v>
      </c>
    </row>
    <row r="79" spans="3:14" ht="14.4" customHeight="1">
      <c r="C79" s="95"/>
      <c r="G79" s="113"/>
      <c r="N79" s="116"/>
    </row>
    <row r="80" spans="3:14" ht="14.4" customHeight="1">
      <c r="C80" s="114" t="s">
        <v>237</v>
      </c>
      <c r="D80" s="115"/>
      <c r="E80" s="209">
        <f ca="1">+E78*L20</f>
        <v>13602565.117919957</v>
      </c>
      <c r="G80" s="113"/>
      <c r="H80" s="114" t="s">
        <v>237</v>
      </c>
      <c r="I80" s="113"/>
      <c r="J80" s="113"/>
      <c r="K80" s="113"/>
      <c r="L80" s="209">
        <f ca="1">+L59*(1+L78)/(J7-L78)</f>
        <v>12813092.181759451</v>
      </c>
    </row>
    <row r="81" spans="3:14" ht="14.4" customHeight="1">
      <c r="C81" s="114" t="s">
        <v>238</v>
      </c>
      <c r="D81" s="115"/>
      <c r="E81" s="222">
        <f ca="1">+(E80*J7-L59)/(E80+L59)</f>
        <v>6.2951382716384466E-2</v>
      </c>
      <c r="G81" s="68"/>
      <c r="H81" s="114" t="s">
        <v>239</v>
      </c>
      <c r="I81" s="113"/>
      <c r="J81" s="113"/>
      <c r="K81" s="113"/>
      <c r="L81" s="228">
        <f ca="1">+L80/L20</f>
        <v>9.4196146614137817</v>
      </c>
    </row>
    <row r="82" spans="3:14" ht="14.4" customHeight="1">
      <c r="C82" s="115"/>
      <c r="D82" s="115"/>
      <c r="E82" s="115"/>
      <c r="G82" s="113"/>
      <c r="H82" s="113"/>
      <c r="I82" s="113"/>
      <c r="J82" s="113"/>
      <c r="K82" s="113"/>
      <c r="L82" s="115"/>
    </row>
    <row r="83" spans="3:14" ht="14.4" customHeight="1">
      <c r="C83" s="117" t="s">
        <v>240</v>
      </c>
      <c r="D83" s="115"/>
      <c r="E83" s="223">
        <f ca="1">+E80/(1+J7)^L57</f>
        <v>8199260.3059461564</v>
      </c>
      <c r="G83" s="113"/>
      <c r="H83" s="117" t="s">
        <v>240</v>
      </c>
      <c r="I83" s="113"/>
      <c r="J83" s="113"/>
      <c r="K83" s="113"/>
      <c r="L83" s="223">
        <f ca="1">+L80/(1+J7)^L57</f>
        <v>7723387.2590638455</v>
      </c>
    </row>
    <row r="84" spans="3:14" ht="14.4" customHeight="1">
      <c r="C84" s="118" t="s">
        <v>241</v>
      </c>
      <c r="D84" s="119"/>
      <c r="E84" s="224">
        <f ca="1">+SUM(H61:L61)</f>
        <v>2018356.883371193</v>
      </c>
      <c r="G84" s="113"/>
      <c r="H84" s="118" t="s">
        <v>241</v>
      </c>
      <c r="I84" s="120"/>
      <c r="J84" s="120"/>
      <c r="K84" s="120"/>
      <c r="L84" s="224">
        <f ca="1">+SUM(H61:L61)</f>
        <v>2018356.883371193</v>
      </c>
    </row>
    <row r="85" spans="3:14" ht="14.4" customHeight="1">
      <c r="C85" s="121" t="s">
        <v>242</v>
      </c>
      <c r="D85" s="122"/>
      <c r="E85" s="225">
        <f ca="1">+E83+E84</f>
        <v>10217617.189317349</v>
      </c>
      <c r="F85" s="123"/>
      <c r="G85" s="113"/>
      <c r="H85" s="121" t="s">
        <v>242</v>
      </c>
      <c r="I85" s="124"/>
      <c r="J85" s="124"/>
      <c r="K85" s="124"/>
      <c r="L85" s="225">
        <f ca="1">SUM(L83:L84)</f>
        <v>9741744.1424350385</v>
      </c>
      <c r="N85" s="97"/>
    </row>
    <row r="86" spans="3:14" ht="14.4" customHeight="1">
      <c r="C86" s="115"/>
      <c r="D86" s="115"/>
      <c r="E86" s="115"/>
      <c r="G86" s="113"/>
      <c r="H86" s="113"/>
      <c r="I86" s="113"/>
      <c r="J86" s="113"/>
      <c r="K86" s="113"/>
      <c r="L86" s="113"/>
    </row>
    <row r="87" spans="3:14" ht="14.4" customHeight="1">
      <c r="C87" s="125" t="s">
        <v>243</v>
      </c>
      <c r="D87" s="115"/>
      <c r="E87" s="222">
        <f ca="1">+E83/E85</f>
        <v>0.8024630551356523</v>
      </c>
      <c r="G87" s="113"/>
      <c r="H87" s="125" t="s">
        <v>243</v>
      </c>
      <c r="I87" s="113"/>
      <c r="J87" s="113"/>
      <c r="K87" s="113"/>
      <c r="L87" s="222">
        <f ca="1">+L83/L85</f>
        <v>0.79281360156245229</v>
      </c>
    </row>
    <row r="88" spans="3:14" ht="14.4" customHeight="1">
      <c r="C88" s="115"/>
      <c r="D88" s="115"/>
      <c r="E88" s="115"/>
      <c r="G88" s="113"/>
      <c r="H88" s="113"/>
      <c r="I88" s="113"/>
      <c r="J88" s="113"/>
      <c r="K88" s="113"/>
      <c r="L88" s="113"/>
    </row>
    <row r="89" spans="3:14" ht="14.4" customHeight="1">
      <c r="C89" s="117" t="s">
        <v>244</v>
      </c>
      <c r="D89" s="115"/>
      <c r="E89" s="234">
        <f>+'Financial Statement Model'!F46</f>
        <v>848565</v>
      </c>
      <c r="G89" s="113"/>
      <c r="H89" s="117" t="s">
        <v>244</v>
      </c>
      <c r="I89" s="113"/>
      <c r="J89" s="113"/>
      <c r="K89" s="113"/>
      <c r="L89" s="209">
        <f>+E89</f>
        <v>848565</v>
      </c>
    </row>
    <row r="90" spans="3:14" ht="14.4" customHeight="1">
      <c r="C90" s="117" t="s">
        <v>245</v>
      </c>
      <c r="D90" s="115"/>
      <c r="E90" s="234">
        <f>+'Financial Statement Model'!F258+'Financial Statement Model'!F259+'Financial Statement Model'!F271+'Financial Statement Model'!F297+'Financial Statement Model'!F300</f>
        <v>1426134</v>
      </c>
      <c r="G90" s="113"/>
      <c r="H90" s="117" t="s">
        <v>245</v>
      </c>
      <c r="L90" s="223">
        <f t="shared" ref="L90:L92" si="24">+E90</f>
        <v>1426134</v>
      </c>
    </row>
    <row r="91" spans="3:14" ht="14.4" customHeight="1">
      <c r="C91" s="117" t="s">
        <v>246</v>
      </c>
      <c r="D91" s="115"/>
      <c r="E91" s="233">
        <v>0</v>
      </c>
      <c r="G91" s="113"/>
      <c r="H91" s="117" t="s">
        <v>246</v>
      </c>
      <c r="L91" s="209">
        <f t="shared" si="24"/>
        <v>0</v>
      </c>
    </row>
    <row r="92" spans="3:14" ht="14.4" customHeight="1">
      <c r="C92" s="117" t="s">
        <v>247</v>
      </c>
      <c r="D92" s="115"/>
      <c r="E92" s="234">
        <f>+'Financial Statement Model'!F227</f>
        <v>0</v>
      </c>
      <c r="G92" s="113"/>
      <c r="H92" s="117" t="s">
        <v>247</v>
      </c>
      <c r="L92" s="223">
        <f t="shared" si="24"/>
        <v>0</v>
      </c>
    </row>
    <row r="93" spans="3:14" ht="14.4" customHeight="1">
      <c r="C93" s="126" t="s">
        <v>248</v>
      </c>
      <c r="D93" s="127"/>
      <c r="E93" s="226">
        <f ca="1">+E85+E89-E90-E91-E92</f>
        <v>9640048.1893173493</v>
      </c>
      <c r="F93" s="97"/>
      <c r="G93" s="113"/>
      <c r="H93" s="126" t="s">
        <v>248</v>
      </c>
      <c r="I93" s="128"/>
      <c r="J93" s="128"/>
      <c r="K93" s="128"/>
      <c r="L93" s="226">
        <f ca="1">+L85+L89-L90-L91-L92</f>
        <v>9164175.1424350385</v>
      </c>
      <c r="N93" s="97"/>
    </row>
    <row r="94" spans="3:14" ht="14.4" customHeight="1">
      <c r="C94" s="115"/>
      <c r="D94" s="115"/>
      <c r="E94" s="115"/>
      <c r="G94" s="113"/>
      <c r="H94" s="113"/>
      <c r="I94" s="113"/>
      <c r="J94" s="113"/>
      <c r="K94" s="113"/>
      <c r="L94" s="113"/>
    </row>
    <row r="95" spans="3:14" ht="14.4" customHeight="1">
      <c r="C95" s="129" t="s">
        <v>249</v>
      </c>
      <c r="D95" s="130"/>
      <c r="E95" s="131">
        <f ca="1">+E93/D71</f>
        <v>300.31230732927366</v>
      </c>
      <c r="H95" s="129" t="s">
        <v>249</v>
      </c>
      <c r="I95" s="130"/>
      <c r="J95" s="130"/>
      <c r="K95" s="130"/>
      <c r="L95" s="131">
        <f ca="1">+L93/D71</f>
        <v>285.48763737965606</v>
      </c>
    </row>
    <row r="96" spans="3:14" ht="14.4" customHeight="1">
      <c r="C96" s="132" t="s">
        <v>250</v>
      </c>
      <c r="D96" s="133"/>
      <c r="E96" s="227">
        <f ca="1">+E95/D9-1</f>
        <v>-0.28743075731575829</v>
      </c>
      <c r="F96" s="110"/>
      <c r="H96" s="132" t="s">
        <v>250</v>
      </c>
      <c r="I96" s="133"/>
      <c r="J96" s="133"/>
      <c r="K96" s="133"/>
      <c r="L96" s="227">
        <f ca="1">+L95/D9-1</f>
        <v>-0.32260615166768047</v>
      </c>
      <c r="M96" s="110"/>
    </row>
    <row r="98" spans="3:20" ht="14.4" customHeight="1">
      <c r="C98" s="111" t="s">
        <v>251</v>
      </c>
      <c r="D98" s="112"/>
      <c r="E98" s="112"/>
      <c r="H98" s="111" t="s">
        <v>251</v>
      </c>
      <c r="I98" s="112"/>
      <c r="J98" s="112"/>
      <c r="K98" s="111"/>
      <c r="L98" s="112"/>
    </row>
    <row r="99" spans="3:20" ht="14.4" customHeight="1">
      <c r="C99" s="87" t="s">
        <v>252</v>
      </c>
      <c r="E99" s="228">
        <f ca="1">+E$85/$H14</f>
        <v>1.8963861843006764</v>
      </c>
      <c r="H99" s="87" t="s">
        <v>252</v>
      </c>
      <c r="L99" s="228">
        <f ca="1">+L$85/$H14</f>
        <v>1.8080643128831217</v>
      </c>
    </row>
    <row r="100" spans="3:20" ht="14.4" customHeight="1">
      <c r="C100" s="87" t="s">
        <v>253</v>
      </c>
      <c r="E100" s="228">
        <f ca="1">+E$85/$H20</f>
        <v>9.6349852165758616</v>
      </c>
      <c r="H100" s="87" t="s">
        <v>253</v>
      </c>
      <c r="L100" s="228">
        <f ca="1">+L$85/$H20</f>
        <v>9.1862475425444163</v>
      </c>
    </row>
    <row r="101" spans="3:20" ht="14.4" customHeight="1">
      <c r="C101" s="87" t="s">
        <v>254</v>
      </c>
      <c r="E101" s="228">
        <f ca="1">+E$85/$H23</f>
        <v>10.836492481718151</v>
      </c>
      <c r="H101" s="87" t="s">
        <v>254</v>
      </c>
      <c r="L101" s="228">
        <f ca="1">+L$85/$H23</f>
        <v>10.33179607361784</v>
      </c>
    </row>
    <row r="103" spans="3:20" ht="14.4" customHeight="1">
      <c r="C103" s="91" t="s">
        <v>255</v>
      </c>
      <c r="D103" s="91"/>
      <c r="E103" s="92"/>
      <c r="F103" s="92"/>
      <c r="G103" s="92"/>
      <c r="H103" s="92"/>
      <c r="I103" s="92"/>
      <c r="J103" s="92"/>
      <c r="K103" s="92"/>
      <c r="L103" s="92"/>
    </row>
    <row r="104" spans="3:20" ht="14.4" customHeight="1">
      <c r="C104" s="101"/>
      <c r="D104" s="101"/>
      <c r="E104" s="102"/>
      <c r="F104" s="102"/>
      <c r="G104" s="102"/>
      <c r="H104" s="102"/>
      <c r="I104" s="102"/>
      <c r="J104" s="102"/>
      <c r="K104" s="102"/>
      <c r="L104" s="102"/>
    </row>
    <row r="106" spans="3:20" ht="14.4" customHeight="1">
      <c r="C106" s="97"/>
      <c r="D106" s="134"/>
      <c r="E106" s="412" t="s">
        <v>256</v>
      </c>
      <c r="F106" s="413"/>
      <c r="G106" s="413"/>
      <c r="H106" s="413"/>
      <c r="I106" s="413"/>
      <c r="J106" s="413"/>
      <c r="K106" s="413"/>
      <c r="L106" s="413"/>
    </row>
    <row r="107" spans="3:20" ht="14.4" customHeight="1">
      <c r="C107" s="97"/>
      <c r="D107" s="414" t="s">
        <v>196</v>
      </c>
      <c r="E107" s="135">
        <f ca="1">E95</f>
        <v>300.31230732927366</v>
      </c>
      <c r="F107" s="231">
        <f t="shared" ref="F107:G107" si="25">+G107-0.5</f>
        <v>8.5</v>
      </c>
      <c r="G107" s="231">
        <f t="shared" si="25"/>
        <v>9</v>
      </c>
      <c r="H107" s="231">
        <f>+I107-0.5</f>
        <v>9.5</v>
      </c>
      <c r="I107" s="231">
        <v>10</v>
      </c>
      <c r="J107" s="231">
        <f>+I107+0.5</f>
        <v>10.5</v>
      </c>
      <c r="K107" s="231">
        <f t="shared" ref="K107:L107" si="26">+J107+0.5</f>
        <v>11</v>
      </c>
      <c r="L107" s="231">
        <f t="shared" si="26"/>
        <v>11.5</v>
      </c>
      <c r="N107" s="142"/>
      <c r="O107" s="142"/>
      <c r="P107" s="411"/>
      <c r="Q107" s="411"/>
      <c r="R107" s="411"/>
      <c r="S107" s="411"/>
      <c r="T107" s="411"/>
    </row>
    <row r="108" spans="3:20" ht="14.4" customHeight="1">
      <c r="D108" s="413"/>
      <c r="E108" s="229">
        <f t="shared" ref="E108:E109" si="27">+E109-0.5%</f>
        <v>9.8258858650219646E-2</v>
      </c>
      <c r="F108" s="232">
        <f t="dataTable" ref="F108:L114" dt2D="1" dtr="1" r1="E78" r2="J7" ca="1"/>
        <v>278.74531241768909</v>
      </c>
      <c r="G108" s="232">
        <v>292.36086057472107</v>
      </c>
      <c r="H108" s="232">
        <v>305.976408731753</v>
      </c>
      <c r="I108" s="232">
        <v>319.59195688878503</v>
      </c>
      <c r="J108" s="232">
        <v>333.20750504581702</v>
      </c>
      <c r="K108" s="232">
        <v>346.82305320284905</v>
      </c>
      <c r="L108" s="232">
        <v>360.43860135988103</v>
      </c>
      <c r="N108" s="142"/>
      <c r="O108" s="142"/>
      <c r="P108" s="411"/>
      <c r="Q108" s="411"/>
      <c r="R108" s="411"/>
      <c r="S108" s="411"/>
      <c r="T108" s="411"/>
    </row>
    <row r="109" spans="3:20" ht="14.4" customHeight="1">
      <c r="D109" s="413"/>
      <c r="E109" s="229">
        <f t="shared" si="27"/>
        <v>0.10325885865021965</v>
      </c>
      <c r="F109" s="232">
        <v>273.02252593909981</v>
      </c>
      <c r="G109" s="232">
        <v>286.34938060815301</v>
      </c>
      <c r="H109" s="232">
        <v>299.67623527720622</v>
      </c>
      <c r="I109" s="232">
        <v>313.00308994625942</v>
      </c>
      <c r="J109" s="232">
        <v>326.32994461531268</v>
      </c>
      <c r="K109" s="232">
        <v>339.65679928436583</v>
      </c>
      <c r="L109" s="232">
        <v>352.98365395341909</v>
      </c>
      <c r="N109" s="142"/>
      <c r="O109" s="142"/>
      <c r="P109" s="411"/>
      <c r="Q109" s="411"/>
      <c r="R109" s="411"/>
      <c r="S109" s="411"/>
      <c r="T109" s="411"/>
    </row>
    <row r="110" spans="3:20" ht="14.4" customHeight="1">
      <c r="D110" s="413"/>
      <c r="E110" s="229">
        <f>+E111-0.5%</f>
        <v>0.10825885865021966</v>
      </c>
      <c r="F110" s="232">
        <v>267.44151241088673</v>
      </c>
      <c r="G110" s="232">
        <v>280.48705897684641</v>
      </c>
      <c r="H110" s="232">
        <v>293.53260554280604</v>
      </c>
      <c r="I110" s="232">
        <v>306.57815210876578</v>
      </c>
      <c r="J110" s="232">
        <v>319.62369867472546</v>
      </c>
      <c r="K110" s="232">
        <v>332.66924524068509</v>
      </c>
      <c r="L110" s="232">
        <v>345.71479180664477</v>
      </c>
      <c r="N110" s="142"/>
      <c r="O110" s="142"/>
      <c r="P110" s="411"/>
      <c r="Q110" s="411"/>
      <c r="R110" s="411"/>
      <c r="S110" s="411"/>
      <c r="T110" s="411"/>
    </row>
    <row r="111" spans="3:20" ht="14.4" customHeight="1">
      <c r="D111" s="413"/>
      <c r="E111" s="229">
        <v>0.11325885865021966</v>
      </c>
      <c r="F111" s="232">
        <v>261.99809874055524</v>
      </c>
      <c r="G111" s="232">
        <v>274.76950160346138</v>
      </c>
      <c r="H111" s="232">
        <v>287.54090446636752</v>
      </c>
      <c r="I111" s="232">
        <v>300.31230732927366</v>
      </c>
      <c r="J111" s="232">
        <v>313.08371019217986</v>
      </c>
      <c r="K111" s="232">
        <v>325.85511305508595</v>
      </c>
      <c r="L111" s="232">
        <v>338.62651591799204</v>
      </c>
      <c r="N111" s="142"/>
      <c r="O111" s="142"/>
      <c r="P111" s="411"/>
      <c r="Q111" s="411"/>
      <c r="R111" s="411"/>
      <c r="S111" s="411"/>
      <c r="T111" s="411"/>
    </row>
    <row r="112" spans="3:20" ht="14.4" customHeight="1">
      <c r="D112" s="413"/>
      <c r="E112" s="229">
        <f>+E111+0.5%</f>
        <v>0.11825885865021966</v>
      </c>
      <c r="F112" s="232">
        <v>256.6882532363602</v>
      </c>
      <c r="G112" s="232">
        <v>269.19246337421396</v>
      </c>
      <c r="H112" s="232">
        <v>281.69667351206772</v>
      </c>
      <c r="I112" s="232">
        <v>294.20088364992154</v>
      </c>
      <c r="J112" s="232">
        <v>306.70509378777535</v>
      </c>
      <c r="K112" s="232">
        <v>319.20930392562917</v>
      </c>
      <c r="L112" s="232">
        <v>331.71351406348293</v>
      </c>
      <c r="N112" s="142"/>
      <c r="O112" s="142"/>
      <c r="P112" s="411"/>
      <c r="Q112" s="411"/>
      <c r="R112" s="411"/>
      <c r="S112" s="411"/>
      <c r="T112" s="411"/>
    </row>
    <row r="113" spans="4:20" ht="14.4" customHeight="1">
      <c r="D113" s="413"/>
      <c r="E113" s="229">
        <f t="shared" ref="E113:E114" si="28">+E112+0.5%</f>
        <v>0.12325885865021967</v>
      </c>
      <c r="F113" s="232">
        <v>251.50808020157203</v>
      </c>
      <c r="G113" s="232">
        <v>263.75184244207674</v>
      </c>
      <c r="H113" s="232">
        <v>275.99560468258136</v>
      </c>
      <c r="I113" s="232">
        <v>288.23936692308604</v>
      </c>
      <c r="J113" s="232">
        <v>300.48312916359072</v>
      </c>
      <c r="K113" s="232">
        <v>312.72689140409534</v>
      </c>
      <c r="L113" s="232">
        <v>324.97065364460002</v>
      </c>
      <c r="N113" s="142"/>
      <c r="O113" s="142"/>
      <c r="P113" s="411"/>
      <c r="Q113" s="411"/>
      <c r="R113" s="411"/>
      <c r="S113" s="411"/>
      <c r="T113" s="411"/>
    </row>
    <row r="114" spans="4:20" ht="14.4" customHeight="1">
      <c r="D114" s="413"/>
      <c r="E114" s="229">
        <f t="shared" si="28"/>
        <v>0.12825885865021966</v>
      </c>
      <c r="F114" s="232">
        <v>246.45381475853205</v>
      </c>
      <c r="G114" s="232">
        <v>258.44367477220038</v>
      </c>
      <c r="H114" s="232">
        <v>270.43353478586869</v>
      </c>
      <c r="I114" s="232">
        <v>282.42339479953699</v>
      </c>
      <c r="J114" s="232">
        <v>294.41325481320541</v>
      </c>
      <c r="K114" s="232">
        <v>306.40311482687366</v>
      </c>
      <c r="L114" s="232">
        <v>318.39297484054197</v>
      </c>
      <c r="N114" s="142"/>
      <c r="O114" s="142"/>
      <c r="P114" s="411"/>
      <c r="Q114" s="411"/>
      <c r="R114" s="411"/>
      <c r="S114" s="411"/>
      <c r="T114" s="411"/>
    </row>
    <row r="116" spans="4:20" ht="14.4" customHeight="1">
      <c r="D116" s="134"/>
      <c r="E116" s="412" t="s">
        <v>236</v>
      </c>
      <c r="F116" s="413"/>
      <c r="G116" s="413"/>
      <c r="H116" s="413"/>
      <c r="I116" s="413"/>
      <c r="J116" s="413"/>
      <c r="K116" s="413"/>
      <c r="L116" s="413"/>
    </row>
    <row r="117" spans="4:20" ht="14.4" customHeight="1">
      <c r="D117" s="414" t="s">
        <v>196</v>
      </c>
      <c r="E117" s="135">
        <f ca="1">L95</f>
        <v>285.48763737965606</v>
      </c>
      <c r="F117" s="230">
        <f t="shared" ref="F117:G117" si="29">+G117-0.5%</f>
        <v>4.5000000000000005E-2</v>
      </c>
      <c r="G117" s="230">
        <f t="shared" si="29"/>
        <v>0.05</v>
      </c>
      <c r="H117" s="230">
        <f>+I117-0.5%</f>
        <v>5.5E-2</v>
      </c>
      <c r="I117" s="230">
        <v>0.06</v>
      </c>
      <c r="J117" s="230">
        <f>+I117+0.5%</f>
        <v>6.5000000000000002E-2</v>
      </c>
      <c r="K117" s="230">
        <f t="shared" ref="K117:L117" si="30">+J117+0.5%</f>
        <v>7.0000000000000007E-2</v>
      </c>
      <c r="L117" s="230">
        <f t="shared" si="30"/>
        <v>7.5000000000000011E-2</v>
      </c>
    </row>
    <row r="118" spans="4:20" ht="14.4" customHeight="1">
      <c r="D118" s="413"/>
      <c r="E118" s="229">
        <f t="shared" ref="E118:E119" si="31">+E119-0.5%</f>
        <v>9.8258858650219646E-2</v>
      </c>
      <c r="F118" s="232">
        <f t="dataTable" ref="F118:L124" dt2D="1" dtr="1" r1="L78" r2="J7" ca="1"/>
        <v>300.15761980494966</v>
      </c>
      <c r="G118" s="232">
        <v>327.69293618777749</v>
      </c>
      <c r="H118" s="232">
        <v>361.59349595473412</v>
      </c>
      <c r="I118" s="232">
        <v>404.35489500518634</v>
      </c>
      <c r="J118" s="232">
        <v>459.97343972626118</v>
      </c>
      <c r="K118" s="232">
        <v>535.27379304743067</v>
      </c>
      <c r="L118" s="232">
        <v>642.94905970961156</v>
      </c>
    </row>
    <row r="119" spans="4:20" ht="14.4" customHeight="1">
      <c r="D119" s="413"/>
      <c r="E119" s="229">
        <f t="shared" si="31"/>
        <v>0.10325885865021965</v>
      </c>
      <c r="F119" s="232">
        <v>272.73814612085084</v>
      </c>
      <c r="G119" s="232">
        <v>295.16510489104724</v>
      </c>
      <c r="H119" s="232">
        <v>322.23928479275588</v>
      </c>
      <c r="I119" s="232">
        <v>355.57210876101834</v>
      </c>
      <c r="J119" s="232">
        <v>397.61737872068028</v>
      </c>
      <c r="K119" s="232">
        <v>452.3044745475039</v>
      </c>
      <c r="L119" s="232">
        <v>526.34376591191983</v>
      </c>
    </row>
    <row r="120" spans="4:20" ht="14.4" customHeight="1">
      <c r="D120" s="413"/>
      <c r="E120" s="229">
        <f>+E121-0.5%</f>
        <v>0.10825885865021966</v>
      </c>
      <c r="F120" s="232">
        <v>249.65602892461658</v>
      </c>
      <c r="G120" s="232">
        <v>268.22292445048799</v>
      </c>
      <c r="H120" s="232">
        <v>290.27598096373794</v>
      </c>
      <c r="I120" s="232">
        <v>316.89878013772739</v>
      </c>
      <c r="J120" s="232">
        <v>349.67587926430099</v>
      </c>
      <c r="K120" s="232">
        <v>391.02017048257761</v>
      </c>
      <c r="L120" s="232">
        <v>444.79552304697262</v>
      </c>
    </row>
    <row r="121" spans="4:20" ht="14.4" customHeight="1">
      <c r="D121" s="413"/>
      <c r="E121" s="229">
        <v>0.11325885865021966</v>
      </c>
      <c r="F121" s="232">
        <v>229.95807275007073</v>
      </c>
      <c r="G121" s="232">
        <v>245.54187817337146</v>
      </c>
      <c r="H121" s="232">
        <v>263.80060819772979</v>
      </c>
      <c r="I121" s="232">
        <v>285.48763737965606</v>
      </c>
      <c r="J121" s="232">
        <v>311.66856256088772</v>
      </c>
      <c r="K121" s="232">
        <v>343.90164121961277</v>
      </c>
      <c r="L121" s="232">
        <v>384.55971732884058</v>
      </c>
    </row>
    <row r="122" spans="4:20" ht="14.4" customHeight="1">
      <c r="D122" s="413"/>
      <c r="E122" s="229">
        <f t="shared" ref="E122:E124" si="32">+E121+0.5%</f>
        <v>0.11825885865021966</v>
      </c>
      <c r="F122" s="232">
        <v>212.95131008997944</v>
      </c>
      <c r="G122" s="232">
        <v>226.18553671480998</v>
      </c>
      <c r="H122" s="232">
        <v>241.51183817425098</v>
      </c>
      <c r="I122" s="232">
        <v>259.46886426759852</v>
      </c>
      <c r="J122" s="232">
        <v>280.79754092733936</v>
      </c>
      <c r="K122" s="232">
        <v>306.54585726698468</v>
      </c>
      <c r="L122" s="232">
        <v>338.24632240182581</v>
      </c>
    </row>
    <row r="123" spans="4:20" ht="14.4" customHeight="1">
      <c r="D123" s="413"/>
      <c r="E123" s="229">
        <f t="shared" si="32"/>
        <v>0.12325885865021967</v>
      </c>
      <c r="F123" s="232">
        <v>198.11987084722642</v>
      </c>
      <c r="G123" s="232">
        <v>209.47312104746803</v>
      </c>
      <c r="H123" s="232">
        <v>222.48963524373087</v>
      </c>
      <c r="I123" s="232">
        <v>237.56380815752382</v>
      </c>
      <c r="J123" s="232">
        <v>255.22542841632853</v>
      </c>
      <c r="K123" s="232">
        <v>276.20323319474505</v>
      </c>
      <c r="L123" s="232">
        <v>301.5279714409553</v>
      </c>
    </row>
    <row r="124" spans="4:20" ht="14.4" customHeight="1">
      <c r="D124" s="413"/>
      <c r="E124" s="229">
        <f t="shared" si="32"/>
        <v>0.12825885865021966</v>
      </c>
      <c r="F124" s="232">
        <v>185.07180555438561</v>
      </c>
      <c r="G124" s="232">
        <v>194.89783426496456</v>
      </c>
      <c r="H124" s="232">
        <v>206.06513813210768</v>
      </c>
      <c r="I124" s="232">
        <v>218.86846464714893</v>
      </c>
      <c r="J124" s="232">
        <v>233.69574903753451</v>
      </c>
      <c r="K124" s="232">
        <v>251.06810292188459</v>
      </c>
      <c r="L124" s="232">
        <v>271.70232803754357</v>
      </c>
    </row>
  </sheetData>
  <mergeCells count="9">
    <mergeCell ref="P107:T114"/>
    <mergeCell ref="E116:L116"/>
    <mergeCell ref="D117:D124"/>
    <mergeCell ref="E11:G11"/>
    <mergeCell ref="H11:L11"/>
    <mergeCell ref="E38:G38"/>
    <mergeCell ref="H38:L38"/>
    <mergeCell ref="E106:L106"/>
    <mergeCell ref="D107:D114"/>
  </mergeCells>
  <conditionalFormatting sqref="F108:L1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" priority="3" operator="equal">
      <formula>$E$107</formula>
    </cfRule>
  </conditionalFormatting>
  <conditionalFormatting sqref="F118:L1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4" operator="equal">
      <formula>$E$117</formula>
    </cfRule>
  </conditionalFormatting>
  <dataValidations disablePrompts="1" count="1">
    <dataValidation type="list" allowBlank="1" showErrorMessage="1" sqref="J8" xr:uid="{AA91FED2-0F85-4A64-A39A-0D783D54CB62}">
      <formula1>"0,1"</formula1>
    </dataValidation>
  </dataValidations>
  <pageMargins left="0.7" right="0.7" top="0.75" bottom="0.75" header="0" footer="0"/>
  <pageSetup orientation="portrait"/>
  <rowBreaks count="2" manualBreakCount="2">
    <brk id="62" man="1"/>
    <brk id="10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2779-9C84-4E18-B6EF-05F0BEDA1CD8}">
  <sheetPr>
    <pageSetUpPr fitToPage="1"/>
  </sheetPr>
  <dimension ref="C2:N52"/>
  <sheetViews>
    <sheetView showGridLines="0" zoomScale="85" zoomScaleNormal="85" workbookViewId="0"/>
  </sheetViews>
  <sheetFormatPr defaultColWidth="14.44140625" defaultRowHeight="14.4" customHeight="1"/>
  <cols>
    <col min="1" max="1" width="1.6640625" style="29" customWidth="1"/>
    <col min="2" max="2" width="2.6640625" style="29" customWidth="1"/>
    <col min="3" max="3" width="45.6640625" style="29" customWidth="1"/>
    <col min="4" max="12" width="12.5546875" style="29" bestFit="1" customWidth="1"/>
    <col min="13" max="13" width="2.6640625" style="29" customWidth="1"/>
    <col min="14" max="26" width="8.6640625" style="29" customWidth="1"/>
    <col min="27" max="16384" width="14.44140625" style="29"/>
  </cols>
  <sheetData>
    <row r="2" spans="3:14" ht="18" customHeight="1">
      <c r="C2" s="30" t="str">
        <f>"WACC Build For "&amp;D5</f>
        <v>WACC Build For TopBuild Corp.</v>
      </c>
      <c r="D2" s="30"/>
      <c r="E2" s="31"/>
      <c r="F2" s="31"/>
      <c r="G2" s="31"/>
      <c r="H2" s="31"/>
      <c r="I2" s="31"/>
      <c r="J2" s="31"/>
      <c r="K2" s="31"/>
      <c r="L2" s="31"/>
    </row>
    <row r="3" spans="3:14" ht="14.4" customHeight="1" thickBot="1">
      <c r="C3" s="32" t="s">
        <v>37</v>
      </c>
      <c r="D3" s="32"/>
      <c r="E3" s="33"/>
      <c r="F3" s="33"/>
      <c r="G3" s="33"/>
      <c r="H3" s="33"/>
      <c r="I3" s="33"/>
      <c r="J3" s="80" t="s">
        <v>193</v>
      </c>
      <c r="K3" s="33"/>
      <c r="L3" s="33"/>
    </row>
    <row r="4" spans="3:14" ht="14.4" customHeight="1">
      <c r="C4" s="34"/>
      <c r="D4" s="34"/>
      <c r="J4" s="81"/>
    </row>
    <row r="5" spans="3:14" ht="14.4" customHeight="1">
      <c r="C5" s="35" t="s">
        <v>1</v>
      </c>
      <c r="D5" s="74" t="str">
        <f>'Revenue Build &amp; Growth Drivers'!D5</f>
        <v>TopBuild Corp.</v>
      </c>
      <c r="G5" s="35" t="s">
        <v>194</v>
      </c>
      <c r="J5" s="265">
        <f>+'Integrated DCF Model'!D66</f>
        <v>31775.877</v>
      </c>
    </row>
    <row r="6" spans="3:14" ht="14.4" customHeight="1">
      <c r="C6" s="35" t="s">
        <v>3</v>
      </c>
      <c r="D6" s="75" t="str">
        <f>'Revenue Build &amp; Growth Drivers'!D6</f>
        <v>BLD</v>
      </c>
      <c r="G6" s="35" t="s">
        <v>195</v>
      </c>
      <c r="J6" s="265">
        <f>+'Integrated DCF Model'!D71</f>
        <v>32100.077000000001</v>
      </c>
    </row>
    <row r="7" spans="3:14" ht="14.4" customHeight="1">
      <c r="C7" s="35" t="s">
        <v>5</v>
      </c>
      <c r="D7" s="76">
        <f>'Revenue Build &amp; Growth Drivers'!D7</f>
        <v>45394</v>
      </c>
      <c r="G7" s="35"/>
      <c r="J7" s="47"/>
    </row>
    <row r="8" spans="3:14" ht="14.4" customHeight="1">
      <c r="C8" s="35" t="s">
        <v>6</v>
      </c>
      <c r="D8" s="76">
        <f>'Revenue Build &amp; Growth Drivers'!D8</f>
        <v>45393</v>
      </c>
      <c r="G8" s="35"/>
      <c r="H8" s="35"/>
      <c r="I8" s="35"/>
    </row>
    <row r="9" spans="3:14" ht="14.4" customHeight="1">
      <c r="C9" s="35" t="s">
        <v>7</v>
      </c>
      <c r="D9" s="238">
        <f>'Revenue Build &amp; Growth Drivers'!D9</f>
        <v>421.45</v>
      </c>
    </row>
    <row r="11" spans="3:14" ht="14.4" customHeight="1">
      <c r="C11" s="39" t="s">
        <v>257</v>
      </c>
      <c r="D11" s="39"/>
      <c r="F11" s="39" t="s">
        <v>258</v>
      </c>
      <c r="G11" s="65"/>
      <c r="H11" s="65"/>
      <c r="I11" s="65"/>
      <c r="J11" s="65"/>
      <c r="K11" s="65"/>
      <c r="L11" s="65"/>
    </row>
    <row r="12" spans="3:14" ht="14.4" customHeight="1">
      <c r="C12" s="65"/>
      <c r="D12" s="65"/>
      <c r="F12" s="65"/>
      <c r="G12" s="65"/>
      <c r="H12" s="65"/>
      <c r="I12" s="65"/>
      <c r="J12" s="65"/>
      <c r="K12" s="65"/>
      <c r="L12" s="65"/>
    </row>
    <row r="14" spans="3:14" ht="14.4" customHeight="1">
      <c r="C14" s="42" t="s">
        <v>259</v>
      </c>
      <c r="D14" s="350">
        <f>+'Financial Statement Model'!F21</f>
        <v>74614</v>
      </c>
      <c r="F14" s="66" t="str">
        <f>D5&amp;" ("&amp;D6&amp;")"</f>
        <v>TopBuild Corp. (BLD)</v>
      </c>
      <c r="G14" s="67"/>
      <c r="H14" s="67"/>
      <c r="J14" s="66" t="s">
        <v>260</v>
      </c>
      <c r="K14" s="67"/>
      <c r="L14" s="67"/>
      <c r="N14" s="374"/>
    </row>
    <row r="15" spans="3:14" ht="14.4" customHeight="1">
      <c r="D15" s="248"/>
      <c r="F15" s="72" t="s">
        <v>261</v>
      </c>
      <c r="G15" s="72" t="s">
        <v>262</v>
      </c>
      <c r="H15" s="72" t="s">
        <v>263</v>
      </c>
      <c r="J15" s="72" t="s">
        <v>261</v>
      </c>
      <c r="K15" s="72" t="s">
        <v>262</v>
      </c>
      <c r="L15" s="72" t="s">
        <v>263</v>
      </c>
      <c r="N15" s="374"/>
    </row>
    <row r="16" spans="3:14" ht="14.4" customHeight="1">
      <c r="C16" s="35" t="s">
        <v>175</v>
      </c>
      <c r="D16" s="247">
        <f>+IFERROR(AVERAGE('Financial Statement Model'!E271:F271),0)</f>
        <v>0</v>
      </c>
      <c r="F16" s="243">
        <v>44287</v>
      </c>
      <c r="G16" s="244">
        <v>222.38</v>
      </c>
      <c r="H16" s="252"/>
      <c r="J16" s="243">
        <v>44287</v>
      </c>
      <c r="K16" s="244">
        <v>4181.17</v>
      </c>
      <c r="L16" s="252"/>
    </row>
    <row r="17" spans="3:14" ht="14.4" customHeight="1">
      <c r="C17" s="374" t="s">
        <v>264</v>
      </c>
      <c r="D17" s="247">
        <f>+IFERROR(AVERAGE('Financial Statement Model'!E258:F258),0)+IFERROR(AVERAGE('Financial Statement Model'!E297:F297),0)</f>
        <v>45615.5</v>
      </c>
      <c r="F17" s="243">
        <v>44317</v>
      </c>
      <c r="G17" s="244">
        <v>198.05</v>
      </c>
      <c r="H17" s="245">
        <f>+G17/G16-1</f>
        <v>-0.10940732080223037</v>
      </c>
      <c r="J17" s="243">
        <v>44317</v>
      </c>
      <c r="K17" s="244">
        <v>4204.1099999999997</v>
      </c>
      <c r="L17" s="245">
        <f>+K17/K16-1</f>
        <v>5.4865025818131574E-3</v>
      </c>
    </row>
    <row r="18" spans="3:14" ht="14.4" customHeight="1">
      <c r="C18" s="374" t="s">
        <v>265</v>
      </c>
      <c r="D18" s="247">
        <f>+IFERROR(AVERAGE('Financial Statement Model'!E259:F259),0)+IFERROR(AVERAGE('Financial Statement Model'!E300:F300),0)</f>
        <v>1400554</v>
      </c>
      <c r="F18" s="243">
        <v>44348</v>
      </c>
      <c r="G18" s="244">
        <v>197.78</v>
      </c>
      <c r="H18" s="245">
        <f t="shared" ref="H18:H51" si="0">+G18/G17-1</f>
        <v>-1.3632920979551599E-3</v>
      </c>
      <c r="J18" s="243">
        <v>44348</v>
      </c>
      <c r="K18" s="244">
        <v>4297.5</v>
      </c>
      <c r="L18" s="245">
        <f t="shared" ref="L18:L51" si="1">+K18/K17-1</f>
        <v>2.221397632316946E-2</v>
      </c>
      <c r="N18" s="374"/>
    </row>
    <row r="19" spans="3:14" ht="14.4" customHeight="1">
      <c r="C19" s="42" t="s">
        <v>266</v>
      </c>
      <c r="D19" s="194">
        <f>SUM(D16:D18)</f>
        <v>1446169.5</v>
      </c>
      <c r="F19" s="243">
        <v>44378</v>
      </c>
      <c r="G19" s="244">
        <v>202.69</v>
      </c>
      <c r="H19" s="245">
        <f t="shared" si="0"/>
        <v>2.4825563757710611E-2</v>
      </c>
      <c r="J19" s="243">
        <v>44378</v>
      </c>
      <c r="K19" s="244">
        <v>4395.26</v>
      </c>
      <c r="L19" s="245">
        <f t="shared" si="1"/>
        <v>2.274810936591054E-2</v>
      </c>
      <c r="N19" s="374"/>
    </row>
    <row r="20" spans="3:14" ht="14.4" customHeight="1">
      <c r="F20" s="243">
        <v>44409</v>
      </c>
      <c r="G20" s="244">
        <v>218.79</v>
      </c>
      <c r="H20" s="245">
        <f t="shared" si="0"/>
        <v>7.9431644383048061E-2</v>
      </c>
      <c r="J20" s="243">
        <v>44409</v>
      </c>
      <c r="K20" s="244">
        <v>4522.68</v>
      </c>
      <c r="L20" s="245">
        <f t="shared" si="1"/>
        <v>2.8990321391681118E-2</v>
      </c>
      <c r="N20" s="374"/>
    </row>
    <row r="21" spans="3:14" ht="14.4" customHeight="1">
      <c r="C21" s="35" t="s">
        <v>267</v>
      </c>
      <c r="D21" s="249">
        <f>+IFERROR(D14/D19,0)</f>
        <v>5.1594228753960032E-2</v>
      </c>
      <c r="F21" s="243">
        <v>44440</v>
      </c>
      <c r="G21" s="244">
        <v>204.81</v>
      </c>
      <c r="H21" s="245">
        <f t="shared" si="0"/>
        <v>-6.3896887426299176E-2</v>
      </c>
      <c r="J21" s="243">
        <v>44440</v>
      </c>
      <c r="K21" s="244">
        <v>4307.54</v>
      </c>
      <c r="L21" s="245">
        <f t="shared" si="1"/>
        <v>-4.7569140421166334E-2</v>
      </c>
    </row>
    <row r="22" spans="3:14" ht="14.4" customHeight="1">
      <c r="C22" s="35" t="s">
        <v>64</v>
      </c>
      <c r="D22" s="341">
        <f>+IF('Financial Statement Model'!F41&lt;0,AVERAGEIFS('Financial Statement Model'!D41:F41,'Financial Statement Model'!D41:F41,"&gt;0"),'Financial Statement Model'!F41)</f>
        <v>0.25588534227839943</v>
      </c>
      <c r="F22" s="243">
        <v>44470</v>
      </c>
      <c r="G22" s="244">
        <v>256.97000000000003</v>
      </c>
      <c r="H22" s="245">
        <f t="shared" si="0"/>
        <v>0.25467506469410695</v>
      </c>
      <c r="J22" s="243">
        <v>44470</v>
      </c>
      <c r="K22" s="244">
        <v>4605.38</v>
      </c>
      <c r="L22" s="245">
        <f t="shared" si="1"/>
        <v>6.9143873301234615E-2</v>
      </c>
    </row>
    <row r="23" spans="3:14" ht="14.4" customHeight="1">
      <c r="F23" s="243">
        <v>44501</v>
      </c>
      <c r="G23" s="244">
        <v>269.79000000000002</v>
      </c>
      <c r="H23" s="245">
        <f t="shared" si="0"/>
        <v>4.9889092111919719E-2</v>
      </c>
      <c r="J23" s="243">
        <v>44501</v>
      </c>
      <c r="K23" s="244">
        <v>4567</v>
      </c>
      <c r="L23" s="245">
        <f t="shared" si="1"/>
        <v>-8.3337314184714906E-3</v>
      </c>
    </row>
    <row r="24" spans="3:14" ht="14.4" customHeight="1">
      <c r="C24" s="73" t="s">
        <v>268</v>
      </c>
      <c r="D24" s="250">
        <f>+D21*(1-D22)</f>
        <v>3.839202186966293E-2</v>
      </c>
      <c r="F24" s="243">
        <v>44531</v>
      </c>
      <c r="G24" s="244">
        <v>275.91000000000003</v>
      </c>
      <c r="H24" s="245">
        <f t="shared" si="0"/>
        <v>2.2684310018903586E-2</v>
      </c>
      <c r="J24" s="243">
        <v>44531</v>
      </c>
      <c r="K24" s="244">
        <v>4766.18</v>
      </c>
      <c r="L24" s="245">
        <f t="shared" si="1"/>
        <v>4.3612874972629889E-2</v>
      </c>
      <c r="N24" s="374"/>
    </row>
    <row r="25" spans="3:14" ht="14.4" customHeight="1">
      <c r="F25" s="243">
        <v>44562</v>
      </c>
      <c r="G25" s="244">
        <v>232.65</v>
      </c>
      <c r="H25" s="245">
        <f t="shared" si="0"/>
        <v>-0.15679025769272592</v>
      </c>
      <c r="J25" s="243">
        <v>44562</v>
      </c>
      <c r="K25" s="244">
        <v>4515.55</v>
      </c>
      <c r="L25" s="245">
        <f t="shared" si="1"/>
        <v>-5.2585089106999772E-2</v>
      </c>
    </row>
    <row r="26" spans="3:14" ht="14.4" customHeight="1">
      <c r="C26" s="39" t="s">
        <v>269</v>
      </c>
      <c r="D26" s="39"/>
      <c r="F26" s="243">
        <v>44593</v>
      </c>
      <c r="G26" s="244">
        <v>214.68</v>
      </c>
      <c r="H26" s="245">
        <f t="shared" si="0"/>
        <v>-7.7240490006447393E-2</v>
      </c>
      <c r="J26" s="243">
        <v>44593</v>
      </c>
      <c r="K26" s="244">
        <v>4373.9399999999996</v>
      </c>
      <c r="L26" s="245">
        <f t="shared" si="1"/>
        <v>-3.1360520866782648E-2</v>
      </c>
    </row>
    <row r="27" spans="3:14" ht="14.4" customHeight="1">
      <c r="C27" s="65"/>
      <c r="D27" s="65"/>
      <c r="F27" s="243">
        <v>44621</v>
      </c>
      <c r="G27" s="244">
        <v>181.39</v>
      </c>
      <c r="H27" s="245">
        <f t="shared" si="0"/>
        <v>-0.15506800819824862</v>
      </c>
      <c r="J27" s="243">
        <v>44621</v>
      </c>
      <c r="K27" s="244">
        <v>4530.41</v>
      </c>
      <c r="L27" s="245">
        <f t="shared" si="1"/>
        <v>3.5773238773280092E-2</v>
      </c>
    </row>
    <row r="28" spans="3:14" ht="14.4" customHeight="1">
      <c r="F28" s="243">
        <v>44652</v>
      </c>
      <c r="G28" s="244">
        <v>181.14</v>
      </c>
      <c r="H28" s="245">
        <f t="shared" si="0"/>
        <v>-1.3782457687855354E-3</v>
      </c>
      <c r="J28" s="243">
        <v>44652</v>
      </c>
      <c r="K28" s="244">
        <v>4131.93</v>
      </c>
      <c r="L28" s="245">
        <f t="shared" si="1"/>
        <v>-8.7956719149039353E-2</v>
      </c>
    </row>
    <row r="29" spans="3:14" ht="14.4" customHeight="1">
      <c r="C29" s="35" t="s">
        <v>270</v>
      </c>
      <c r="D29" s="262">
        <v>4.1300000000000003E-2</v>
      </c>
      <c r="F29" s="243">
        <v>44682</v>
      </c>
      <c r="G29" s="244">
        <v>197.26</v>
      </c>
      <c r="H29" s="245">
        <f t="shared" si="0"/>
        <v>8.8991939935961106E-2</v>
      </c>
      <c r="J29" s="243">
        <v>44682</v>
      </c>
      <c r="K29" s="244">
        <v>4132.1499999999996</v>
      </c>
      <c r="L29" s="245">
        <f t="shared" si="1"/>
        <v>5.3243883608722342E-5</v>
      </c>
    </row>
    <row r="30" spans="3:14" ht="14.4" customHeight="1">
      <c r="C30" s="35" t="s">
        <v>271</v>
      </c>
      <c r="D30" s="262">
        <v>4.5600000000000002E-2</v>
      </c>
      <c r="F30" s="243">
        <v>44713</v>
      </c>
      <c r="G30" s="244">
        <v>167.16</v>
      </c>
      <c r="H30" s="245">
        <f t="shared" si="0"/>
        <v>-0.15259048970901345</v>
      </c>
      <c r="J30" s="243">
        <v>44713</v>
      </c>
      <c r="K30" s="244">
        <v>3785.38</v>
      </c>
      <c r="L30" s="245">
        <f t="shared" si="1"/>
        <v>-8.3919993223866451E-2</v>
      </c>
    </row>
    <row r="31" spans="3:14" ht="14.4" customHeight="1">
      <c r="C31" s="35" t="s">
        <v>272</v>
      </c>
      <c r="D31" s="251">
        <f>+L52</f>
        <v>1.8293232793925862</v>
      </c>
      <c r="F31" s="243">
        <v>44743</v>
      </c>
      <c r="G31" s="244">
        <v>211.72</v>
      </c>
      <c r="H31" s="245">
        <f t="shared" si="0"/>
        <v>0.26657094998803554</v>
      </c>
      <c r="J31" s="243">
        <v>44743</v>
      </c>
      <c r="K31" s="244">
        <v>4130.29</v>
      </c>
      <c r="L31" s="245">
        <f t="shared" si="1"/>
        <v>9.1116347632205885E-2</v>
      </c>
    </row>
    <row r="32" spans="3:14" ht="14.4" customHeight="1">
      <c r="F32" s="243">
        <v>44774</v>
      </c>
      <c r="G32" s="244">
        <v>183.76</v>
      </c>
      <c r="H32" s="245">
        <f t="shared" si="0"/>
        <v>-0.13206121292272821</v>
      </c>
      <c r="J32" s="243">
        <v>44774</v>
      </c>
      <c r="K32" s="244">
        <v>3955</v>
      </c>
      <c r="L32" s="245">
        <f t="shared" si="1"/>
        <v>-4.2440119216810457E-2</v>
      </c>
    </row>
    <row r="33" spans="3:12" ht="14.4" customHeight="1">
      <c r="C33" s="73" t="s">
        <v>273</v>
      </c>
      <c r="D33" s="250">
        <f>+D30+D31*D29</f>
        <v>0.12115105143891382</v>
      </c>
      <c r="F33" s="243">
        <v>44805</v>
      </c>
      <c r="G33" s="244">
        <v>164.78</v>
      </c>
      <c r="H33" s="245">
        <f t="shared" si="0"/>
        <v>-0.10328689595124074</v>
      </c>
      <c r="J33" s="243">
        <v>44805</v>
      </c>
      <c r="K33" s="244">
        <v>3585.62</v>
      </c>
      <c r="L33" s="245">
        <f t="shared" si="1"/>
        <v>-9.3395701643489315E-2</v>
      </c>
    </row>
    <row r="34" spans="3:12" ht="14.4" customHeight="1">
      <c r="F34" s="243">
        <v>44835</v>
      </c>
      <c r="G34" s="244">
        <v>170.14</v>
      </c>
      <c r="H34" s="245">
        <f t="shared" si="0"/>
        <v>3.252821944410722E-2</v>
      </c>
      <c r="J34" s="243">
        <v>44835</v>
      </c>
      <c r="K34" s="244">
        <v>3871.98</v>
      </c>
      <c r="L34" s="245">
        <f t="shared" si="1"/>
        <v>7.9863454576893256E-2</v>
      </c>
    </row>
    <row r="35" spans="3:12" ht="14.4" customHeight="1">
      <c r="C35" s="39" t="s">
        <v>274</v>
      </c>
      <c r="D35" s="39"/>
      <c r="F35" s="243">
        <v>44866</v>
      </c>
      <c r="G35" s="244">
        <v>154.08000000000001</v>
      </c>
      <c r="H35" s="245">
        <f t="shared" si="0"/>
        <v>-9.4392852944633732E-2</v>
      </c>
      <c r="J35" s="243">
        <v>44866</v>
      </c>
      <c r="K35" s="244">
        <v>4080.11</v>
      </c>
      <c r="L35" s="245">
        <f t="shared" si="1"/>
        <v>5.3752860293699856E-2</v>
      </c>
    </row>
    <row r="36" spans="3:12" ht="14.4" customHeight="1">
      <c r="C36" s="65"/>
      <c r="D36" s="65"/>
      <c r="F36" s="243">
        <v>44896</v>
      </c>
      <c r="G36" s="244">
        <v>156.49</v>
      </c>
      <c r="H36" s="245">
        <f t="shared" si="0"/>
        <v>1.5641225337486908E-2</v>
      </c>
      <c r="J36" s="243">
        <v>44896</v>
      </c>
      <c r="K36" s="244">
        <v>3839.5</v>
      </c>
      <c r="L36" s="245">
        <f t="shared" si="1"/>
        <v>-5.8971449299161094E-2</v>
      </c>
    </row>
    <row r="37" spans="3:12" ht="14.4" customHeight="1">
      <c r="F37" s="243">
        <v>44927</v>
      </c>
      <c r="G37" s="244">
        <v>200.06</v>
      </c>
      <c r="H37" s="245">
        <f t="shared" si="0"/>
        <v>0.2784203463480095</v>
      </c>
      <c r="J37" s="243">
        <v>44927</v>
      </c>
      <c r="K37" s="244">
        <v>4076.6</v>
      </c>
      <c r="L37" s="245">
        <f t="shared" si="1"/>
        <v>6.1752832400052027E-2</v>
      </c>
    </row>
    <row r="38" spans="3:12" ht="14.4" customHeight="1">
      <c r="C38" s="29" t="s">
        <v>266</v>
      </c>
      <c r="D38" s="247">
        <f>+'Financial Statement Model'!F258+'Financial Statement Model'!F259+'Financial Statement Model'!F271+'Financial Statement Model'!F297+'Financial Statement Model'!F300</f>
        <v>1426134</v>
      </c>
      <c r="F38" s="243">
        <v>44958</v>
      </c>
      <c r="G38" s="244">
        <v>207.59</v>
      </c>
      <c r="H38" s="245">
        <f t="shared" si="0"/>
        <v>3.7638708387483844E-2</v>
      </c>
      <c r="J38" s="243">
        <v>44958</v>
      </c>
      <c r="K38" s="244">
        <v>3970.15</v>
      </c>
      <c r="L38" s="245">
        <f t="shared" si="1"/>
        <v>-2.6112446646715304E-2</v>
      </c>
    </row>
    <row r="39" spans="3:12" ht="14.4" customHeight="1">
      <c r="C39" s="35" t="s">
        <v>275</v>
      </c>
      <c r="D39" s="249">
        <f>+D38/(D38+D40)</f>
        <v>9.5363525040976324E-2</v>
      </c>
      <c r="F39" s="243">
        <v>44986</v>
      </c>
      <c r="G39" s="244">
        <v>208.14</v>
      </c>
      <c r="H39" s="245">
        <f t="shared" si="0"/>
        <v>2.6494532491929679E-3</v>
      </c>
      <c r="J39" s="243">
        <v>44986</v>
      </c>
      <c r="K39" s="244">
        <v>4109.3100000000004</v>
      </c>
      <c r="L39" s="245">
        <f t="shared" si="1"/>
        <v>3.5051572358727023E-2</v>
      </c>
    </row>
    <row r="40" spans="3:12" ht="14.4" customHeight="1">
      <c r="C40" s="29" t="s">
        <v>276</v>
      </c>
      <c r="D40" s="193">
        <f>+D9*J6</f>
        <v>13528577.451649999</v>
      </c>
      <c r="F40" s="243">
        <v>45017</v>
      </c>
      <c r="G40" s="244">
        <v>225.48</v>
      </c>
      <c r="H40" s="245">
        <f t="shared" si="0"/>
        <v>8.3309311040645762E-2</v>
      </c>
      <c r="J40" s="243">
        <v>45017</v>
      </c>
      <c r="K40" s="244">
        <v>4169.4799999999996</v>
      </c>
      <c r="L40" s="245">
        <f t="shared" si="1"/>
        <v>1.464236088297044E-2</v>
      </c>
    </row>
    <row r="41" spans="3:12" ht="14.4" customHeight="1">
      <c r="C41" s="35" t="s">
        <v>275</v>
      </c>
      <c r="D41" s="249">
        <f>+D40/(D38+D40)</f>
        <v>0.90463647495902366</v>
      </c>
      <c r="F41" s="243">
        <v>45047</v>
      </c>
      <c r="G41" s="244">
        <v>201.66</v>
      </c>
      <c r="H41" s="245">
        <f t="shared" si="0"/>
        <v>-0.10564129856306548</v>
      </c>
      <c r="J41" s="243">
        <v>45047</v>
      </c>
      <c r="K41" s="244">
        <v>4179.83</v>
      </c>
      <c r="L41" s="245">
        <f t="shared" si="1"/>
        <v>2.4823239348792381E-3</v>
      </c>
    </row>
    <row r="42" spans="3:12" ht="14.4" customHeight="1">
      <c r="D42" s="64"/>
      <c r="F42" s="243">
        <v>45078</v>
      </c>
      <c r="G42" s="244">
        <v>266.02</v>
      </c>
      <c r="H42" s="245">
        <f t="shared" si="0"/>
        <v>0.31915104631558067</v>
      </c>
      <c r="J42" s="243">
        <v>45078</v>
      </c>
      <c r="K42" s="244">
        <v>4450.38</v>
      </c>
      <c r="L42" s="245">
        <f t="shared" si="1"/>
        <v>6.4727512841431301E-2</v>
      </c>
    </row>
    <row r="43" spans="3:12" ht="14.4" customHeight="1">
      <c r="C43" s="73" t="s">
        <v>277</v>
      </c>
      <c r="D43" s="250">
        <f>D39*D24+D41*D33</f>
        <v>0.11325885865021966</v>
      </c>
      <c r="F43" s="243">
        <v>45108</v>
      </c>
      <c r="G43" s="244">
        <v>273.93</v>
      </c>
      <c r="H43" s="245">
        <f t="shared" si="0"/>
        <v>2.9734606420569909E-2</v>
      </c>
      <c r="J43" s="243">
        <v>45108</v>
      </c>
      <c r="K43" s="244">
        <v>4588.96</v>
      </c>
      <c r="L43" s="245">
        <f t="shared" si="1"/>
        <v>3.1138913980379268E-2</v>
      </c>
    </row>
    <row r="44" spans="3:12" ht="14.4" customHeight="1">
      <c r="F44" s="243">
        <v>45139</v>
      </c>
      <c r="G44" s="244">
        <v>290.08</v>
      </c>
      <c r="H44" s="245">
        <f t="shared" si="0"/>
        <v>5.8956667761836945E-2</v>
      </c>
      <c r="J44" s="243">
        <v>45139</v>
      </c>
      <c r="K44" s="244">
        <v>4507.66</v>
      </c>
      <c r="L44" s="245">
        <f t="shared" si="1"/>
        <v>-1.771643248143373E-2</v>
      </c>
    </row>
    <row r="45" spans="3:12" ht="14.4" customHeight="1">
      <c r="F45" s="243">
        <v>45170</v>
      </c>
      <c r="G45" s="244">
        <v>251.6</v>
      </c>
      <c r="H45" s="245">
        <f t="shared" si="0"/>
        <v>-0.13265306122448972</v>
      </c>
      <c r="J45" s="243">
        <v>45170</v>
      </c>
      <c r="K45" s="244">
        <v>4288.05</v>
      </c>
      <c r="L45" s="245">
        <f t="shared" si="1"/>
        <v>-4.871929116215501E-2</v>
      </c>
    </row>
    <row r="46" spans="3:12" ht="14.4" customHeight="1">
      <c r="F46" s="243">
        <v>45200</v>
      </c>
      <c r="G46" s="244">
        <v>228.76</v>
      </c>
      <c r="H46" s="245">
        <f t="shared" si="0"/>
        <v>-9.0779014308426054E-2</v>
      </c>
      <c r="J46" s="243">
        <v>45200</v>
      </c>
      <c r="K46" s="244">
        <v>4193.8</v>
      </c>
      <c r="L46" s="245">
        <f t="shared" si="1"/>
        <v>-2.1979687736850106E-2</v>
      </c>
    </row>
    <row r="47" spans="3:12" ht="14.4" customHeight="1">
      <c r="F47" s="243">
        <v>45231</v>
      </c>
      <c r="G47" s="244">
        <v>295.77999999999997</v>
      </c>
      <c r="H47" s="245">
        <f t="shared" si="0"/>
        <v>0.29297079909074997</v>
      </c>
      <c r="J47" s="243">
        <v>45231</v>
      </c>
      <c r="K47" s="244">
        <v>4567.8</v>
      </c>
      <c r="L47" s="245">
        <f t="shared" si="1"/>
        <v>8.9179264628737709E-2</v>
      </c>
    </row>
    <row r="48" spans="3:12" ht="14.4" customHeight="1">
      <c r="F48" s="243">
        <v>45261</v>
      </c>
      <c r="G48" s="244">
        <v>374.26</v>
      </c>
      <c r="H48" s="245">
        <f t="shared" si="0"/>
        <v>0.26533234160524732</v>
      </c>
      <c r="J48" s="243">
        <v>45261</v>
      </c>
      <c r="K48" s="244">
        <v>4769.83</v>
      </c>
      <c r="L48" s="245">
        <f t="shared" si="1"/>
        <v>4.4229169403213753E-2</v>
      </c>
    </row>
    <row r="49" spans="6:12" ht="14.4" customHeight="1">
      <c r="F49" s="243">
        <v>45292</v>
      </c>
      <c r="G49" s="244">
        <v>369.13</v>
      </c>
      <c r="H49" s="245">
        <f t="shared" si="0"/>
        <v>-1.3707048575856362E-2</v>
      </c>
      <c r="J49" s="243">
        <v>45292</v>
      </c>
      <c r="K49" s="244">
        <v>4845.6499999999996</v>
      </c>
      <c r="L49" s="245">
        <f t="shared" si="1"/>
        <v>1.5895744712075555E-2</v>
      </c>
    </row>
    <row r="50" spans="6:12" ht="14.4" customHeight="1">
      <c r="F50" s="243">
        <v>45323</v>
      </c>
      <c r="G50" s="244">
        <v>402.38</v>
      </c>
      <c r="H50" s="245">
        <f t="shared" si="0"/>
        <v>9.0076666756969015E-2</v>
      </c>
      <c r="J50" s="243">
        <v>45323</v>
      </c>
      <c r="K50" s="244">
        <v>5096.2700000000004</v>
      </c>
      <c r="L50" s="245">
        <f t="shared" si="1"/>
        <v>5.1720615397315317E-2</v>
      </c>
    </row>
    <row r="51" spans="6:12" ht="14.4" customHeight="1">
      <c r="F51" s="243">
        <v>45352</v>
      </c>
      <c r="G51" s="244">
        <v>440.73</v>
      </c>
      <c r="H51" s="245">
        <f t="shared" si="0"/>
        <v>9.5307917888563187E-2</v>
      </c>
      <c r="J51" s="243">
        <v>45352</v>
      </c>
      <c r="K51" s="244">
        <v>5254.35</v>
      </c>
      <c r="L51" s="245">
        <f t="shared" si="1"/>
        <v>3.1018764704381807E-2</v>
      </c>
    </row>
    <row r="52" spans="6:12" ht="14.4" customHeight="1">
      <c r="F52" s="78"/>
      <c r="G52" s="78"/>
      <c r="H52" s="78"/>
      <c r="I52" s="78"/>
      <c r="J52" s="78"/>
      <c r="K52" s="79" t="s">
        <v>278</v>
      </c>
      <c r="L52" s="246">
        <f>+SLOPE(H17:H51,L17:L51)</f>
        <v>1.8293232793925862</v>
      </c>
    </row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4AF14EF786EB4E802C5062DBE61414" ma:contentTypeVersion="3" ma:contentTypeDescription="Create a new document." ma:contentTypeScope="" ma:versionID="0dda64a207fdb4b7736dfdf5870d1692">
  <xsd:schema xmlns:xsd="http://www.w3.org/2001/XMLSchema" xmlns:xs="http://www.w3.org/2001/XMLSchema" xmlns:p="http://schemas.microsoft.com/office/2006/metadata/properties" xmlns:ns2="41c67050-7972-4591-ac00-42caa329804c" targetNamespace="http://schemas.microsoft.com/office/2006/metadata/properties" ma:root="true" ma:fieldsID="bfb5b47c9361e9c88839163a693bef6e" ns2:_="">
    <xsd:import namespace="41c67050-7972-4591-ac00-42caa32980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67050-7972-4591-ac00-42caa3298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FdsFormulaCache xmlns="urn:fdsformulacache" version="1" timestamp="1774985313092"><![CDATA[{"CDNS^FF_SALES(ANN_R,12/31/2021,,,,,T)":[[2988244]],"CDNS^FF_SALES(ANN_R,12/31/2022,,,,,T)":[[3561718]],"CDNS^FF_SALES(ANN_R,12/31/2023,,,,,T)":[[4089986]],"CDNS-US^FF_COGS(ANN_R,12/31/2021,,,,,T)":[[326646]],"CDNS-US^FF_COGS(ANN_R,12/31/2022,,,,,T)":[[390093]],"CDNS-US^FF_COGS(ANN_R,12/31/2023,,,,,T)":[[453203]],"CDNS-US^FF_GROSS_INC(ANN_R,12/31/2021,,,,,T)":[[2661598]],"CDNS-US^FF_GROSS_INC(ANN_R,12/31/2022,,,,,T)":[[3171625]],"CDNS-US^FF_GROSS_INC(ANN_R,12/31/2023,,,,,T)":[[3636783]],"CDNS-US^FF_RD_EXP(ANN_R,12/31/2021,,,,,T)":[[1134277]],"CDNS-US^FF_RD_EXP(ANN_R,12/31/2022,,,,,T)":[[1251544]],"CDNS-US^FF_RD_EXP(ANN_R,12/31/2023,,,,,T)":[[1441796]],"CDNS-US^FF_SGA(ANN_R,12/31/2021,,,,,T)":[[1883557]],"CDNS-US^FF_SGA(ANN_R,12/31/2022,,,,,T)":[[2097884]],"CDNS-US^FF_SGA(ANN_R,12/31/2023,,,,,T)":[[2362445]],"CDNS-US^FF_ARPT_SERIES(\"RV\",ANN,12/31/2021,,M,\"IS\")":[[2988.244]],"CDNS-US^FF_OPER_EXP_OTH(ANN_R,12/31/2021,,,,,T)":[[0]],"CDNS-US^FF_OPER_EXP_OTH(ANN_R,12/31/2022,,,,,T)":[[0]],"CDNS-US^FF_OPER_EXP_OTH(ANN_R,12/31/2023,,,,,T)":[[0]],"CDNS-US^FF_EBIT_OPER(ANN_R,12/31/2021,,,,,T)":[[778041]],"CDNS-US^FF_EBIT_OPER(ANN_R,12/31/2022,,,,,T)":[[1073741]],"CDNS-US^FF_EBIT_OPER(ANN_R,12/31/2023,,,,,T)":[[1274338]],"CDNS-US^FF_INT_EXP_NET(ANN_R,12/31/2021,,,,,T)":[[16980]],"CDNS-US^FF_INT_EXP_NET(ANN_R,12/31/2022,,,,,T)":[[22934]],"CDNS-US^FF_INT_EXP_NET(ANN_R,12/31/2023,,,,,T)":[[36185]],"CDNS-US^FF_NON_OPER_INC(ANN_R,12/31/2021,,,,,T)":[[6326]],"CDNS-US^FF_NON_OPER_INC(ANN_R,12/31/2022,,,,,T)":[[-5389]],"CDNS-US^FF_NON_OPER_INC(ANN_R,12/31/2023,,,,,T)":[[56035]],"CDNS-US^FF_UNUSUAL_EXP(ANN_R,12/31/2021,,,,,T)":[[-1048]],"CDNS-US^FF_UNUSUAL_EXP(ANN_R,12/31/2022,,,,,T)":[[55]],"CDNS-US^FF_UNUSUAL_EXP(ANN_R,12/31/2023,,,,,T)":[[12262]],"CDNS-US^FF_PTX_INC(ANN_R,12/31/2021,,,,,T)":[[768435]],"CDNS-US^FF_PTX_INC(ANN_R,12/31/2022,,,,,T)":[[1045363]],"CDNS-US^FF_PTX_INC(ANN_R,12/31/2023,,,,,T)":[[1281926]],"CDNS-US^FF_INC_TAX(ANN_R,12/31/2021,,,,,T)":[[72480]],"CDNS-US^FF_INC_TAX(ANN_R,12/31/2022,,,,,T)":[[196411]],"CDNS-US^FF_INC_TAX(ANN_R,12/31/2023,,,,,T)":[[240782]],"CDNS-US^FF_EQ_AFF_INC(ANN_R,12/31/2021)":[["@NA"]],"CDNS-US^FF_EQ_AFF_INC(ANN_R,12/31/2022)":[["@NA"]],"CDNS-US^FF_EQ_AFF_INC(ANN_R,12/31/2023)":[["@NA"]],"CDNS-US^FF_NET_INC(ANN_R,12/31/2021,,,,,T)":[[695955]],"CDNS-US^FF_NET_INC(ANN_R,12/31/2022,,,,,T)":[[848952]],"CDNS-US^FF_NET_INC(ANN_R,12/31/2023,,,,,T)":[[1041144]],"CDNS-US^FF_NET_INC_BASIC(ANN_R,12/31/2021,,,,,T)":[[695955]],"CDNS-US^FF_NET_INC_BASIC(ANN_R,12/31/2022,,,,,T)":[[848952]],"CDNS-US^FF_NET_INC_BASIC(ANN_R,12/31/2023,,,,,T)":[[1041144]],"CDNS-US^FF_DEP_AMORT_EXP(ANN_R,12/31/2021,,,,,T)":[[142308]],"CDNS-US^FF_DEP_AMORT_EXP(ANN_R,12/31/2022,,,,,T)":[[132088]],"CDNS-US^FF_DEP_AMORT_EXP(ANN_R,12/31/2023,,,,,T)":[[140370]],"CDNS-US^FF_EBITDA_OPER(ANN_R,12/31/2021,,,,,T)":[[920349]],"CDNS-US^FF_EBITDA_OPER(ANN_R,12/31/2022,,,,,T)":[[1205829]],"CDNS-US^FF_EBITDA_OPER(ANN_R,12/31/2023,,,,,T)":[[1414708]],"CDNS-US^FF_STK_OPT_CF(ANN_R,12/31/2021,,,,,T,\"D=1\")":[[210090]],"CDNS-US^FF_STK_OPT_CF(ANN_R,12/31/2022,,,,,T,\"D=1\")":[[270439]],"CDNS-US^FF_STK_OPT_CF(ANN_R,12/31/2023,,,,,T,\"D=1\")":[[325611]],"CDNS-US^FF_CASH_ST(ANN_R,12/31/2021,,,,,T)":[[1088940]],"CDNS-US^FF_CASH_ST(ANN_R,12/31/2022,,,,,T)":[[882325]],"CDNS-US^FF_CASH_ST(ANN_R,12/31/2023,,,,,T)":[[1138511]],"CDNS-US^FF_ARPT_SERIES(\"RECEIVABLES NET\",ANN,12/31/2021,,T,\"BS\")":[[337596]],"CDNS-US^FF_ARPT_SERIES(\"RECEIVABLES NET\",ANN,12/31/2022,,T,\"BS\")":[[486710]],"CDNS-US^FF_ARPT_SERIES(\"RECEIVABLES NET\",ANN,12/31/2023,,T,\"BS\")":[[489224]],"CDNS-US^FF_ARPT_KEYS(\"BS\")":[["TA"],["TOTAL CURRENT ASSETS"],["CASH AND CASH EQUIVALENTS"],["RECEIVABLES NET"],["INVENTORIES"],["2015 NOTES HEDGES"],["PREPAID EXPENSES AND OTHER"],["SHORT-TERM INVESTMENTS"],["PREPAID EXPENSES AND OTHER EXCLUDING SHORT-TERM INVESTMENTS"],["PROPERTY PLANT AND EQUIPMENT NET OF ACCUMULATED DEPRECIATION"],["GOODWILL"],["ACQUIRED INTANGIBLES NET OF ACCUMULATED AMORTIZATION"],["LONG-TERM RECEIVABLES"],["DEFERRED TAXES"],["OTHER ASSETS"],["2015 NOTES HEDGES2"],["OTHER ASSETS EXCLUDING 2015 NOTES HEDGES"],["LE"],["TOTAL CURRENT LIABILITIES"],["REVOLVING CREDIT FACILITY"],["CONVERTIBLE NOTES"],["CURRENT PORTION OF LONG-TERM DEBT"],["2015 NOTES EMBEDDED CONVERSION DERIVATIVE"],["ACCOUNTS PAYABLE AND ACCRUED LIABILITIES"],["CURRENT PORTION OF DEFERRED REVENUE"],["TOTAL LONG-TERM LIABILITIES"],["LONG-TERM PORTION OF DEFERRED REVENUE"],["CONVERTIBLE NOTES2"],["LONG-TERM DEBT"],["OTHER LONG-TERM LIABILITIES"],["2015 NOTES EMBEDDED CONVERSION DERIVATIVE2"],["OTHER LONG-TERM LIABILITIES EXCLUDING 2015 NOTES EMBEDDED CONVERSION DERIVATIVE"],["TOTAL STOCKHOLDERS EQUITY"],["PREFERRED STOCK"],["COMMON STOCK"],["TREASURY STOCK AT COST"],["DEFERRED STOCK COMPENSATION"],["ACCUMULATED DEFICIT / RETAINED EARNINGS"],["ACCUMULATED OTHER COMPREHENSIVE LOSS / INCOME"]],"CDNS-US^FF_ARPT_SERIES(\"PREPAID EXPENSES AND OTHER\",ANN,12/31/2021,,T,\"BS\")":[[173512]],"CDNS-US^FF_ARPT_SERIES(\"PREPAID EXPENSES AND OTHER\",ANN,12/31/2022,,T,\"BS\")":[[209727]],"CDNS-US^FF_ARPT_SERIES(\"PREPAID EXPENSES AND OTHER\",ANN,12/31/2023,,T,\"BS\")":[[297180]],"CDNS-US^FF_INVEN(ANN_R,12/31/2021,,,,,T)":[[115721]],"CDNS-US^FF_INVEN(ANN_R,12/31/2022,,,,,T)":[[128005]],"CDNS-US^FF_INVEN(ANN_R,12/31/2023,,,,,T)":[[181661]],"CDNS-US^FF_GW(ANN_R,12/31/2021,,,,,T)":[[928358]],"CDNS-US^FF_GW(ANN_R,12/31/2022,,,,,T)":[[1374268]],"CDNS-US^FF_GW(ANN_R,12/31/2023,,,,,T)":[[1535845]],"CDNS-US^FF_ARPT_SERIES(\"PROPERTY PLANT AND EQUIPMENT NET OF ACCUMULATED DEPRECIATION\",ANN,12/31/2021,,T,\"BS\")":[[305911]],"CDNS-US^FF_ARPT_SERIES(\"PROPERTY PLANT AND EQUIPMENT NET OF ACCUMULATED DEPRECIATION\",ANN,12/31/2022,,T,\"BS\")":[[371451]],"CDNS-US^FF_ARPT_SERIES(\"PROPERTY PLANT AND EQUIPMENT NET OF ACCUMULATED DEPRECIATION\",ANN,12/31/2023,,T,\"BS\")":[[403213]],"CDNS-US^FF_ARPT_SERIES(\"OTHER ASSETS\",ANN,12/31/2021,,T,\"BS\")":[[439226]],"CDNS-US^FF_ASSETS(ANN_R,12/31/2021,,,,,T)":[[4386299]],"CDNS-US^FF_ARPT_SERIES(\"ACQUIRED INTANGIBLES NET OF ACCUMULATED AMORTIZATION\",ANN,12/31/2021,,T,\"BS\")":[[233265]],"CDNS-US^FF_ARPT_SERIES(\"DEFERRED TAXES\",ANN,12/31/2021,,T,\"BS\")":[[763770]],"CDNS-US^FF_ARPT_SERIES(\"OTHER ASSETS\",ANN,12/31/2022,,T,\"BS\")":[[476277]],"CDNS-US^FF_ARPT_SERIES(\"ACQUIRED INTANGIBLES NET OF ACCUMULATED AMORTIZATION\",ANN,12/31/2022,,T,\"BS\")":[[354617]],"CDNS-US^FF_ARPT_SERIES(\"DEFERRED TAXES\",ANN,12/31/2022,,T,\"BS\")":[[853691]],"CDNS-US^FF_ARPT_SERIES(\"OTHER ASSETS\",ANN,12/31/2023,,T,\"BS\")":[[537372]],"CDNS-US^FF_ARPT_SERIES(\"ACQUIRED INTANGIBLES NET OF ACCUMULATED AMORTIZATION\",ANN,12/31/2023,,T,\"BS\")":[[336843]],"CDNS-US^FF_ARPT_SERIES(\"DEFERRED TAXES\",ANN,12/31/2023,,T,\"BS\")":[[880001]],"CDNS-US^FF_ASSETS(ANN_R,12/31/2022,,,,,T)":[[5137071]],"CDNS-US^FF_ASSETS(ANN_R,12/31/2023,,,,,T)":[[5669491]],"CDNS-US^FF_DEBT_REVOLV_SECURE_CURR(ANN,12/31/2021)":[["@NA"]],"CDNS-US^SHORT-FF_DEBT_REVOLV_SECURE_CURR(ANN,12/31/2021)":[["@NA"]],"CDNS-US^FF_DEBT_REVOLV_SECURE_CURR(ANN,12/31/2022)":[["@NA"]],"CDNS-US^SHORT-FF_DEBT_REVOLV_SECURE_CURR(ANN,12/31/2022)":[["@NA"]],"CDNS-US^FF_ARPT_SERIES(\"REVOLVING CREDIT FACILITY\",ANN,12/31/2021,,T,\"BS\")":[["@NA"]],"CDNS-US^FF_ARPT_SERIES(\"REVOLVING CREDIT FACILITY\",ANN,12/31/2022,,T,\"BS\")":[[100000]],"CDNS-US^FF_ARPT_SERIES(\"REVOLVING CREDIT FACILITY\",ANN,12/31/2023,,T,\"BS\")":[[0]],"CDNS-US^FF_PAY_ACCT(ANN_R,12/31/2021,,,,,T)":[[0]],"CDNS-US^FF_ARPT_SERIES(\"ACCOUNTS PAYABLE AND ACCRUED LIABILITIES\",ANN,12/31/2021,,T,\"BS\")":[[417283]],"CDNS-US^FF_ARPT_SERIES(\"ACCOUNTS PAYABLE AND ACCRUED LIABILITIES\",ANN,12/31/2023,,T,\"BS\")":[[576558]],"CDNS-US^FF_ARPT_SERIES(\"ACCOUNTS PAYABLE AND ACCRUED LIABILITIES\",ANN,12/31/2022,,T,\"BS\")":[[557158]],"CDNS-US^FE_ACTUAL(ACTUAL,DEFREVENUE_ST,ANN_ROLL,2021,,,,'')":[[604.45]],"CDNS-US^FF_ARPT_SERIES(\"CURRENT PORTION OF DEFERRED REVENUE\",ANN,12/31/2021,,T,\"BS\")":[[553942]],"CDNS-US^FF_ARPT_SERIES(\"CURRENT PORTION OF DEFERRED REVENUE\",ANN,12/31/2022,,T,\"BS\")":[[690538]],"CDNS-US^FF_ARPT_SERIES(\"CURRENT PORTION OF DEFERRED REVENUE\",ANN,12/31/2023,,T,\"BS\")":[[665024]],"CDNS-US^FF_ARPT_SERIES(\"CURRENT PORTION OF LONG-TERM DEBT\",ANN,12/31/2021,,T,\"BS\")":[["@NA"]],"CDNS-US^FF_ARPT_SERIES(\"CURRENT PORTION OF LONG-TERM DEBT\",ANN,12/31/2022,,T,\"BS\")":[["@NA"]],"CDNS-US^FF_ARPT_SERIES(\"CURRENT PORTION OF LONG-TERM DEBT\",ANN,12/31/2023,,T,\"BS\")":[[349285]],"CDNS-US^FF_ARPT_SERIES(\"OTHER LONG-TERM LIABILITIES\",ANN,12/31/2021,,T,\"BS\")":[[225663]],"CDNS-US^FF_ARPT_SERIES(\"OTHER LONG-TERM LIABILITIES\",ANN,12/31/2022,,T,\"BS\")":[[304660]],"CDNS-US^FF_ARPT_SERIES(\"OTHER LONG-TERM LIABILITIES\",ANN,12/31/2023,,T,\"BS\")":[[275651]],"CDNS-US^FF_LIABS_CURR_OTH(ANN_R,12/31/2021)":[[945.954]],"CDNS-US^FF_LIABS_CURR_OTH(ANN_R,12/31/2021,,,,,T)":[[945954]],"CDNS-US^FF_ARPT_SERIES(\"LONG-TERM PORTION OF DEFERRED REVENUE\",ANN,12/31/2023,,T,\"BS\")":[[98931]],"CDNS-US^FF_ARPT_SERIES(\"LONG-TERM PORTION OF DEFERRED REVENUE\",ANN,12/31/2021,,T,\"BS\")":[[101148]],"CDNS-US^FF_ARPT_SERIES(\"LONG-TERM PORTION OF DEFERRED REVENUE\",ANN,12/31/2022,,T,\"BS\")":[[91524]],"CDNS-US^FF_ARPT_SERIES(\"LONG-TERM DEBT\",ANN,12/31/2021,,T,\"BS\")":[[347588]],"CDNS-US^FF_ARPT_SERIES(\"LONG-TERM DEBT\",ANN,12/31/2022,,T,\"BS\")":[[648078]],"CDNS-US^FF_ARPT_SERIES(\"LONG-TERM DEBT\",ANN,12/31/2023,,T,\"BS\")":[[299771]],"CDNS-US^FF_LIABS(ANN_R,12/31/2021,,,,,T)":[[1645624]],"CDNS-US^FF_LIABS(ANN_R,12/31/2022,,,,,T)":[[2391958]],"CDNS-US^FF_LIABS(ANN_R,12/31/2023,,,,,T)":[[2265220]],"CDNS-US^FF_ARPT_SERIES(\"COMMON STOCK\",ANN,12/31/2021,,T,\"BS\")":[[2467701]],"CDNS-US^FF_ARPT_SERIES(\"TREASURY STOCK AT COST\",ANN,12/31/2021,,T,\"BS\")":[[-2740003]],"CDNS-US^FF_ARPT_SERIES(\"COMMON STOCK\",ANN,12/31/2022,,T,\"BS\")":[["@NA"]],"CDNS-US^FF_ARPT_SERIES(\"COMMON STOCK\",ANN,12/31/2023,,T,\"BS\")":[[3166964]],"CDNS-US^FF_ARPT_SERIES(\"TREASURY STOCK AT COST\",ANN,12/31/2023,,T,\"BS\")":[[-4604323]],"CDNS-US^FF_ARPT_SERIES(\"TREASURY STOCK AT COST\",ANN,12/31/2022,,T,\"BS\")":[["@NA"]],"CDNS-US^FF_ARPT_SERIES(\"DEFERRED STOCK COMPENSATION\",ANN,12/31/2021,,T,\"BS\")":[["@NA"]],"CDNS-US^FF_ARPT_SERIES(\"DEFERRED STOCK COMPENSATION\",ANN,12/31/2023,,T,\"BS\")":[["@NA"]],"CDNS-US^FF_ARPT_SERIES(\"DEFERRED STOCK COMPENSATION\",ANN,12/31/2022,,T,\"BS\")":[["@NA"]],"CDNS-US^FF_TREAS_STK(ANN_R,12/31/2022,,,,,T)":[[3824163]],"CDNS-US^FF_COM_EQ_PAR(ANN_R,12/31/2021,,,,,T)":[[2467701]],"CDNS-US^FF_ARPT_SERIES(\"TREASURY STOCK AT COST\",ANN,12/31/2022,,T,\"BS\"":[["#NUM!"]],"CDNS-US^FF_COM_EQ_PAR(ANN_R,12/31/2022,,,,,T)":[[2765673]],"CDNS-US^FF_TREAS_STK(ANN_R,12/31/2021,,,,,T)":[[2740003]],"CDNS-US^FF_COM_EQ_PAR(ANN_R,12/31/2023,,,,,T)":[[3166964]],"CDNS-US^FF_TREAS_STK(ANN_R,12/31/2023,,,,,T)":[[4604323]],"CDNS-US^FF_COM_EQ_RETAIN_EARN(ANN_R,12/31/2021,,,,,T)":[[3046288]],"CDNS-US^FF_COM_EQ_RETAIN_EARN(ANN_R,12/31/2022,,,,,T)":[[3895240]],"CDNS-US^FF_COM_EQ_RETAIN_EARN(ANN_R,12/31/2023,,,,,T)":[[4936384]],"CDNS-US^FF_ARPT_SERIES(\"ACCUMULATED OTHER COMPREHENSIVE LOSS / INCOME\",ANN,12/31/2021,,T,\"BS\")":[[-33311]],"CDNS-US^FF_ARPT_SERIES(\"ACCUMULATED OTHER COMPREHENSIVE LOSS / INCOME\",ANN,12/31/2023,,T,\"BS\")":[[-94754]],"CDNS-US^FF_ARPT_SERIES(\"ACCUMULATED OTHER COMPREHENSIVE LOSS / INCOME\",ANN,12/31/2022,,T,\"BS\")":[["@NA"]],"CDNS-US^FF_ARPT_SERIES('ACCUMULATED OTHER COMPREHENSIVE LOSS / INCOME',ANN,12/31/2022,,T,\"BS\")":[["@NA"]],"CDNS-US^FF_ARPT_SERIES('ACCUMULATED OTHER COMPREHENSIVE LOSS / INCOME',ANN,2022,,T,\"BS\")":[["@NA"]],"CDNS-US^FF_ARPT_SERIES('ACCUMULATED OTHER COMPREHENSIVE LOSS / INCOME','ANN_R','0','-9','M','BS')@0":[[-1.805],[-190.448],[-94.754],[-91.637],[-33.311],[-17.425],[-36.926],[-24.78],[-3.63],[-25.16]],"CDNS^FF_ARPT_SERIES('ACCUMULATED OTHER COMPREHENSIVE LOSS / INCOME','ANN_R','0','-9','M','BS')@0":[[-1.805],[-190.448],[-94.754],[-91.637],[-33.311],[-17.425],[-36.926],[-24.78],[-3.63],[-25.16]],"CDNS^FF_ARPT_SERIES('ACCUMULATED OTHER COMPREHENSIVE LOSS / INCOME','ANN_R','0','-9','T','BS')@0":[[-1805],[-190448],[-94754],[-91637],[-33311],[-17425],[-36926],[-24780],[-3630],[-25160]],"CDNS^FF_ARPT('ACCUMULATED OTHER COMPREHENSIVE LOSS / INCOME','ANN_R','2022','','','BS')":[["#NUM!"]],"CDNS^FF_ARPT_SERIES('ACCUMULATED OTHER COMPREHENSIVE LOSS / INCOME','ANN_R','2022','2022','T','BS')@0":[[-91637]],"CDNS-US^FF_ARPT_SERIES(\"ACCUMULATED OTHER COMPREHENSIVE LOSS / INCOME\",ANN,12/31/2022,12/31/2022,T,\"BS\")":[["@NA"]],"CDNS-US^FF_ARPT_SERIES(\"ACCUMULATED OTHER COMPREHENSIVE LOSS / INCOME\",ANN,2022,,T,\"BS\")":[["@NA"]],"CDNS^FF_ARPT_SERIES('ACCUMULATED OTHER COMPREHENSIVE LOSS / INCOME','ANN_R','2021','2021','T','BS')@0":[[-33311]],"CDNS^FF_ARPT_SERIES('ACCUMULATED OTHER COMPREHENSIVE LOSS / INCOME','ANN_R','2023','2023','T','BS')@0":[[-94754]],"CDNS-US^FF_SHLDRS_EQ(ANN_R,12/31/2021,,,,,T)":[[2740675]],"CDNS-US^FF_SHLDRS_EQ(ANN_R,12/31/2022,,,,,T)":[[2745113]],"CDNS-US^FF_SHLDRS_EQ(ANN_R,12/31/2023,,,,,T)":[[3404271]],"CDNS-US^FF_EQ_TOT(ANN_R,12/31/2021,,,,,T)":[[2740675]],"CDNS-US^FF_EQ_TOT(ANN_R,12/31/2023,,,,,T)":[[3404271]],"CDNS-US^FF_EQ_TOT(ANN_R,12/31/2022,,,,,T)":[[2745113]],"CDNS-US^FF_LIABS_SHLDRS_EQ(ANN_R,12/31/2021,,,,,T)":[[4386299]],"CDNS-US^FF_LIABS_SHLDRS_EQ(ANN_R,12/31/2023,,,,,T)":[[5669491]],"CDNS-US^FF_LIABS_SHLDRS_EQ(ANN_R,12/31/2022,,,,,T)":[[5137071]],"CDNS-US^FF_ARPT_SERIES(\"CASH AND CASH EQUIVALENTS\",ANN,12/31/2023,,T,\"BS\")":[[1008152]],"CDNS-US^FF_ARPT_SERIES(\"CASH AND CASH EQUIVALENTS\",ANN,12/31/2021,,T,\"BS\")":[[1088940]],"CDNS-US^FF_ARPT_SERIES(\"CASH AND CASH EQUIVALENTS\",ANN,12/31/2022,,T,\"BS\")":[[882325]],"CDNS-US^FF_ARPT_SERIES(\"INVENTORIES\",ANN,12/31/2023,,T,\"BS\")":[[181661]],"CDNS-US^FF_ARPT_SERIES(\"INVENTORIES\",ANN,12/31/2021,,T,\"BS\")":[[115721]],"CDNS-US^FF_ARPT_SERIES(\"INVENTORIES\",ANN,12/31/2022,,T,\"BS\")":[[128005]],"CDNS-US^FF_ARPT_SERIES(\"GOODWILL\",ANN,12/31/2022,,T,\"BS\")":[[1374268]],"CDNS-US^FF_ARPT_SERIES(\"GOODWILL\",ANN,12/31/2023,,T,\"BS\")":[[1535845]],"CDNS-US^FF_ARPT_SERIES(\"GOODWILL\",ANN,12/31/2021,,T,\"BS\")":[[928358]],"CDNS^FF_ARPT_SERIES('ACCUMULATED DEFICIT / RETAINED EARNINGS','ANN_R','2021','2021','T','BS')@0":[[3046288]],"CDNS-US^FF_ARPT_SERIES(\"ACCUMULATED DEFICIT / RETAINED EARNINGS\",ANN,12/31/2022,,T,\"BS\")":[["@NA"]],"CDNS-US^FF_ARPT_SERIES(\"ACCUMULATED DEFICIT / RETAINED EARNINGS\",ANN,12/31/2023,,T,\"BS\")":[[4936384]],"CDNS-US^FF_ARPT_SERIES(\"ACCUMULATED DEFICIT / RETAINED EARNINGS\",ANN,12/31/2021,,T,\"BS\")":[[3046288]],"CDNS^FF_ARPT_SERIES('ACCUMULATED DEFICIT / RETAINED EARNINGS','ANN_R','2023','2023','T','BS')@0":[[4936384]],"CDNS^FF_ARPT_SERIES('ACCUMULATED DEFICIT / RETAINED EARNINGS','ANN_R','2022','2022','T','BS')@0":[[3895240]],"CDNS^FF_ARPT_SERIES('ACCUMULATED DEFICIT / RETAINED EARNINGS','ANN_R','&YEAR(D$12)&','&YEAR(D$12)&','T','BS')@0":[[7100756]],"CDNS^FF_ARPT_SERIES('ACCUMULATED DEFICIT / RETAINED EARNINGS','ANN_R','&YEAR(D$12)&'','T','BS')@0":[["#NUM!"]],"CDNS^FF_ARPT_SERIES('ACCUMULATED DEFICIT / RETAINED EARNINGS','ANN_R',2021,'2021','T','BS')@0":[[3046288]],"CDNS^FF_ARPT_SERIES('ACCUMULATED DEFICIT / RETAINED EARNINGS','ANN_R',2021,2021,'T','BS')@0":[[3046288]],"CDNS^FF_ARPT_SERIES('ACCUMULATED DEFICIT / RETAINED EARNINGS','ANN_R',2023,2023,'T','BS')@0":[[4936384]],"CDNS^FF_ARPT_SERIES('ACCUMULATED DEFICIT / RETAINED EARNINGS','ANN_R',2022,2022,'T','BS')@0":[[3895240]],"CDNS^FF_ARPT_SERIES('ACCUMULATED OTHER COMPREHENSIVE LOSS / INCOME','ANN_R',2021,2021,'T','BS')@0":[[-33311]],"CDNS^FF_ARPT_SERIES('ACCUMULATED OTHER COMPREHENSIVE LOSS / INCOME','ANN_R',2022,2022,'T','BS')@0":[[-91637]],"CDNS^FF_ARPT_SERIES('ACCUMULATED OTHER COMPREHENSIVE LOSS / INCOME','ANN_R',2023,2023,'T','BS')@0":[[-94754]],"CDNS^FF_ARPT_SERIES(\"INVENTORIES\",ANN,12/31/2021,,T,\"BS\")":[[115721]],"CDNS-US^FF_ARPT_KEYS(\"IS\")":[["RV"],["PRODUCT AND MAINTENANCE"],["PRODUCT"],["MAINTENANCE"],["SERVICES"],["TOTAL COSTS AND EXPENSES"],["COST OF PRODUCT AND MAINTENANCE"],["COST OF PRODUCT"],["COST OF MAINTENANCE"],["COST OF SERVICES"],["MARKETING AND SALES"],["RESEARCH AND DEVELOPMENT"],["GENERAL AND ADMINISTRATIVE"],["AMORTIZATION OF ACQUIRED INTANGIBLES"],["IMPAIRMENT OF GOODWILL"],["LOSS RELATED TO CONTINGENT LIABILITY"],["RESTRUCTURING AND OTHER CHARGES / CREDITS"],["LITIGATION CHARGES"],["WRITE-OFF OF ACQUIRED IN-PROCESS TECHNOLOGY"],["IMPAIRMENT OF INTANGIBLE AND TANGIBLE ASSETS"],["LOSS / INCOME FROM OPERATIONS"],["LOSS ON EXTINGUISHMENT OF DEBT"],["INTEREST EXPENSE"],["OTHER INCOME / EXPENSE NET"],["INCOME / LOSS BEFORE PROVISION / BENEFIT FOR INCOME TAXES"],["PROVISION / BENEFIT FOR INCOME TAXES"],["NET INCOME / LOSS BEFORE CUMULATIVE EFFECT OF CHANGE IN ACCOUNTING PRINCIPLE"],["CUMULATIVE EFFECT OF CHANGE IN ACCOUNTING PRINCIPLE NET OF TAX"],["NI"],["PER SHARE"],["BASIC"],["NET INCOME / LOSS PER SHARE BEFORE CUMULATIVE EFFECT OF CHANGE IN ACCOUNTING PRINCIPLE"],["DILUTED"],["NET INCOME / LOSS PER SHARE BEFORE CUMULATIVE EFFECT OF CHANGE IN ACCOUNTING PRINCIPLE2"],["WEIGHTED AVERAGE SHARES"],["BASIC2"],["DILUTED2"]],"CDNS-US^FF_ARPT_KEYS(\"CF\")":[["NET CASH PROVIDED BY / USED FOR OPERATING ACTIVITIES"],["NET INCOME / LOSS"],["ADJUSTMENTS TO RECONCILE NET INCOME / LOSS TO NET CASH PROVIDED BY / USED FOR OPERATING ACTIVITIES"],["IMPAIRMENT OF GOODWILL"],["IMPAIRMENT OF INTANGIBLE AND TANGIBLE ASSETS"],["CUMULATIVE EFFECT OF CHANGE IN ACCOUNTING PRINCIPLE"],["DEPRECIATION AND AMORTIZATION"],["LOSS ON EXTINGUISHMENT OF DEBT"],["STOCK-BASED COMPENSATION"],["LOSS / GAIN ON INVESTMENTS NET"],["LOSS FROM EQUITY METHOD INVESTMENTS"],["WRITE-DOWN OF INVESTMENT SECURITIES"],["GAIN / LOSS ON INVESTMENTS NET EXCLUDING LOSS FROM EQUITY METHOD INVESTMENTS AND WRITE-DOWN OF INVESTMENTS SECURITIES"],["WRITE-OFF OF ACQUIRED IN-PROCESS TECHNOLOGY"],["LOSS ON LIQUIDATION OF SUBSIDIARY"],["TAX BENEFITS FROM EMPLOYEE STOCK TRANSACTIONS"],["TAX BENEFIT / EXPENSE FROM CALL OPTIONS"],["TAX IMPACT OF CONVERTIBLE NOTES INTEREST"],["IMPAIRMENT OF PROPERTY PLANT AND EQUIPMENT"],["GAIN ON SALE OF PROPERTY PLANT AND EQUIPMENT"],["DEFERRED INCOME TAXES"],["PROVISIONS / RECOVERIES FOR LOSSES / GAINS ON TRADE ACCOUNTS RECEIVABLE AND SALES RETURNS"],["ROU ASSET AMORTIZATION AND CHANGE IN OPERATING LEASE LIABILITIES"],["OTHER NON-CASH ITEMS"],["AMORTIZATION OF DEBT DISCOUNT AND FEES"],["PROCEEDS FROM THE SALE OF RECEIVABLES NET"],["OTHER NON-CASH ITEMS2"],["PROVISIONS / RECOVERIES FOR LOSSES / GAINS ON RECEIVABLES NET"],["OTHER NON-CASH ITEMS EXCLUDING PROVISIONS / RECOVERIES FOR LOSSES / GAINS ON RECEIVABLES NET"],["GAIN / LOSS ON SALE OF PROPERTY PLANT AND EQUIPMENT"],["OTHER NON-CASH ITEMS EXCLUDING GAIN / LOSS ON SALE OF PROPERTY PLANT AND EQUIPMENT"],["NON-CASH RESTRUCTURING AND OTHER CHARGES / CREDITS"],["OTHER NON-CASH ITEMS EXCLUDING NON-CASH RESTRUCTURING AND OTHER CHARGES / CREDITS"],["CHANGES IN OPERATING ASSETS AND LIABILITIES NET OF EFFECT OF ACQUIRED BUSINESSES"],["RECEIVABLES"],["RECEIVABLES EXCLUDING INSTALLMENT CONTRACT RECEIVABLES"],["INSTALLMENT CONTRACT RECEIVABLES"],["INVENTORIES"],["PREPAID EXPENSES AND OTHER"],["OTHER ASSETS"],["ACCOUNTS PAYABLE AND ACCRUED LIABILITIES"],["DEFERRED REVENUE"],["OTHER LONG-TERM LIABILITIES"],["NET CASH USED FOR INVESTING ACTIVITIES"],["PURCHASES OF AVAILABLE-FOR-SALE SECURITIES"],["PROCEEDS FROM THE SALE AND MATURITY OF AVAILABLE-FOR-SALE SECURITIES"],["PROCEEDS FROM THE SALE OF AVAILABLE-FOR-SALE SECURITIES"],["PROCEEDS FROM THE SALE OF AVAILABLE-FOR-SALE SECURITIES EXCLUDING PROCEEDS FROM THE SALE OF SHORT-TERM INVESTMENTS"],["PROCEEDS FROM THE SALE OF SHORT-TERM INVESTMENTS"],["PROCEEDS FROM THE MATURITY OF AVAILABLE-FOR-SALE SECURITIES"],["PURCHASES OF NON-MARKETABLE INVESTMENTS"],["PROCEEDS FROM THE SALE OF PROPERTY PLANT AND EQUIPMENT"],["INVESTMENT IN VENTURE CAPITAL PARTNERSHIPS AND EQUITY INVESTMENTS"],["PROCEEDS FROM THE SALE OF NON-MARKETABLE INVESTMENTS"],["PROCEEDS FROM THE SALE OF IP AND OTHER ASSETS"],["PURCHASES OF PROPERTY PLANT AND EQUIPMENT"],["PURCHASES OF INTANGIBLE ASSETS"],["CASH PAID IN BUSINESS COMBINATIONS AND ASSET ACQUISITIONS NET OF CASH ACQUIRED"],["PURCHASES OF SOFTWARE LICENSES"],["CASH PAID IN BUSINESS COMBINATIONS AND ASSET ACQUISITIONS NET OF CASH ACQUIRED EXCLUDING PURCHASES OF SOFTWARE LICENSES"],["NET CASH PROVIDED BY / USED FOR FINANCING ACTIVITIES"],["PROCEEDS FROM REVOLVING CREDIT FACILITY"],["PAYMENT ON REVOLVING CREDIT FACILITY"],["PROCEEDS FROM TERM LOANS"],["PROCEEDS FROM RECEIVABLE SALE FINANCING"],["PRINCIPAL PAYMENTS ON TERM LOAN"],["PAYMENT OF CONVERTIBLE NOTES"],["PAYMENT OF CONVERTIBLE NOTES EMBEDDED CONVERSION DERIVATIVE LIABILITY"],["PROCEEDS FROM CONVERTIBLE NOTES HEDGES"],["PAYMENT OF TERM LOANS"],["PAYMENT OF DEBT ISSUANCE COSTS"],["PURCHASE OF 2015 NOTES HEDGES"],["PROCEEDS FROM TERMINATION OF 2011 AND 2013 NOTES HEDGES"],["PROCEEDS FROM SALE OF 2015 WARRANTS"],["PAYMENT OF ACQUISITION-RELATED CONTINGENT CONSIDERATION"],["PURCHASE OF CALL OPTIONS IN CONNECTION WITH CONVERTIBLE NOTES DUE 2011 AND 2013"],["PROCEEDS FROM SALE OF CALL OPTIONS IN CONNECTION WITH CONVERTIBLE NOTES DUE 2023"],["PROCEEDS FROM SALE OF COMMON STOCK WARRANTS IN CONNECTION WITH CONVERTIBLE NOTES DUE 2011 AND 2013"],["PURCHASE OF COMMON STOCK WARRANTS IN CONNECTION WITH CONVERTIBLE NOTES DUE 2023"],["PRINCIPAL PAYMENTS ON RECEIVABLE FINANCING"],["PRINCIPAL PAYMENTS ON TERM LOAN2"],["PROCEEDS FROM ISSUANCE OF 2015 NOTES"],["PAYMENT OF 2023 NOTES"],["EXCESS TAX BENEFITS FROM STOCK-BASED COMPENSATION"],["PROCEEDS FROM ISSUANCE OF COMMON STOCK"],["PURCHASES OF TREASURY STOCK"],["STOCK RECEIVED FOR PAYMENT OF EMPLOYEE TAXES ON VESTING OF RESTRICTED STOCK"],["PURCHASES OF TREASURY STOCK EXCLUDING STOCK RECEIVED FOR PAYMENT OF EMPLOYEE TAXES ON VESTING OF RESTRICTED STOCK"],["PAYMENTS FOR REPURCHASES OF COMMON STOCK"],["CHANGE IN BOOK OVERDRAFT"],["EFFECT OF EXCHANGE RATE CHANGES ON CASH AND CASH EQUIVALENTS"],["CC"],["CASH AND CASH EQUIVALENTS AT BEGINNING OF PERIOD"],["CASH AND CASH EQUIVALENTS AT END OF PERIOD"],["SUPPLEMENTAL DISCLOSURE"],["CASH PAID FOR INTEREST"],["CASH PAID / RECEIVED FOR TAXES NET"],["NON-CASH INVESTING AND FINANCING ACTIVITIES"],["STOCK OPTIONS ASSUMED IN ACQUISITIONS"],["AVAILABLE-FOR-SALE SECURITIES RECEIVED FROM CUSTOMER"],["RECEIVABLES RELATED TO SALES OF AVAILABLE-FOR-SALE SECURITIES"],["RECEIVABLES RELATED TO SALES OF COST-METHOD INVESTMENTS"]],"CDNS^FF_ARPT_SERIES(\"RECEIVABLES\",ANN,12/31/2021,,T,\"CF\")":[[2014]],"CDNS^FF_ARPT_SERIES(\"PREPAID EXPENSES AND OTHER\",ANN,12/31/2021,,T,\"CF\")":[[-34342]],"CDNS^FF_ARPT_SERIES(\"INVENTORIES\",ANN,12/31/2021,,T,\"CF\")":[[-39027]],"CDNS^FF_ARPT_SERIES(\"OTHER ASSETS\",ANN,12/31/2021,,T,\"CF\")":[[-7133]],"CDNS^FF_ARPT_SERIES(\"OTHER ASSETS\",ANN,12/31/2022,,T,\"CF\")":[[-933]],"CDNS^FF_ARPT_SERIES(\"OTHER ASSETS\",ANN,12/31/2023,,T,\"CF\")":[[-45784]],"CDNS^FF_ARPT_SERIES(\"PREPAID EXPENSES AND OTHER\",ANN,12/31/2022,,T,\"CF\")":[[-38927]],"CDNS^FF_ARPT_SERIES(\"PREPAID EXPENSES AND OTHER\",ANN,12/31/2023,,T,\"CF\")":[[39015]],"CDNS^FF_ARPT_SERIES(\"RECEIVABLES\",ANN,12/31/2022,,T,\"CF\")":[[-138471]],"CDNS^FF_ARPT_SERIES(\"RECEIVABLES\",ANN,12/31/2023,,T,\"CF\")":[[-11748]],"CDNS^FF_ARPT_SERIES(\"INVENTORIES\",ANN,12/31/2023,,T,\"CF\")":[[-65895]],"CDNS^FF_ARPT_SERIES(\"INVENTORIES\",ANN,12/31/2022,,T,\"CF\")":[[-23073]],"CDNS^FF_ARPT_SERIES(\"OTHER LONG-TERM LIABILITIES\",ANN,12/31/2021,,T,\"CF\")":[[16199]],"CDNS^FF_ARPT_SERIES(\"DEFERRED REVENUE\",ANN,12/31/2021,,T,\"CF\")":[[100731]],"CDNS^FF_ARPT_SERIES(\"ACCOUNTS PAYABLE AND ACCRUED LIABILITIES\",ANN,12/31/2021,,T,\"CF\")":[[67356]],"CDNS^FF_ARPT_SERIES(\"OTHER LONG-TERM LIABILITIES\",ANN,12/31/2022,,T,\"CF\")":[[43542]],"CDNS^FF_ARPT_SERIES(\"OTHER LONG-TERM LIABILITIES\",ANN,12/31/2023,,T,\"CF\")":[[1802]],"CDNS^FF_ARPT_SERIES(\"DEFERRED REVENUE\",ANN,12/31/2022,,T,\"CF\")":[[131462]],"CDNS^FF_ARPT_SERIES(\"DEFERRED REVENUE\",ANN,12/31/2023,,T,\"CF\")":[[-21583]],"CDNS^FF_ARPT_SERIES(\"ACCOUNTS PAYABLE AND ACCRUED LIABILITIES\",ANN,12/31/2022,,T,\"CF\")":[[113945]],"CDNS^FF_ARPT_SERIES(\"ACCOUNTS PAYABLE AND ACCRUED LIABILITIES\",ANN,12/31/2023,,T,\"CF\")":[[5415]],"CDNS^FF_ARPT_SERIES(\"LOSS / GAIN ON INVESTMENTS NET\",ANN,12/31/2021,,T,\"CF\")":[[-580]],"45393^FF_ARPT_SERIES(\"OTHER NON-CASH ITEMS\",ANN,12/31/2021,,T,\"CF\")":[["@NA"]],"45393^FF_ARPT_SERIES(\"ROU ASSET AMORTIZATION AND CHANGE IN OPERATING LEASE LIABILITIES\",ANN,12/31/2021,,T,\"CF\")":[["@NA"]],"45393^FF_ARPT_SERIES(\"LOSS / GAIN ON INVESTMENTS NET\",ANN,12/31/2021,,T,\"CF\")":[["@NA"]],"45393^FF_ARPT_SERIES(\"DEFERRED INCOME TAXES\",ANN,12/31/2021,,T,\"CF\")":[["@NA"]],"^FF_ARPT_SERIES(\"DEFERRED INCOME TAXES\",ANN,12/31/2021,,T,\"CF\")":[["@NA"]],"CDNS^FF_ARPT_SERIES('DEFERRED INCOME TAXES','ANN_R',2021,2021,'T','BS')@0":[[0]],"CDNS^FF_ARPT_SERIES(\"DEFERRED INCOME TAXES\",ANN,12/31/2021,,T,\"CF\")":[[-43178]],"CDNS^FF_ARPT_SERIES('ROU ASSET AMORTIZATION AND CHANGE IN OPERATING LEASE LIABILITIES','ANN_R',2021,2021,'T','BS')@0":[[0]],"CDNS^FF_ARPT_SERIES(\"ROU ASSET AMORTIZATION AND CHANGE IN OPERATING LEASE LIABILITIES\",ANN,12/31/2021,,T,\"CF\")":[[-11606]],"CDNS^FF_ARPT_SERIES(\"OTHER NON-CASH ITEMS\",ANN,12/31/2021,,T,\"CF\")":[[2171]],"CDNS^FF_ARPT_SERIES(\"OTHER NON-CASH ITEMS\",ANN,12/31/2023,,T,\"CF\")":[[6570]],"CDNS^FF_ARPT_SERIES(\"OTHER NON-CASH ITEMS\",ANN,12/31/2022,,T,\"CF\")":[[1709]],"CDNS^FF_ARPT_SERIES(\"ROU ASSET AMORTIZATION AND CHANGE IN OPERATING LEASE LIABILITIES\",ANN,12/31/2023,,T,\"CF\")":[[451]],"CDNS^FF_ARPT_SERIES(\"ROU ASSET AMORTIZATION AND CHANGE IN OPERATING LEASE LIABILITIES\",ANN,12/31/2022,,T,\"CF\")":[[3342]],"CDNS^FF_ARPT_SERIES(\"LOSS / GAIN ON INVESTMENTS NET\",ANN,12/31/2022,,T,\"CF\")":[[5425]],"CDNS^FF_ARPT_SERIES(\"LOSS / GAIN ON INVESTMENTS NET\",ANN,12/31/2023,,T,\"CF\")":[[-34602]],"CDNS^FF_ARPT_SERIES(\"DEFERRED INCOME TAXES\",ANN,12/31/2022,,T,\"CF\")":[[-107606]],"CDNS^FF_ARPT_SERIES(\"DEFERRED INCOME TAXES\",ANN,12/31/2023,,T,\"CF\")":[[-36512]],"CDNS^FF_ARPT_SERIES(\"DEPRECIATION AND AMORTIZATION\",ANN,12/31/2022,,T,\"CF\")":[[132088]],"CDNS^FF_ARPT_SERIES(\"DEPRECIATION AND AMORTIZATION\",ANN,12/31/2023,,T,\"CF\")":[[145292]],"CDNS^FF_ARPT_SERIES(\"STOCK-BASED COMPENSATION\",ANN,12/31/2022,,T,\"CF\")":[[270439]],"CDNS^FF_ARPT_SERIES(\"STOCK-BASED COMPENSATION\",ANN,12/31/2023,,T,\"CF\")":[[325611]],"CDNS^FF_ARPT_SERIES(\"NET INCOME / LOSS\",ANN,12/31/2022,,T,\"CF\")":[[848952]],"CDNS^FF_ARPT_SERIES(\"NET INCOME / LOSS\",ANN,12/31/2023,,T,\"CF\")":[[1041144]],"CDNS^FF_ARPT_SERIES(\"DEPRECIATION AND AMORTIZATION\",ANN,12/31/2021,,T,\"CF\")":[[142308]],"CDNS^FF_ARPT_SERIES(\"NET INCOME / LOSS\",ANN,12/31/2021,,T,\"CF\")":[[695955]],"CDNS^FF_ARPT_SERIES(\"STOCK-BASED COMPENSATION\",ANN,12/31/2021,,T,\"CF\")":[[210090]],"HISTORICAL^FF_ARPT_SERIES(\"NET CASH PROVIDED BY / USED FOR OPERATING ACTIVITIES\",ANN,12/31/2021,,T,\"CF\")":[["@NA"]],"CDNS-US^FF_OPER_CF(ANN_R,-2AY,,,,,T)":[[1349176]],"CDNS-US^FF_OPER_CF(ANN_R,2021,,,,,T)":[[1100958]],"CDNS-US^FF_OPER_CF(ANN_R,12/31/2022,,,,,T)":[[1241894]],"CDNS-US^FF_OPER_CF(ANN_R,12/31/2021,,,,,T)":[[1100958]],"CDNS-US^FF_OPER_CF(ANN_R,12/31/2023,,,,,T)":[[1349176]],"CDNS^FF_ARPT_SERIES(\"PURCHASES OF PROPERTY PLANT AND EQUIPMENT\",ANN,12/31/2022,,T,\"CF\")":[[-123215]],"CDNS^FF_ARPT_SERIES(\"PURCHASES OF PROPERTY PLANT AND EQUIPMENT\",ANN,12/31/2021,,T,\"CF\")":[[-65298]],"CDNS^FF_ARPT_SERIES(\"PURCHASES OF PROPERTY PLANT AND EQUIPMENT\",ANN,12/31/2023,,T,\"CF\")":[[-102337]],"^FF_ARPT_SERIES(\"CASH PAID IN BUSINESS COMBINATIONS AND ASSET ACQUISITIONS NET OF CASH ACQUIRED\",ANN,12/31/2021,,T,\"CF\")":[["@NA"]],"CDNS^FF_ARPT_SERIES('CASH PAID IN BUSINESS COMBINATIONS AND ASSET ACQUISITIONS NET OF CASH ACQUIRED','ANN_R',2021,2021,'T','BS')@0":[[0]],"^FF_ARPT_SERIES(\"CASH PAID IN BUSINESS COMBINATIONS AND ASSET ACQUISITIONS NET OF CASH ACQUIRED EXCLUDING PURCHASES OF SOFTWARE LICENSES\",ANN,12/31/2021,,T,\"CF\")":[["@NA"]],"CDNS-US^FF_ACQ_BUS_CF(ANN_R,12/31/2022,,,,,T)":[[613785]],"CDNS-US^FF_ACQ_BUS_CF(ANN_R,12/31/2023,,,,,T)":[[198351]],"CDNS-US^FF_ACQ_BUS_CF(ANN_R,12/31/2021,,,,,T)":[[226201]],"45393^FF_ARPT_SERIES(\"PURCHASES OF INTANGIBLE ASSETS\",ANN,12/31/2021,,T,\"CF\")":[["@NA"]],"45393^FF_ARPT_SERIES(\"PROCEEDS FROM THE SALE AND MATURITY OF AVAILABLE-FOR-SALE SECURITIES\",ANN,12/31/2021,,T,\"CF\")":[["@NA"]],"45393^FF_ARPT_SERIES(\"PROCEEDS FROM THE SALE OF NON-MARKETABLE INVESTMENTS\",ANN,12/31/2021,,T,\"CF\")":[["@NA"]],"CDNS^FF_ARPT_SERIES('PROCEEDS FROM THE SALE OF NON-MARKETABLE INVESTMENTS','ANN_R',1900,1900,'T','BS')@0":[[0]],"CDNS^FF_ARPT_SERIES('PROCEEDS FROM THE SALE AND MATURITY OF AVAILABLE-FOR-SALE SECURITIES','ANN_R',1900,1900,'T','BS')@0":[[0]],"CDNS^FF_ARPT_SERIES('PURCHASES OF INTANGIBLE ASSETS','ANN_R',1900,1900,'T','BS')@0":[[0]],"CDNS^FF_ARPT_SERIES('PROCEEDS FROM THE SALE AND MATURITY OF AVAILABLE-FOR-SALE SECURITIES','ANN_R',2021,2021,'T','BS')@0":[[0]],"CDNS^FF_ARPT_SERIES('PURCHASES OF INTANGIBLE ASSETS','ANN_R',2021,2021,'T','BS')@0":[[0]],"CDNS^FF_ARPT_SERIES('PROCEEDS FROM THE SALE OF NON-MARKETABLE INVESTMENTS','ANN_R',2021,2021,'T','BS')@0":[[0]],"CDNS^FF_ARPT_SERIES('PROCEEDS FROM THE SALE AND MATURITY OF AVAILABLE-FOR-SALE SECURITIES','ANN_R',2022,2022,'T','BS')@0":[[0]],"CDNS^FF_ARPT_SERIES('PROCEEDS FROM THE SALE AND MATURITY OF AVAILABLE-FOR-SALE SECURITIES','ANN_R',2023,2023,'T','BS')@0":[[0]],"CDNS^FF_ARPT_SERIES('PURCHASES OF INTANGIBLE ASSETS','ANN_R',2023,2023,'T','BS')@0":[[0]],"CDNS^FF_ARPT_SERIES('PURCHASES OF INTANGIBLE ASSETS','ANN_R',2022,2022,'T','BS')@0":[[0]],"CDNS^FF_ARPT_SERIES('PROCEEDS FROM THE SALE OF NON-MARKETABLE INVESTMENTS','ANN_R',2022,2022,'T','BS')@0":[[0]],"CDNS^FF_ARPT_SERIES('PROCEEDS FROM THE SALE OF NON-MARKETABLE INVESTMENTS','ANN_R',2023,2023,'T','BS')@0":[[0]],"CDNS^FF_ARPT_SERIES('PROCEEDS FROM THE SALE AND MATURITY OF AVAILABLE-FOR-SALE SECURITIES','ANN_R',2021,2021,'T','CF')@0":[[0]],"CDNS^FF_ARPT_SERIES('PROCEEDS FROM THE SALE OF NON-MARKETABLE INVESTMENTS','ANN_R',2021,2021,'T','CF')@0":[[128]],"CDNS^FF_ARPT_SERIES('PURCHASES OF INTANGIBLE ASSETS','ANN_R',2021,2021,'T','CF')@0":[[-1583]],"CDNS^FF_ARPT_SERIES('PROCEEDS FROM THE SALE AND MATURITY OF AVAILABLE-FOR-SALE SECURITIES','ANN_R',2023,2023,'T','CF')@0":[[-176170]],"CDNS^FF_ARPT_SERIES('PROCEEDS FROM THE SALE AND MATURITY OF AVAILABLE-FOR-SALE SECURITIES','ANN_R',2022,2022,'T','CF')@0":[[-1000]],"CDNS^FF_ARPT_SERIES('PURCHASES OF INTANGIBLE ASSETS','ANN_R',2023,2023,'T','CF')@0":[[-166]],"CDNS^FF_ARPT_SERIES('PURCHASES OF INTANGIBLE ASSETS','ANN_R',2022,2022,'T','CF')@0":[[-1000]],"CDNS^FF_ARPT_SERIES('PROCEEDS FROM THE SALE OF NON-MARKETABLE INVESTMENTS','ANN_R',2023,2023,'T','CF')@0":[[64775]],"CDNS^FF_ARPT_SERIES('PROCEEDS FROM THE SALE OF NON-MARKETABLE INVESTMENTS','ANN_R',2022,2022,'T','CF')@0":[[366]],"CDNS-US^FF_INVEST_CF(ANN_R,12/31/2022,,,,,T)":[[-738634]],"CDNS-US^FF_INVEST_CF(ANN_R,12/31/2023,,,,,T)":[[-412249]],"CDNS-US^FF_INVEST_CF(ANN_R,12/31/2021,,,,,T)":[[-292954]],"CDNS^FF_ARPT_SERIES('PAYMENT OF DEBT ISSUANCE COSTS','ANN_R',2021,2021,'T','CF')@0":[[-1285]],"CDNS^FF_ARPT_SERIES('PAYMENT OF DEBT ISSUANCE COSTS','ANN_R',2023,2023,'T','CF')@0":[[0]],"CDNS^FF_ARPT_SERIES('PAYMENT OF DEBT ISSUANCE COSTS','ANN_R',2022,2022,'T','CF')@0":[[-425]],"CDNS^FF_ARPT_SERIES('PAYMENT ON REVOLVING CREDIT FACILITY','ANN_R',2021,2021,'T','CF')@0":[[0]],"CDNS^FF_ARPT_SERIES('PAYMENT ON REVOLVING CREDIT FACILITY','ANN_R',2022,2022,'T','CF')@0":[[-485000]],"CDNS^FF_ARPT_SERIES('PAYMENT ON REVOLVING CREDIT FACILITY','ANN_R',2023,2023,'T','CF')@0":[[-150000]],"CDNS^FF_ARPT_SERIES('PAYMENTS FOR REPURCHASES OF COMMON STOCK','ANN_R',2023,2023,'T','CF')@0":[[-700134]],"CDNS^FF_ARPT_SERIES('PAYMENTS FOR REPURCHASES OF COMMON STOCK','ANN_R',2022,2022,'T','CF')@0":[[-1050091]],"CDNS^FF_ARPT_SERIES('PAYMENTS FOR REPURCHASES OF COMMON STOCK','ANN_R',2021,2021,'T','CF')@0":[[-612297]],"CDNS^FF_COGS(ANN_R,12/31/2021,,,,,T)":[[326646]],"CDNS^FF_GROSS_INC(ANN_R,12/31/2021,,,,,T)":[[2661598]],"CDNS^FF_EBIT_OPER(ANN_R,12/31/2021,,,,,T)":[[778041]],"CDNS^FF_PTX_INC(ANN_R,12/31/2021,,,,,T)":[[768435]],"CDNS^FF_SGA(ANN_R,12/31/2021,,,,,T)":[[1883557]],"CDNS^FF_NON_OPER_INC(ANN_R,12/31/2021,,,,,T)":[[6326]],"CDNS^FF_NET_INC(ANN_R,12/31/2021,,,,,T)":[[695955]],"CDNS^FF_UNUSUAL_EXP(ANN_R,12/31/2021,,,,,T)":[[-1048]],"CDNS^FF_INT_EXP_NET(ANN_R,12/31/2021,,,,,T)":[[16980]],"CDNS^FF_INC_TAX(ANN_R,12/31/2021,,,,,T)":[[72480]],"CDNS^FF_GROSS_INC(ANN_R,12/31/2023,,,,,T)":[[3636783]],"CDNS^FF_SGA(ANN_R,12/31/2022,,,,,T)":[[2097884]],"CDNS^FF_SGA(ANN_R,12/31/2023,,,,,T)":[[2362445]],"CDNS^FF_NON_OPER_INC(ANN_R,12/31/2022,,,,,T)":[[-5389]],"CDNS^FF_NON_OPER_INC(ANN_R,12/31/2023,,,,,T)":[[56035]],"CDNS^FF_COGS(ANN_R,12/31/2023,,,,,T)":[[453203]],"CDNS^FF_COGS(ANN_R,12/31/2022,,,,,T)":[[390093]],"CDNS^FF_EBIT_OPER(ANN_R,12/31/2023,,,,,T)":[[1274338]],"CDNS^FF_UNUSUAL_EXP(ANN_R,12/31/2023,,,,,T)":[[12262]],"CDNS^FF_UNUSUAL_EXP(ANN_R,12/31/2022,,,,,T)":[[55]],"CDNS^FF_INT_EXP_NET(ANN_R,12/31/2023,,,,,T)":[[36185]],"CDNS^FF_GROSS_INC(ANN_R,12/31/2022,,,,,T)":[[3171625]],"CDNS^FF_INT_EXP_NET(ANN_R,12/31/2022,,,,,T)":[[22934]],"CDNS^FF_PTX_INC(ANN_R,12/31/2023,,,,,T)":[[1281926]],"CDNS^FF_EBIT_OPER(ANN_R,12/31/2022,,,,,T)":[[1073741]],"CDNS^FF_INC_TAX(ANN_R,12/31/2022,,,,,T)":[[196411]],"CDNS^FF_PTX_INC(ANN_R,12/31/2022,,,,,T)":[[1045363]],"CDNS^FF_NET_INC(ANN_R,12/31/2023,,,,,T)":[[1041144]],"CDNS^FF_INC_TAX(ANN_R,12/31/2023,,,,,T)":[[240782]],"CDNS^FF_NET_INC(ANN_R,12/31/2022,,,,,T)":[[848952]],"CDNS^FF_EBITDA_OPER(ANN_R,12/31/2023,,,,,T)":[[1414708]],"^FF_DEP_AMORT_EXP(ANN_R,12/31/2022,,,,,T)":[["@NA"]],"^FF_DEP_AMORT_EXP(ANN_R,12/31/2023,,,,,T)":[["@NA"]],"CDNS^FF_EBITDA_OPER(ANN_R,12/31/2022,,,,,T)":[[1205829]],"CDNS^FF_DEP_AMORT_EXP(ANN_R,12/31/2021,,,,,T)":[[142308]],"CDNS^FF_EBITDA_OPER(ANN_R,12/31/2021,,,,,T)":[[920349]],"CDNS^FF_DEP_AMORT_EXP(ANN_R,12/31/2022,,,,,T)":[[132088]],"CDNS^FF_DEP_AMORT_EXP(ANN_R,12/31/2023,,,,,T)":[[140370]],"CDNS^FF_CASH_ST(ANN_R,12/31/2023,,,,,T)":[[1138511]],"CDNS^FF_RECEIV_ST(ANN_R,12/31/2022,,,,,T)":[[509476]],"CDNS^FF_RECEIV_ST(ANN_R,12/31/2023,,,,,T)":[[506778]],"CDNS^FF_INVEN(ANN_R,12/31/2022,,,,,T)":[[128005]],"CDNS^FF_CASH_ST(ANN_R,12/31/2022,,,,,T)":[[882325]],"CDNS^FF_INVEN(ANN_R,12/31/2023,,,,,T)":[[181661]],"CDNS^FF_ASSETS_CURR_OTH(ANN_R,12/31/2023,,,,,T)":[[149267]],"CDNS^FF_ASSETS_CURR_OTH(ANN_R,12/31/2022,,,,,T)":[[186961]],"CDNS^FF_DFD_TAX_DB(ANN_R,12/31/2021,,,,,T)":[[763770]],"CDNS^FF_ASSETS_CURR(ANN_R,12/31/2023,,,,,T)":[[1976217]],"CDNS^FF_PPE_NET(ANN_R,12/31/2023,,,,,T)":[[554010]],"CDNS^FF_INVEST_LT(ANN_R,12/31/2022,,,,,T)":[[122732]],"CDNS^FF_INVEST_LT(ANN_R,12/31/2023,,,,,T)":[[249421]],"CDNS^FF_DFD_TAX_DB(ANN_R,12/31/2022,,,,,T)":[[853691]],"CDNS^FF_PPE_NET(ANN_R,12/31/2022,,,,,T)":[[541830]],"CDNS^FF_INTANG(ANN_R,12/31/2022,,,,,T)":[[1728885]],"CDNS^FF_ASSETS_CURR(ANN_R,12/31/2022,,,,,T)":[[1706767]],"CDNS^FF_ASSETS_OTH(ANN_R,12/31/2022,,,,,T)":[[183166]],"CDNS^FF_DFD_TAX_DB(ANN_R,12/31/2023,,,,,T)":[[880001]],"CDNS^FF_ASSETS(ANN_R,12/31/2022,,,,,T)":[[5137071]],"CDNS^FF_INTANG(ANN_R,12/31/2023,,,,,T)":[[1872688]],"CDNS^FF_ASSETS(ANN_R,12/31/2023,,,,,T)":[[5669491]],"CDNS^FF_CASH_ST(ANN_R,12/31/2021,,,,,T)":[[1088940]],"CDNS^FF_ASSETS_OTH(ANN_R,12/31/2023,,,,,T)":[[137154]],"CDNS^FF_INVEN(ANN_R,12/31/2021,,,,,T)":[[115721]],"CDNS^FF_ASSETS_OTH(ANN_R,12/31/2021,,,,,T)":[[176503]],"CDNS^FF_PPE_NET(ANN_R,12/31/2021,,,,,T)":[[436035]],"CDNS^FF_RECEIV_ST(ANN_R,12/31/2021,,,,,T)":[[344407]],"CDNS^FF_ASSETS_CURR_OTH(ANN_R,12/31/2021,,,,,T)":[[166701]],"CDNS^FF_ASSETS(ANN_R,12/31/2021,,,,,T)":[[4386299]],"CDNS^FF_INTANG(ANN_R,12/31/2021,,,,,T)":[[1161623]],"CDNS^FF_ASSETS_CURR(ANN_R,12/31/2021,,,,,T)":[[1715769]],"CDNS^FF_INVEST_LT(ANN_R,12/31/2021,,,,,T)":[[132599]],"CDNS^FF_PAY_ACCT(ANN_R,12/31/2022,,,,,T)":[[0]],"CDNS^FF_PAY_TAX(ANN_R,12/31/2022,,,,,T)":[["@NA"]],"CDNS^FF_DEBT_ST(ANN_R,12/31/2022,,,,,T)":[[136737]],"CDNS^FF_DEBT_ST(ANN_R,12/31/2023,,,,,T)":[[390904]],"CDNS^FF_LIABS_CURR(ANN_R,12/31/2022,,,,,T)":[[1347696]],"CDNS^FF_PAY_ACCT(ANN_R,12/31/2023,,,,,T)":[[91194]],"CDNS^FF_LIABS_CURR_OTH(ANN_R,12/31/2023,,,,,T)":[[1108769]],"CDNS^FF_LIABS_CURR(ANN_R,12/31/2023,,,,,T)":[[1590867]],"CDNS^FF_PAY_TAX(ANN_R,12/31/2023,,,,,T)":[["@NA"]],"CDNS^FF_PAY_TAX(ANN_R,12/31/2021,,,,,T)":[["@NA"]],"CDNS^FF_DEBT_ST(ANN_R,12/31/2021,,,,,T)":[[25271]],"CDNS^FF_LIABS_CURR_OTH(ANN_R,12/31/2021,,,,,T)":[[945954]],"CDNS^FF_LIABS_CURR_OTH(ANN_R,12/31/2022,,,,,T)":[[1210959]],"CDNS^FF_PAY_ACCT(ANN_R,12/31/2021,,,,,T)":[[0]],"CDNS^FF_LIABS_CURR(ANN_R,12/31/2021,,,,,T)":[[971225]],"CDNS^FF_LIABS_OTH(ANN_R,12/31/2022,,,,,T)":[[256847]],"CDNS^FF_DEBT_LT(ANN_R,12/31/2023,,,,,T)":[[415129]],"CDNS^FF_LIABS_OTH(ANN_R,12/31/2023,,,,,T)":[[259224]],"CDNS^FF_DEBT_LT(ANN_R,12/31/2021,,,,,T)":[[454709]],"CDNS^FF_DEBT_LT(ANN_R,12/31/2022,,,,,T)":[[787415]],"CDNS^FF_LIABS_OTH(ANN_R,12/31/2021,,,,,T)":[[219690]],"CDNS^FF_LIABS(ANN_R,12/31/2021,,,,,T)":[[1645624]],"CDNS^FF_LIABS(ANN_R,12/31/2023,,,,,T)":[[2265220]],"CDNS^FF_LIABS(ANN_R,12/31/2022,,,,,T)":[[2391958]],"^FF_EQ_TOT(ANN_R,12/31/2023,,,,,T)":[["@NA"]],"^FF_EQ_TOT(ANN_R,12/31/2022,,,,,T)":[["@NA"]],"^FF_SHLDRS_EQ(ANN_R,12/31/2021,,,,,T)":[["@NA"]],"^FF_EQ_TOT(ANN_R,12/31/2021,,,,,T)":[["@NA"]],"^FF_SHLDRS_EQ(ANN_R,12/31/2023,,,,,T)":[["@NA"]],"^FF_SHLDRS_EQ(ANN_R,12/31/2022,,,,,T)":[["@NA"]],"CDNS^FF_SHLDRS_EQ(ANN_R,12/31/2021,,,,,T)":[[2740675]],"CDNS^FF_SHLDRS_EQ(ANN_R,12/31/2022,,,,,T)":[[2745113]],"CDNS^FF_SHLDRS_EQ(ANN_R,12/31/2023,,,,,T)":[[3404271]],"CDNS^FF_EQ_TOT(ANN_R,12/31/2023,,,,,T)":[[3404271]],"CDNS^FF_EQ_TOT(ANN_R,12/31/2022,,,,,T)":[[2745113]],"CDNS^FF_EQ_TOT(ANN_R,12/31/2021,,,,,T)":[[2740675]],"CDNS^FF_LIABS_SHLDRS_EQ(ANN_R,12/31/2023,,,,,T)":[[5669491]],"CDNS^FF_LIABS_SHLDRS_EQ(ANN_R,12/31/2021,,,,,T)":[[4386299]],"CDNS^FF_LIABS_SHLDRS_EQ(ANN_R,12/31/2022,,,,,T)":[[5137071]],"CDNS^FF_INVEST_CF(ANN_R,12/31/2022,,,,,T)":[[-738634]],"CDNS^FF_NON_CASH(ANN_R,12/31/2022,,,,,T)":[[280915]],"CDNS^FF_INVEST_CF(ANN_R,12/31/2023,,,,,T)":[[-412249]],"CDNS^FF_INVEST_PURCH_SALE_CF(ANN_R,12/31/2022,,,,,T)":[[-634]],"CDNS^FF_CAPEX(ANN_R,12/31/2023,,,,,T)":[[102503]],"CDNS^FF_INVEST_CF(ANN_R,12/31/2021,,,,,T)":[[-292954]],"CDNS^FF_ACQ_BUS_CF(ANN_R,12/31/2022,,,,,T)":[[613785]],"CDNS^FF_CAPEX(ANN_R,12/31/2021,,,,,T)":[[66881]],"CDNS^FF_CAPEX(ANN_R,12/31/2022,,,,,T)":[[124215]],"CDNS^FF_NON_CASH(ANN_R,12/31/2023,,,,,T)":[[298030]],"CDNS^FF_SALE_ASSETS_BUS_CF(ANN_R,12/31/2023,,,,,T)":[[0]],"CDNS^FF_DFD_TAX_CF(ANN_R,12/31/2021,,,,,T)":[[-43178]],"CDNS^FF_SALE_ASSETS_BUS_CF(ANN_R,12/31/2022,,,,,T)":[[0]],"CDNS^FF_ACQ_BUS_CF(ANN_R,12/31/2023,,,,,T)":[[198351]],"CDNS^FF_INVEST_PURCH_SALE_CF(ANN_R,12/31/2023,,,,,T)":[[-111395]],"CDNS^FF_FUNDS_OPER_GROSS(ANN_R,12/31/2022,,,,,T)":[[1154349]],"CDNS^FF_FUNDS_OPER_GROSS(ANN_R,12/31/2023,,,,,T)":[[1447954]],"CDNS^FF_SALE_ASSETS_BUS_CF(ANN_R,12/31/2021,,,,,T)":[[0]],"CDNS^FF_ACQ_BUS_CF(ANN_R,12/31/2021,,,,,T)":[[226201]],"CDNS^FF_DEP_EXP_CF(ANN_R,12/31/2022,,,,,T)":[[132088]],"CDNS^FF_INVEST_PURCH_SALE_CF(ANN_R,12/31/2021,,,,,T)":[[128]],"CDNS^FF_NET_INC_CF(ANN_R,12/31/2022,,,,,T)":[[848952]],"CDNS^FF_DEP_EXP_CF(ANN_R,12/31/2023,,,,,T)":[[145292]],"CDNS^FF_WKCAP_CHG(ANN_R,12/31/2023,,,,,T)":[[-98778]],"CDNS^FF_OPER_CF(ANN_R,12/31/2023,,,,,T)":[[1349176]],"CDNS^FF_NON_CASH(ANN_R,12/31/2021,,,,,T)":[[200075]],"CDNS^FF_NET_INC_CF(ANN_R,12/31/2021,,,,,T)":[[695955]],"CDNS^FF_DFD_TAX_CF(ANN_R,12/31/2023,,,,,T)":[[-36512]],"CDNS^FF_DEP_EXP_CF(ANN_R,12/31/2021,,,,,T)":[[142308]],"CDNS^FF_FUNDS_OPER_GROSS(ANN_R,12/31/2021,,,,,T)":[[995160]],"CDNS^FF_DFD_TAX_CF(ANN_R,12/31/2022,,,,,T)":[[-107606]],"CDNS^FF_NET_INC_CF(ANN_R,12/31/2023,,,,,T)":[[1041144]],"CDNS^FF_OPER_CF(ANN_R,12/31/2021,,,,,T)":[[1100958]],"CDNS^FF_OPER_CF(ANN_R,12/31/2022,,,,,T)":[[1241894]],"CDNS^FF_WKCAP_CHG(ANN_R,12/31/2022,,,,,T)":[[87545]],"CDNS^FF_WKCAP_CHG(ANN_R,12/31/2021,,,,,T)":[[105798]],"CDNS^SUMAV(FF_INVEST_USES_CF(ANN_R,12/31/2021,,,,,T),FF_INVEST_SOURCES_CF(ANN_R,12/31/2021,,,,,T))":[[0]],"CDNS^SUMAV(FF_INVEST_USES_CF(ANN_R,12/31/2022,,,,,T),FF_INVEST_SOURCES_CF(ANN_R,12/31/2022,,,,,T))":[[0]],"CDNS^SUMAV(FF_INVEST_USES_CF(ANN_R,12/31/2023,,,,,T),FF_INVEST_SOURCES_CF(ANN_R,12/31/2023,,,,,T))":[[0]],"CDNS^SUMAV(FF_INVEST_USES_CF(ANN_R,12/31/2024,,,,,T),FF_INVEST_SOURCES_CF(ANN_R,12/31/2024,,,,,T))":[[0]],"CDNS^SUMAV(FF_INVEST_USES_CF(ANN_R,12/31/2025,,,,,T),FF_INVEST_SOURCES_CF(ANN_R,12/31/2025,,,,,T))":[[11500]],"CDNS^FF_DEBT_CF(ANN_R,12/31/2021,,,,,T)":[[0]],"CDNS^FF_DEBT_CF(ANN_R,12/31/2022,,,,,T)":[[399575]],"CDNS^FF_FIN_ACTIV_OTH_CF(ANN_R,12/31/2022,,,,,T)":[[-111864]],"CDNS^FF_FIN_ACTIV_OTH_CF(ANN_R,12/31/2023,,,,,T)":[[-136396]],"CDNS^FF_DEBT_CF(ANN_R,12/31/2023,,,,,T)":[[-100000]],"CDNS^FF_STK_CHG_CF(ANN_R,12/31/2022,,,,,T)":[[-944760]],"CDNS^FF_STK_CHG_CF(ANN_R,12/31/2023,,,,,T)":[[-567177]],"CDNS^FF_FIN_CF(ANN_R,12/31/2023,,,,,T)":[[-803573]],"CDNS^FF_FIN_ACTIV_OTH_CF(ANN_R,12/31/2021,,,,,T)":[[-119267]],"CDNS^FF_STK_CHG_CF(ANN_R,12/31/2021,,,,,T)":[[-524525]],"CDNS^FF_FIN_CF(ANN_R,12/31/2021,,,,,T)":[[-643792]],"CDNS^FF_FIN_CF(ANN_R,12/31/2022,,,,,T)":[[-657049]],"CDNS^FF_FOR_EXCH_CF(ANN_R,12/31/2022,,,,,T)":[[-52826]],"CDNS^FF_FOR_EXCH_CF(ANN_R,12/31/2021,,,,,T)":[[-3704]],"CDNS^FF_FOR_EXCH_CF(ANN_R,12/31/2023,,,,,T)":[[-7527]],"CDNS^FF_CHG_CASH_CF(ANN_R,12/31/2022,,,,,T)":[[-206615]],"CDNS^FF_CHG_CASH_CF(ANN_R,12/31/2021,,,,,T)":[[160508]],"CDNS^FF_CHG_CASH_CF(ANN_R,12/31/2023,,,,,T)":[[125827]]}]]></FdsFormulaCache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E2A33B-D5CB-4473-9F9D-8485ADD065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345DC7-8A30-4E3E-8C5E-F3341CB44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c67050-7972-4591-ac00-42caa32980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476CCE-B5B8-DF41-8AE3-FB68B066C255}">
  <ds:schemaRefs>
    <ds:schemaRef ds:uri="urn:fdsformulacache"/>
  </ds:schemaRefs>
</ds:datastoreItem>
</file>

<file path=customXml/itemProps4.xml><?xml version="1.0" encoding="utf-8"?>
<ds:datastoreItem xmlns:ds="http://schemas.openxmlformats.org/officeDocument/2006/customXml" ds:itemID="{88034C42-FEEF-4B52-AC15-D90DF501F7B8}">
  <ds:schemaRefs>
    <ds:schemaRef ds:uri="http://schemas.openxmlformats.org/package/2006/metadata/core-properties"/>
    <ds:schemaRef ds:uri="41c67050-7972-4591-ac00-42caa329804c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Revenue Build &amp; Growth Drivers</vt:lpstr>
      <vt:lpstr>Financial Statement Model</vt:lpstr>
      <vt:lpstr>Integrated DCF Model</vt:lpstr>
      <vt:lpstr>WACC Build</vt:lpstr>
      <vt:lpstr>'Integrated DCF Model'!Discount_Rate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Allen, David Michael</dc:creator>
  <cp:keywords/>
  <dc:description/>
  <cp:lastModifiedBy>Meet Sanghavi</cp:lastModifiedBy>
  <cp:revision/>
  <dcterms:created xsi:type="dcterms:W3CDTF">2023-11-07T18:52:42Z</dcterms:created>
  <dcterms:modified xsi:type="dcterms:W3CDTF">2026-07-21T02:47:59Z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0x0101006B4AF14EF786EB4E802C5062DBE61414</vt:lpwstr>
  </property>
  <property fmtid="{D5CDD505-2E9C-101B-9397-08002B2CF9AE}" pid="3" name="Order">
    <vt:r8>205000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