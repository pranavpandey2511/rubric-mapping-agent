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6fa3e5c01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Build &amp; Growth Drivers" sheetId="4" r:id="Rd77b55e3baba486f"/>
    <x:sheet xmlns:r="http://schemas.openxmlformats.org/officeDocument/2006/relationships" name="Financial Statement Model" sheetId="3" r:id="R052a3f078dec4afe"/>
    <x:sheet xmlns:r="http://schemas.openxmlformats.org/officeDocument/2006/relationships" name="Integrated DCF Model" sheetId="8" r:id="Rcc0b669fe6274260"/>
    <x:sheet xmlns:r="http://schemas.openxmlformats.org/officeDocument/2006/relationships" name="WACC Build" sheetId="6" r:id="Refa66d55b09e4de7"/>
    <x:sheet xmlns:r="http://schemas.openxmlformats.org/officeDocument/2006/relationships" name="Section Index" sheetId="9" r:id="R2ff2f29a5ee64766"/>
  </x:sheets>
  <x:definedNames>
    <x:definedName name="Discount_Rate">#REF!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>10001</x:definedName>
    <x:definedName name="IQ_FWD_CY1">10002</x:definedName>
    <x:definedName name="IQ_FWD_CY2">10003</x:definedName>
    <x:definedName name="IQ_FWD_FY">1001</x:definedName>
    <x:definedName name="IQ_FWD_FY1">1002</x:definedName>
    <x:definedName name="IQ_FWD_FY2">1003</x:definedName>
    <x:definedName name="IQ_FWD_Q">501</x:definedName>
    <x:definedName name="IQ_FWD_Q1">502</x:definedName>
    <x:definedName name="IQ_FWD_Q2">503</x:definedName>
    <x:definedName name="IQ_FY">1000</x:definedName>
    <x:definedName name="IQ_LATESTK">1000</x:definedName>
    <x:definedName name="IQ_LATESTQ">500</x:definedName>
    <x:definedName name="IQ_LTM">2000</x:definedName>
    <x:definedName name="IQ_LTMMONTH">120000</x:definedName>
    <x:definedName name="IQ_MONTH">15000</x:definedName>
    <x:definedName name="IQ_NTM">6000</x:definedName>
    <x:definedName name="IQ_TODAY">0</x:definedName>
    <x:definedName name="IQ_WEEK">50000</x:definedName>
    <x:definedName name="IQ_YTD">3000</x:definedName>
    <x:definedName name="IQ_YTDMONTH">130000</x:definedName>
    <x:definedName name="Tax">[1]DCF!$D$44</x:definedName>
    <x:definedName name="Discount_Rate" localSheetId="2">'Integrated DCF Model'!$E$10</x:definedName>
  </x:definedNames>
</x:workbook>
</file>

<file path=xl/comments1.xml><?xml version="1.0" encoding="utf-8"?>
<x:comments xmlns:x="http://schemas.openxmlformats.org/spreadsheetml/2006/main">
  <x:authors>
    <x:author>tc={FF7C3349-F571-67EC-7E26-FC10B4E8C3F1}</x:author>
    <x:author>tc={6F5FD1A6-C73D-3BD8-822C-5F8DDCD613FF}</x:author>
    <x:author>tc={0D19B8C7-CA0B-D6FC-05B6-2D448258057E}</x:author>
    <x:author>tc={B6C0555C-8A2F-8FCC-E05A-D8A9E096D66B}</x:author>
    <x:author>tc={CC6821DF-3EDC-957C-5221-188AA06FC4F9}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S001: Revenue Build &amp; Growth Drivers For TopBuild Corp.
Machine ID: topbuild:revenue-build-growth-drivers:section:1
Component: C2:K9
Base cells: 72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S002: Revenue Projection
Machine ID: topbuild:revenue-build-growth-drivers:section:2
Component: C11:K15
Base cells: 45
Historical cells: 8
Projected cells: 15</x:t>
        </x:r>
      </x:text>
    </x:comment>
    <x:comment ref="C1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S003: Segmental Revenue Schedule
Machine ID: topbuild:revenue-build-growth-drivers:section:3
Component: C17:K27
Base cells: 99
Historical cells: 19
Projected cells: 35</x:t>
        </x:r>
      </x:text>
    </x:comment>
    <x:comment ref="C3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S004: Segment Revenue Growth Drivers
Machine ID: topbuild:revenue-build-growth-drivers:section:4
Component: C31:K41
Base cells: 99
Historical cells: 15
Projected cells: 35</x:t>
        </x:r>
      </x:text>
    </x:comment>
    <x:comment ref="C4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S005: General Growth Drivers
Machine ID: topbuild:revenue-build-growth-drivers:section:5
Component: C43:K56
Base cells: 126
Historical cells: 20
Projected cells: 50</x:t>
        </x:r>
      </x:text>
    </x:comment>
  </x:commentList>
</x:comments>
</file>

<file path=xl/comments2.xml><?xml version="1.0" encoding="utf-8"?>
<x:comments xmlns:x="http://schemas.openxmlformats.org/spreadsheetml/2006/main">
  <x:authors>
    <x:author>tc={A93FDC12-FDAE-9231-192E-FBC167631001}</x:author>
    <x:author>tc={EF6CD316-EA63-3D32-B210-686F7AEAEE17}</x:author>
    <x:author>tc={E33E7AE3-29B5-9BAC-0BF8-219E26A4CEB0}</x:author>
    <x:author>tc={2A83D4C0-9665-7D7B-AA62-F8C8A65078AC}</x:author>
    <x:author>tc={84D777EE-9257-4921-49BF-E1740A589BDA}</x:author>
    <x:author>tc={DE0B5426-2913-82D1-715B-D8DCD9962BBF}</x:author>
    <x:author>tc={964AF737-72A8-7964-AEC7-32BACB57C941}</x:author>
    <x:author>tc={15DB5E5C-C8A5-7603-BF6E-DFA5E6E3458E}</x:author>
    <x:author>tc={44DFA441-99A3-79B8-E012-D60FCA04CBA0}</x:author>
    <x:author>tc={E997A228-6B34-AF0B-D448-66BF77200E5E}</x:author>
    <x:author>tc={953A21D1-E4BB-114A-BF0B-AD9DD789120C}</x:author>
    <x:author>tc={872562F4-8993-F3C2-A124-8955970F7F5E}</x:author>
    <x:author>tc={FE973548-2A3F-F622-099C-4D0815463006}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S006: Financial Statement Model For TopBuild Corp.
Machine ID: topbuild:financial-statement-model:section:1
Component: C2:M9
Base cells: 88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S007: Income Statement
Machine ID: topbuild:financial-statement-model:section:2
Component: C11:M41
Base cells: 341
Historical cells: 73
Projected cells: 131</x:t>
        </x:r>
      </x:text>
    </x:comment>
    <x:comment ref="C4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S008: Balance Sheet
Machine ID: topbuild:financial-statement-model:section:3
Component: C43:M75
Base cells: 363
Historical cells: 78
Projected cells: 131</x:t>
        </x:r>
      </x:text>
    </x:comment>
    <x:comment ref="C7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S009: Cash Flow Statement
Machine ID: topbuild:financial-statement-model:section:4
Component: C77:K103
Base cells: 243
Historical cells: 63
Projected cells: 105</x:t>
        </x:r>
      </x:text>
    </x:comment>
    <x:comment ref="C10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S010: Current Assets Schedule
Machine ID: topbuild:financial-statement-model:section:5
Component: C107:K132
Base cells: 234
Historical cells: 37
Projected cells: 70</x:t>
        </x:r>
      </x:text>
    </x:comment>
    <x:comment ref="C13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S011: Current Liabilities Schedule
Machine ID: topbuild:financial-statement-model:section:6
Component: C134:K146
Base cells: 117
Historical cells: 19
Projected cells: 35</x:t>
        </x:r>
      </x:text>
    </x:comment>
    <x:comment ref="C14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S012: Intangibles Schedule
Machine ID: topbuild:financial-statement-model:section:7
Component: C148:K174
Base cells: 243
Historical cells: 34
Projected cells: 70</x:t>
        </x:r>
      </x:text>
    </x:comment>
    <x:comment ref="C17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S013: PP&amp;E and Depreciation Schedule
Machine ID: topbuild:financial-statement-model:section:8
Component: C176:M208
Base cells: 363
Historical cells: 23
Projected cells: 76</x:t>
        </x:r>
      </x:text>
    </x:comment>
    <x:comment ref="C2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S014: Retained Earnings Schedule
Machine ID: topbuild:financial-statement-model:section:9
Component: C210:K219
Base cells: 90
Historical cells: 21
Projected cells: 35</x:t>
        </x:r>
      </x:text>
    </x:comment>
    <x:comment ref="C22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S015: Non-controlling Interest Schedule
Machine ID: topbuild:financial-statement-model:section:10
Component: C221:K229
Base cells: 81
Historical cells: 18
Projected cells: 30</x:t>
        </x:r>
      </x:text>
    </x:comment>
    <x:comment ref="C23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S016: Debt &amp; Interest Schedule (ex. Leases)
Machine ID: topbuild:financial-statement-model:section:11
Component: C231:K279
Base cells: 441
Historical cells: 40
Projected cells: 160</x:t>
        </x:r>
      </x:text>
    </x:comment>
    <x:comment ref="C28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S017: Lease Schedule
Machine ID: topbuild:financial-statement-model:section:12
Component: C281:K334
Base cells: 486
Historical cells: 66
Projected cells: 185</x:t>
        </x:r>
      </x:text>
    </x:comment>
    <x:comment ref="C33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S018: Acquisition Schedule
Machine ID: topbuild:financial-statement-model:section:13
Component: C336:K346
Base cells: 99
Historical cells: 3
Projected cells: 35</x:t>
        </x:r>
      </x:text>
    </x:comment>
  </x:commentList>
</x:comments>
</file>

<file path=xl/comments3.xml><?xml version="1.0" encoding="utf-8"?>
<x:comments xmlns:x="http://schemas.openxmlformats.org/spreadsheetml/2006/main">
  <x:authors>
    <x:author>tc={8024D2F4-A1BE-C52D-C8F3-77BD5C595E82}</x:author>
    <x:author>tc={8E42BC4F-D68E-0E34-BFA3-81370C0939FE}</x:author>
    <x:author>tc={6BC74404-4C1C-E651-3DC6-C859A78235F5}</x:author>
    <x:author>tc={58FBB857-946D-7938-6739-90A7D342330D}</x:author>
    <x:author>tc={63E40FFE-F6CD-70EB-D4E3-6DF61871666F}</x:author>
    <x:author>tc={D436EE46-A13B-4CAC-1295-54131369E0B9}</x:author>
    <x:author>tc={005CD531-7B85-7206-E3DB-932F29516FCA}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S019: Discounted Cash Flow Model For TopBuild Corp.
Machine ID: topbuild:integrated-dcf-model:section:1
Component: C2:N9
Base cells: 96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S020: Unlevered Free Cash Flow
Machine ID: topbuild:integrated-dcf-model:section:2
Component: C11:N36
Base cells: 312
Historical cells: 45
Projected cells: 87</x:t>
        </x:r>
      </x:text>
    </x:comment>
    <x:comment ref="C3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S021: Net Working Capital Schedule
Machine ID: topbuild:integrated-dcf-model:section:3
Component: C38:L52
Base cells: 150
Historical cells: 29
Projected cells: 50</x:t>
        </x:r>
      </x:text>
    </x:comment>
    <x:comment ref="C5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S022: Present Value of UFCFs as of Apr 12, 2024
Machine ID: topbuild:integrated-dcf-model:section:4
Component: C54:L61
Base cells: 80
Historical cells: 0
Projected cells: 0</x:t>
        </x:r>
      </x:text>
    </x:comment>
    <x:comment ref="C6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S023: Basic to Fully Diluted Shares Bridge (in 000s)
Machine ID: topbuild:integrated-dcf-model:section:5
Component: C63:D71
Base cells: 18
Historical cells: 0
Projected cells: 0</x:t>
        </x:r>
      </x:text>
    </x:comment>
    <x:comment ref="C7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S024: Terminal Value and Equity Value Bridge
Machine ID: topbuild:integrated-dcf-model:section:6
Component: C73:L101
Base cells: 290
Historical cells: 0
Projected cells: 0</x:t>
        </x:r>
      </x:text>
    </x:comment>
    <x:comment ref="C10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S025: Data Tables and Football Field
Machine ID: topbuild:integrated-dcf-model:section:7
Component: C103:L124
Base cells: 220
Historical cells: 0
Projected cells: 0</x:t>
        </x:r>
      </x:text>
    </x:comment>
  </x:commentList>
</x:comments>
</file>

<file path=xl/comments4.xml><?xml version="1.0" encoding="utf-8"?>
<x:comments xmlns:x="http://schemas.openxmlformats.org/spreadsheetml/2006/main">
  <x:authors>
    <x:author>tc={14C5BAF3-FE2E-25BD-2348-FF1299A95F1A}</x:author>
    <x:author>tc={DABE67D8-DDCD-9C22-2CD0-19296524A706}</x:author>
    <x:author>tc={112B26C1-996B-39DA-0C01-030946527BC1}</x:author>
    <x:author>tc={FE174555-EC8D-B6D2-C7CF-B1A53B533B5D}</x:author>
    <x:author>tc={83383047-BA05-34BA-7F25-0E885955070A}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S026: WACC Build For TopBuild Corp.
Machine ID: topbuild:wacc-build:section:1
Component: C2:L9
Base cells: 80
Historical cells: 0
Projected cells: 0</x:t>
        </x:r>
      </x:text>
    </x:comment>
    <x:comment ref="C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S027: Cost of Debt Calculation
Machine ID: topbuild:wacc-build:section:2
Component: C11:D24
Base cells: 28
Historical cells: 0
Projected cells: 0</x:t>
        </x:r>
      </x:text>
    </x:comment>
    <x:comment ref="F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S028: Beta (β) Calculator
Machine ID: topbuild:wacc-build:section:3
Component: F11:L52
Base cells: 294
Historical cells: 0
Projected cells: 0</x:t>
        </x:r>
      </x:text>
    </x:comment>
    <x:comment ref="C2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S029: Cost of Equity Calculation
Machine ID: topbuild:wacc-build:section:4
Component: C26:D33
Base cells: 16
Historical cells: 0
Projected cells: 0</x:t>
        </x:r>
      </x:text>
    </x:comment>
    <x:comment ref="C3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S030: Capital Structure and WACC
Machine ID: topbuild:wacc-build:section:5
Component: C35:D43
Base cells: 18
Historical cells: 0
Projected cells: 0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<x:sst xmlns:x="http://schemas.openxmlformats.org/spreadsheetml/2006/main">
  <x:si>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$ in thousands except per unit</x:t>
  </x:si>
  <x:si>
    <x:t xml:space="preserve">Company Name</x:t>
  </x:si>
  <x:si>
    <x:t xml:space="preserve">TopBuild Corp.</x:t>
  </x:si>
  <x:si>
    <x:t xml:space="preserve">Ticker</x:t>
  </x:si>
  <x:si>
    <x:t xml:space="preserve">BLD</x:t>
  </x:si>
  <x:si>
    <x:t xml:space="preserve">Valuation Date</x:t>
  </x:si>
  <x:si>
    <x:t xml:space="preserve">Latest Adj. Closing Share Price Date</x:t>
  </x:si>
  <x:si>
    <x:t xml:space="preserve">Latest Adj. Closing Share Price</x:t>
  </x:si>
  <x:si>
    <x:t xml:space="preserve">Revenue Projection</x:t>
  </x:si>
  <x:si>
    <x:t xml:space="preserve">Historical</x:t>
  </x:si>
  <x:si>
    <x:t xml:space="preserve">Projected</x:t>
  </x:si>
  <x:si>
    <x:t xml:space="preserve">Total Revenues</x:t>
  </x:si>
  <x:si>
    <x:t xml:space="preserve">% growth</x:t>
  </x:si>
  <x:si>
    <x:t xml:space="preserve">Segmental Revenue Schedule</x:t>
  </x:si>
  <x:si>
    <x:t xml:space="preserve">Installation Revenue</x:t>
  </x:si>
  <x:si>
    <x:t xml:space="preserve">Specialty Distribution</x:t>
  </x:si>
  <x:si>
    <x:t xml:space="preserve">Intercompany Eliminations</x:t>
  </x:si>
  <x:si>
    <x:t xml:space="preserve">Eliminations as % of Gross Revenue</x:t>
  </x:si>
  <x:si>
    <x:t xml:space="preserve">Growth Driver Assumptions</x:t>
  </x:si>
  <x:si>
    <x:t xml:space="preserve">Segment Revenue Growth Drivers</x:t>
  </x:si>
  <x:si>
    <x:t xml:space="preserve">% growth attribution for Installation segment</x:t>
  </x:si>
  <x:si>
    <x:t xml:space="preserve">Selling prices</x:t>
  </x:si>
  <x:si>
    <x:t xml:space="preserve">Volumes</x:t>
  </x:si>
  <x:si>
    <x:t xml:space="preserve">Acquisitions</x:t>
  </x:si>
  <x:si>
    <x:t xml:space="preserve">% growth attribution for Specialty Distribution segment</x:t>
  </x:si>
  <x:si>
    <x:t xml:space="preserve">General Growth Drivers</x:t>
  </x:si>
  <x:si>
    <x:t xml:space="preserve">Operating Expenses</x:t>
  </x:si>
  <x:si>
    <x:t xml:space="preserve">Gross Profit Margin</x:t>
  </x:si>
  <x:si>
    <x:t xml:space="preserve">SG&amp;A % Revenue</x:t>
  </x:si>
  <x:si>
    <x:t xml:space="preserve">Other Operating Expense % of Revenue</x:t>
  </x:si>
  <x:si>
    <x:t xml:space="preserve">Days Sales Outstanding</x:t>
  </x:si>
  <x:si>
    <x:t xml:space="preserve">Inventory Turnover</x:t>
  </x:si>
  <x:si>
    <x:t xml:space="preserve">Days Payables Outstanding</x:t>
  </x:si>
  <x:si>
    <x:t xml:space="preserve">Acquisition spend allocation to:</x:t>
  </x:si>
  <x:si>
    <x:t xml:space="preserve">Goodwill</x:t>
  </x:si>
  <x:si>
    <x:t xml:space="preserve">Intangibles</x:t>
  </x:si>
  <x:si>
    <x:t xml:space="preserve">PPE</x:t>
  </x:si>
  <x:si>
    <x:t xml:space="preserve">$ in thousands except per share</x:t>
  </x:si>
  <x:si>
    <x:t xml:space="preserve">Circ toggle (1=on, 0=off)</x:t>
  </x:si>
  <x:si>
    <x:t xml:space="preserve">                                                                                      </x:t>
  </x:si>
  <x:si>
    <x:t xml:space="preserve">Income Statement</x:t>
  </x:si>
  <x:si>
    <x:t xml:space="preserve">5 Year</x:t>
  </x:si>
  <x:si>
    <x:t xml:space="preserve">CAGR</x:t>
  </x:si>
  <x:si>
    <x:t xml:space="preserve">Less: Cost of Sales</x:t>
  </x:si>
  <x:si>
    <x:t xml:space="preserve">Gross Profit</x:t>
  </x:si>
  <x:si>
    <x:t xml:space="preserve">SG&amp;A Expense</x:t>
  </x:si>
  <x:si>
    <x:t xml:space="preserve">Other Operating Expense</x:t>
  </x:si>
  <x:si>
    <x:t xml:space="preserve">Operating Profit (EBIT)</x:t>
  </x:si>
  <x:si>
    <x:t xml:space="preserve">Nonoperating Income</x:t>
  </x:si>
  <x:si>
    <x:t xml:space="preserve">Interest Expense</x:t>
  </x:si>
  <x:si>
    <x:t xml:space="preserve">Unusual Expenses</x:t>
  </x:si>
  <x:si>
    <x:t xml:space="preserve">Pre-tax Profit</x:t>
  </x:si>
  <x:si>
    <x:t xml:space="preserve">Income Taxes</x:t>
  </x:si>
  <x:si>
    <x:t xml:space="preserve">Minority interest</x:t>
  </x:si>
  <x:si>
    <x:t xml:space="preserve">Net Income</x:t>
  </x:si>
  <x:si>
    <x:t xml:space="preserve">Depreciation and Amortization</x:t>
  </x:si>
  <x:si>
    <x:t xml:space="preserve">EBITDA</x:t>
  </x:si>
  <x:si>
    <x:t xml:space="preserve">Stock Compensation and Exercise of Options</x:t>
  </x:si>
  <x:si>
    <x:t xml:space="preserve">Growth Rates and Margins</x:t>
  </x:si>
  <x:si>
    <x:t xml:space="preserve">Revenue Growth</x:t>
  </x:si>
  <x:si>
    <x:t xml:space="preserve">SG&amp;A % of Revenue</x:t>
  </x:si>
  <x:si>
    <x:t xml:space="preserve">EBIT Margin</x:t>
  </x:si>
  <x:si>
    <x:t xml:space="preserve">EBITDA Margin</x:t>
  </x:si>
  <x:si>
    <x:t xml:space="preserve">Profit Margin</x:t>
  </x:si>
  <x:si>
    <x:t xml:space="preserve">Effective Tax Rate</x:t>
  </x:si>
  <x:si>
    <x:t xml:space="preserve">Balance Sheet</x:t>
  </x:si>
  <x:si>
    <x:t xml:space="preserve">Cash &amp; Short-Term Investments</x:t>
  </x:si>
  <x:si>
    <x:t xml:space="preserve">Short-Term Receivables</x:t>
  </x:si>
  <x:si>
    <x:t xml:space="preserve">Inventories</x:t>
  </x:si>
  <x:si>
    <x:t xml:space="preserve">Other Current Assets</x:t>
  </x:si>
  <x:si>
    <x:t xml:space="preserve">Total Current Assets</x:t>
  </x:si>
  <x:si>
    <x:t xml:space="preserve">Net Property, Plant &amp; Equipment</x:t>
  </x:si>
  <x:si>
    <x:t xml:space="preserve">Total Long-Term Investments</x:t>
  </x:si>
  <x:si>
    <x:t xml:space="preserve">Intangible Assets</x:t>
  </x:si>
  <x:si>
    <x:t xml:space="preserve">Deferred Tax Assets</x:t>
  </x:si>
  <x:si>
    <x:t xml:space="preserve">Other Assets</x:t>
  </x:si>
  <x:si>
    <x:t xml:space="preserve">Total Assets</x:t>
  </x:si>
  <x:si>
    <x:t xml:space="preserve">ST Debt &amp; Curr. Portion LT Debt</x:t>
  </x:si>
  <x:si>
    <x:t xml:space="preserve">Accounts Payable</x:t>
  </x:si>
  <x:si>
    <x:t xml:space="preserve">Income Tax Payable</x:t>
  </x:si>
  <x:si>
    <x:t xml:space="preserve">Other Current Liabilities</x:t>
  </x:si>
  <x:si>
    <x:t xml:space="preserve">Total Current Liabilities</x:t>
  </x:si>
  <x:si>
    <x:t xml:space="preserve">Long-Term Debt</x:t>
  </x:si>
  <x:si>
    <x:t xml:space="preserve">Provision for Risks &amp; Charges</x:t>
  </x:si>
  <x:si>
    <x:t xml:space="preserve">Deferred Tax Liabilities</x:t>
  </x:si>
  <x:si>
    <x:t xml:space="preserve">Other Liabilities</x:t>
  </x:si>
  <x:si>
    <x:t xml:space="preserve">Total Liabilities</x:t>
  </x:si>
  <x:si>
    <x:t xml:space="preserve">Total Shareholder's Equity</x:t>
  </x:si>
  <x:si>
    <x:t xml:space="preserve">Total Equity</x:t>
  </x:si>
  <x:si>
    <x:t xml:space="preserve">Total Liabilities and Equity</x:t>
  </x:si>
  <x:si>
    <x:t xml:space="preserve">Balance Check</x:t>
  </x:si>
  <x:si>
    <x:t xml:space="preserve">Cash Flow Statement</x:t>
  </x:si>
  <x:si>
    <x:t xml:space="preserve">Depreciation, Depletion &amp; Amortization</x:t>
  </x:si>
  <x:si>
    <x:t xml:space="preserve">Deferred Taxes &amp; Investment Tax Credit</x:t>
  </x:si>
  <x:si>
    <x:t xml:space="preserve">Other Funds</x:t>
  </x:si>
  <x:si>
    <x:t xml:space="preserve">Funds from Operations</x:t>
  </x:si>
  <x:si>
    <x:t xml:space="preserve">Changes in Working Capital</x:t>
  </x:si>
  <x:si>
    <x:t xml:space="preserve">Cash Flow From Operating Activities</x:t>
  </x:si>
  <x:si>
    <x:t xml:space="preserve">Capital Expenditures</x:t>
  </x:si>
  <x:si>
    <x:t xml:space="preserve">Net Assets from Acquisitions</x:t>
  </x:si>
  <x:si>
    <x:t xml:space="preserve">Sale of Fixed Assets &amp; Businesses</x:t>
  </x:si>
  <x:si>
    <x:t xml:space="preserve">Purchase/Sale of Investments</x:t>
  </x:si>
  <x:si>
    <x:t xml:space="preserve">Cash Flow From Investing Activities</x:t>
  </x:si>
  <x:si>
    <x:t xml:space="preserve">Change in Capital Stock</x:t>
  </x:si>
  <x:si>
    <x:t xml:space="preserve">Issuance/Reduction of Debt, Net</x:t>
  </x:si>
  <x:si>
    <x:t xml:space="preserve">Dividends</x:t>
  </x:si>
  <x:si>
    <x:t xml:space="preserve">Cash Flow From Financing Activities</x:t>
  </x:si>
  <x:si>
    <x:t xml:space="preserve">Effect of Exchange Rate on Cash and Equivalents</x:t>
  </x:si>
  <x:si>
    <x:t xml:space="preserve">Net Change in Cash During Period</x:t>
  </x:si>
  <x:si>
    <x:t xml:space="preserve">Line Item Schedules</x:t>
  </x:si>
  <x:si>
    <x:t xml:space="preserve">Current Assets Schedule</x:t>
  </x:si>
  <x:si>
    <x:t xml:space="preserve">Accounts Receivable</x:t>
  </x:si>
  <x:si>
    <x:t xml:space="preserve">Beginning of Period</x:t>
  </x:si>
  <x:si>
    <x:t xml:space="preserve">Increase (Decrease)</x:t>
  </x:si>
  <x:si>
    <x:t xml:space="preserve">End of Period</x:t>
  </x:si>
  <x:si>
    <x:t xml:space="preserve">A/R Forecasting Approach (1=Rev Growth, 2=DSO)</x:t>
  </x:si>
  <x:si>
    <x:t xml:space="preserve">Revenue Growth Rate (Approach 1)</x:t>
  </x:si>
  <x:si>
    <x:t xml:space="preserve">Days Sales Outstanding (Approach 2)</x:t>
  </x:si>
  <x:si>
    <x:t xml:space="preserve">Revenue</x:t>
  </x:si>
  <x:si>
    <x:t xml:space="preserve">Inventory Forecasting Approach (1=Cost of Sales Growth, 2=Turnover)</x:t>
  </x:si>
  <x:si>
    <x:t xml:space="preserve">Cost of Sales Growth Rate (Approach 1)</x:t>
  </x:si>
  <x:si>
    <x:t xml:space="preserve">Inventory Turnover (Approach 2)</x:t>
  </x:si>
  <x:si>
    <x:t xml:space="preserve">Cost of Sales</x:t>
  </x:si>
  <x:si>
    <x:t xml:space="preserve">Current Assets (Ex. Cash and Other current assets)</x:t>
  </x:si>
  <x:si>
    <x:t xml:space="preserve">Current Liabilities Schedule</x:t>
  </x:si>
  <x:si>
    <x:t xml:space="preserve">A/P Forecasting Approach (1=Cost of Sales Growth, 2=DPO)</x:t>
  </x:si>
  <x:si>
    <x:t xml:space="preserve">Days Payables Outstanding (Approach 2)</x:t>
  </x:si>
  <x:si>
    <x:t xml:space="preserve">Intangibles Schedule</x:t>
  </x:si>
  <x:si>
    <x:t xml:space="preserve">Plus: Acquisitions, sale and related adjustments</x:t>
  </x:si>
  <x:si>
    <x:t xml:space="preserve">Less: Effect of foreign currency translation</x:t>
  </x:si>
  <x:si>
    <x:t xml:space="preserve">Plus: Additional changes to Intangibles</x:t>
  </x:si>
  <x:si>
    <x:t xml:space="preserve">Less: Amortization</x:t>
  </x:si>
  <x:si>
    <x:t xml:space="preserve">Amortization of Intangibles</x:t>
  </x:si>
  <x:si>
    <x:t xml:space="preserve">Amortization of Existing assets</x:t>
  </x:si>
  <x:si>
    <x:t xml:space="preserve">Useful life (years) of Acquired Intangibles</x:t>
  </x:si>
  <x:si>
    <x:t xml:space="preserve">Amortization of Intangibles from Acquisitions in:</x:t>
  </x:si>
  <x:si>
    <x:t xml:space="preserve">Total Amortization</x:t>
  </x:si>
  <x:si>
    <x:t xml:space="preserve">PP&amp;E and Depreciation Schedule</x:t>
  </x:si>
  <x:si>
    <x:t xml:space="preserve">Property, Plant and Equipment</x:t>
  </x:si>
  <x:si>
    <x:t xml:space="preserve">Plus: Capital Expenditures</x:t>
  </x:si>
  <x:si>
    <x:t xml:space="preserve">Plus: Additions from acquisitions (in forecast years)</x:t>
  </x:si>
  <x:si>
    <x:t xml:space="preserve">Less: Depreciation</x:t>
  </x:si>
  <x:si>
    <x:t xml:space="preserve">CapEx as % of Revenue</x:t>
  </x:si>
  <x:si>
    <x:t xml:space="preserve">Depreciation</x:t>
  </x:si>
  <x:si>
    <x:t xml:space="preserve">Useful life (years) of existing PPE</x:t>
  </x:si>
  <x:si>
    <x:t xml:space="preserve">Useful life (years) of new PPE</x:t>
  </x:si>
  <x:si>
    <x:t xml:space="preserve">Depreciation of Existing assets</x:t>
  </x:si>
  <x:si>
    <x:t xml:space="preserve">Depreciation of Assets from CapEx in:</x:t>
  </x:si>
  <x:si>
    <x:t xml:space="preserve">Depreciation of Assets from Acquisitions in:</x:t>
  </x:si>
  <x:si>
    <x:t xml:space="preserve">Total Depreciation</x:t>
  </x:si>
  <x:si>
    <x:t xml:space="preserve">Retained Earnings Schedule</x:t>
  </x:si>
  <x:si>
    <x:t xml:space="preserve">Plus: Net Income</x:t>
  </x:si>
  <x:si>
    <x:t xml:space="preserve">Less: Dividends Paid and Declared</x:t>
  </x:si>
  <x:si>
    <x:t xml:space="preserve">Less: Other Adjustments</x:t>
  </x:si>
  <x:si>
    <x:t xml:space="preserve">Dividend Payout Ratio</x:t>
  </x:si>
  <x:si>
    <x:t xml:space="preserve">Non-controlling Interest Schedule</x:t>
  </x:si>
  <x:si>
    <x:t xml:space="preserve">Plus: Net Income attributable to NCI</x:t>
  </x:si>
  <x:si>
    <x:t xml:space="preserve">Net income attributable to NCI as % of total Net Income</x:t>
  </x:si>
  <x:si>
    <x:t xml:space="preserve">Debt &amp; Interest Schedule (ex. Leases)</x:t>
  </x:si>
  <x:si>
    <x:t xml:space="preserve">Principal amount (End of period)</x:t>
  </x:si>
  <x:si>
    <x:t xml:space="preserve">Senior Debt due 2029</x:t>
  </x:si>
  <x:si>
    <x:t xml:space="preserve">Senior Debt due 2032</x:t>
  </x:si>
  <x:si>
    <x:t xml:space="preserve">Term loan due 2026</x:t>
  </x:si>
  <x:si>
    <x:t xml:space="preserve">Equipment notes</x:t>
  </x:si>
  <x:si>
    <x:t xml:space="preserve">Draw (Paydown)</x:t>
  </x:si>
  <x:si>
    <x:t xml:space="preserve">Interest rates</x:t>
  </x:si>
  <x:si>
    <x:t xml:space="preserve">Interest expense</x:t>
  </x:si>
  <x:si>
    <x:t xml:space="preserve">Current portion of Long-term Debt</x:t>
  </x:si>
  <x:si>
    <x:t xml:space="preserve">Non-current portion of Long-term Debt</x:t>
  </x:si>
  <x:si>
    <x:t xml:space="preserve">Total Interest Expense on Long-term Debt</x:t>
  </x:si>
  <x:si>
    <x:t xml:space="preserve">Unamortized debt premium and issuance costs</x:t>
  </x:si>
  <x:si>
    <x:t xml:space="preserve">Needs Analysis</x:t>
  </x:si>
  <x:si>
    <x:t xml:space="preserve">Pre-revolver Cash Balance</x:t>
  </x:si>
  <x:si>
    <x:t xml:space="preserve">Target Minimum Cash</x:t>
  </x:si>
  <x:si>
    <x:t xml:space="preserve">Target Minimum Cash as a % of Revenue</x:t>
  </x:si>
  <x:si>
    <x:t xml:space="preserve">Short-term Bank Credit/Revolver</x:t>
  </x:si>
  <x:si>
    <x:t xml:space="preserve">Beginning of Period (BOP)</x:t>
  </x:si>
  <x:si>
    <x:t xml:space="preserve">Weighted Average Interest Rate</x:t>
  </x:si>
  <x:si>
    <x:t xml:space="preserve">Cash and Equivalents</x:t>
  </x:si>
  <x:si>
    <x:t xml:space="preserve">End of Period Balance (from B/S)</x:t>
  </x:si>
  <x:si>
    <x:t xml:space="preserve">Interest Income</x:t>
  </x:si>
  <x:si>
    <x:t xml:space="preserve">Lease Schedule</x:t>
  </x:si>
  <x:si>
    <x:t xml:space="preserve">Finance lease liabilities</x:t>
  </x:si>
  <x:si>
    <x:t xml:space="preserve">Interest on Finance Lease Obligations</x:t>
  </x:si>
  <x:si>
    <x:t xml:space="preserve">Interest rate</x:t>
  </x:si>
  <x:si>
    <x:t xml:space="preserve">Cash payments on Finance Lease Obligations</x:t>
  </x:si>
  <x:si>
    <x:t xml:space="preserve">Cash payments as % of beginning lease balance</x:t>
  </x:si>
  <x:si>
    <x:t xml:space="preserve">Finance lease liabilities BOP</x:t>
  </x:si>
  <x:si>
    <x:t xml:space="preserve">  Plus: New finance lease additions</x:t>
  </x:si>
  <x:si>
    <x:t xml:space="preserve">  Less: Cash principal payments</x:t>
  </x:si>
  <x:si>
    <x:t xml:space="preserve">Finance lease liabilities EOP</x:t>
  </x:si>
  <x:si>
    <x:t xml:space="preserve">Finance lease liabilities EOP as % of revenue</x:t>
  </x:si>
  <x:si>
    <x:t xml:space="preserve">Current portion of lease liabilities</x:t>
  </x:si>
  <x:si>
    <x:t xml:space="preserve">Current lease liabilities as a % of total</x:t>
  </x:si>
  <x:si>
    <x:t xml:space="preserve">Non-current portion of lease liabilities</x:t>
  </x:si>
  <x:si>
    <x:t xml:space="preserve">Amortization on Finance Lease Assets</x:t>
  </x:si>
  <x:si>
    <x:t xml:space="preserve">Amortization as % of beginning lease assets</x:t>
  </x:si>
  <x:si>
    <x:t xml:space="preserve">Finance Lease assets BOP</x:t>
  </x:si>
  <x:si>
    <x:t xml:space="preserve">  Less: Amortization</x:t>
  </x:si>
  <x:si>
    <x:t xml:space="preserve">Finance Lease assets EOP</x:t>
  </x:si>
  <x:si>
    <x:t xml:space="preserve">Operating lease liabilities</x:t>
  </x:si>
  <x:si>
    <x:t xml:space="preserve">Total lease cost</x:t>
  </x:si>
  <x:si>
    <x:t xml:space="preserve">Lease cost as % of revenue</x:t>
  </x:si>
  <x:si>
    <x:t xml:space="preserve">Cash payment for operating leases</x:t>
  </x:si>
  <x:si>
    <x:t xml:space="preserve">Cash payment as % of total lease cost</x:t>
  </x:si>
  <x:si>
    <x:t xml:space="preserve">Operating lease discount rate</x:t>
  </x:si>
  <x:si>
    <x:t xml:space="preserve">Operating lease liabilities BOP</x:t>
  </x:si>
  <x:si>
    <x:t xml:space="preserve">  Plus: New lease additions</x:t>
  </x:si>
  <x:si>
    <x:t xml:space="preserve">  Plus: Interest accretion</x:t>
  </x:si>
  <x:si>
    <x:t xml:space="preserve">  Less: Cash lease payments</x:t>
  </x:si>
  <x:si>
    <x:t xml:space="preserve">Operating lease liabilities EOP</x:t>
  </x:si>
  <x:si>
    <x:t xml:space="preserve">Operating lease liabilities EOP as % of revenue</x:t>
  </x:si>
  <x:si>
    <x:t xml:space="preserve">Total ROU assets BOP</x:t>
  </x:si>
  <x:si>
    <x:t xml:space="preserve">  Less: ROU amortization</x:t>
  </x:si>
  <x:si>
    <x:t xml:space="preserve">Total ROU assets EOP</x:t>
  </x:si>
  <x:si>
    <x:t xml:space="preserve">Acquisition Schedule</x:t>
  </x:si>
  <x:si>
    <x:t xml:space="preserve">Cashflow from Operations less CapEx</x:t>
  </x:si>
  <x:si>
    <x:t xml:space="preserve">Acquisition spend</x:t>
  </x:si>
  <x:si>
    <x:t xml:space="preserve">% of CFO minus CapEx</x:t>
  </x:si>
  <x:si>
    <x:t xml:space="preserve">Allocation to Goodwill</x:t>
  </x:si>
  <x:si>
    <x:t xml:space="preserve">Allocation to Intangibles</x:t>
  </x:si>
  <x:si>
    <x:t xml:space="preserve">Allocation to PPE</x:t>
  </x:si>
  <x:si>
    <x:t xml:space="preserve">Values</x:t>
  </x:si>
  <x:si>
    <x:t xml:space="preserve">Basic Shares Outstanding</x:t>
  </x:si>
  <x:si>
    <x:t xml:space="preserve">Fully Diluted Shares Outstanding</x:t>
  </x:si>
  <x:si>
    <x:t xml:space="preserve">Discount Rate (WACC)</x:t>
  </x:si>
  <x:si>
    <x:t xml:space="preserve">Midyear Adjustment (1=on, 0=off)</x:t>
  </x:si>
  <x:si>
    <x:t xml:space="preserve">Unlevered Free Cash Flow</x:t>
  </x:si>
  <x:si>
    <x:t xml:space="preserve">YoY Growth Rate (%)</x:t>
  </x:si>
  <x:si>
    <x:t xml:space="preserve">Gross Margin (%)</x:t>
  </x:si>
  <x:si>
    <x:t xml:space="preserve">EBITDA Margin (%)</x:t>
  </x:si>
  <x:si>
    <x:t xml:space="preserve">EBIT Margin (%)</x:t>
  </x:si>
  <x:si>
    <x:t xml:space="preserve">Tax on EBIT</x:t>
  </x:si>
  <x:si>
    <x:t xml:space="preserve">Tax Rate (%)</x:t>
  </x:si>
  <x:si>
    <x:t xml:space="preserve">NOPAT/EBIAT</x:t>
  </x:si>
  <x:si>
    <x:t xml:space="preserve">Plus: Depreciation and Amortization</x:t>
  </x:si>
  <x:si>
    <x:t xml:space="preserve">Plus: Stock Compensation</x:t>
  </x:si>
  <x:si>
    <x:t xml:space="preserve">Less: Change in Net Working Capital</x:t>
  </x:si>
  <x:si>
    <x:t xml:space="preserve">Less: Capital Expenditures &amp; Acquisition Spend</x:t>
  </x:si>
  <x:si>
    <x:t xml:space="preserve">Unlevered Free Cash Flow (UFCF)</x:t>
  </x:si>
  <x:si>
    <x:t xml:space="preserve">Net Working Capital Schedule</x:t>
  </x:si>
  <x:si>
    <x:t xml:space="preserve">Current Assets (Ex. Cash)</x:t>
  </x:si>
  <x:si>
    <x:t xml:space="preserve">Current Liabilities</x:t>
  </x:si>
  <x:si>
    <x:t xml:space="preserve">Net Working Capital</x:t>
  </x:si>
  <x:si>
    <x:t xml:space="preserve">Change in Net Working Capital</x:t>
  </x:si>
  <x:si>
    <x:t xml:space="preserve">Stub %</x:t>
  </x:si>
  <x:si>
    <x:t xml:space="preserve">Stub Year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</x:si>
  <x:si>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</x:si>
  <x:si>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</x:si>
  <x:si>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</x:si>
  <x:si>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</x:si>
  <x:si>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Dates for Discounting UFCF</x:t>
  </x:si>
  <x:si>
    <x:t xml:space="preserve">Periods for Discounting UFCF</x:t>
  </x:si>
  <x:si>
    <x:t xml:space="preserve">Stub-adjusted Unlevered Free Cash Flow (UFCF)</x:t>
  </x:si>
  <x:si>
    <x:t xml:space="preserve">PV of Stub-adjusted UFCFs</x:t>
  </x:si>
  <x:si>
    <x:t xml:space="preserve">Basic to Fully Diluted Shares Bridge (in 000s)</x:t>
  </x:si>
  <x:si>
    <x:t xml:space="preserve">Basic Shares</x:t>
  </x:si>
  <x:si>
    <x:t xml:space="preserve">Restricted Stock</x:t>
  </x:si>
  <x:si>
    <x:t xml:space="preserve">Options/Warrants</x:t>
  </x:si>
  <x:si>
    <x:t xml:space="preserve">Convertible Debt</x:t>
  </x:si>
  <x:si>
    <x:t xml:space="preserve">Convertible Preferred Stock</x:t>
  </x:si>
  <x:si>
    <x:t xml:space="preserve">Terminal Value and Equity Value Bridge</x:t>
  </x:si>
  <x:si>
    <x:t xml:space="preserve">Terminal Value - Multiples Method</x:t>
  </x:si>
  <x:si>
    <x:t xml:space="preserve">Terminal Value - Perpetual Growth Method</x:t>
  </x:si>
  <x:si>
    <x:t xml:space="preserve">EV/EBITDA</x:t>
  </x:si>
  <x:si>
    <x:t xml:space="preserve">Terminal UFCF Growth Rate</x:t>
  </x:si>
  <x:si>
    <x:t xml:space="preserve">Implied Terminal Value</x:t>
  </x:si>
  <x:si>
    <x:t xml:space="preserve">Implied Terminal UFCF Growth Rate</x:t>
  </x:si>
  <x:si>
    <x:t xml:space="preserve">Implied Terminal EV/EBITDA</x:t>
  </x:si>
  <x:si>
    <x:t xml:space="preserve">Plus: PV of Terminal Value</x:t>
  </x:si>
  <x:si>
    <x:t xml:space="preserve">Plus: Sum of PV of Stub-adjusted UFCFs</x:t>
  </x:si>
  <x:si>
    <x:t xml:space="preserve">Implied Enterprise Value</x:t>
  </x:si>
  <x:si>
    <x:t xml:space="preserve">% of Implied EV from Terminal Value</x:t>
  </x:si>
  <x:si>
    <x:t xml:space="preserve">Plus: Cash and Cash Equivalents</x:t>
  </x:si>
  <x:si>
    <x:t xml:space="preserve">Less: Debt &amp; Capital Leases (excl. Operating Leases)</x:t>
  </x:si>
  <x:si>
    <x:t xml:space="preserve">Less: Preferred Stock</x:t>
  </x:si>
  <x:si>
    <x:t xml:space="preserve">Less: Non-controlling Interest</x:t>
  </x:si>
  <x:si>
    <x:t xml:space="preserve">Implied Equity Value</x:t>
  </x:si>
  <x:si>
    <x:t xml:space="preserve">Implied Share Price</x:t>
  </x:si>
  <x:si>
    <x:t xml:space="preserve">Premium (Discount) to Current Price</x:t>
  </x:si>
  <x:si>
    <x:t xml:space="preserve">Implied Y1 Multiples</x:t>
  </x:si>
  <x:si>
    <x:t xml:space="preserve">EV / Revenue</x:t>
  </x:si>
  <x:si>
    <x:t xml:space="preserve">EV / EBITDA </x:t>
  </x:si>
  <x:si>
    <x:t xml:space="preserve">EV / EBIT</x:t>
  </x:si>
  <x:si>
    <x:t xml:space="preserve">Data Tables and Football Field</x:t>
  </x:si>
  <x:si>
    <x:t xml:space="preserve">EV/EBITDA Multiple</x:t>
  </x:si>
  <x:si>
    <x:t xml:space="preserve">Cost of Debt Calculation</x:t>
  </x:si>
  <x:si>
    <x:t xml:space="preserve">Beta (β) Calculator</x:t>
  </x:si>
  <x:si>
    <x:t xml:space="preserve">Total Interest Expenses</x:t>
  </x:si>
  <x:si>
    <x:t xml:space="preserve">S&amp;P 500 Index</x:t>
  </x:si>
  <x:si>
    <x:t xml:space="preserve">Date</x:t>
  </x:si>
  <x:si>
    <x:t xml:space="preserve">Adj. Close Price</x:t>
  </x:si>
  <x:si>
    <x:t xml:space="preserve">Return (%)</x:t>
  </x:si>
  <x:si>
    <x:t xml:space="preserve">Current Portion of LT Debt &amp; Finance leases</x:t>
  </x:si>
  <x:si>
    <x:t xml:space="preserve">LT Debt &amp; Finance leases (Ex. Current Portion)</x:t>
  </x:si>
  <x:si>
    <x:t xml:space="preserve">Total Debt</x:t>
  </x:si>
  <x:si>
    <x:t xml:space="preserve">Pre-tax Cost of Debt</x:t>
  </x:si>
  <x:si>
    <x:t xml:space="preserve">Effective Cost of Debt</x:t>
  </x:si>
  <x:si>
    <x:t xml:space="preserve">Cost of Equity Calculation</x:t>
  </x:si>
  <x:si>
    <x:t xml:space="preserve">Equity Risk Premium</x:t>
  </x:si>
  <x:si>
    <x:t xml:space="preserve">Risk-free Rate</x:t>
  </x:si>
  <x:si>
    <x:t xml:space="preserve">Company Beta</x:t>
  </x:si>
  <x:si>
    <x:t xml:space="preserve">Cost of Equity</x:t>
  </x:si>
  <x:si>
    <x:t xml:space="preserve">Capital Structure and WACC</x:t>
  </x:si>
  <x:si>
    <x:t xml:space="preserve">% of Total Capital</x:t>
  </x:si>
  <x:si>
    <x:t xml:space="preserve">Equity Value</x:t>
  </x:si>
  <x:si>
    <x:t xml:space="preserve">Weighted Average Cost of Capital (WACC)</x:t>
  </x:si>
  <x:si>
    <x:t xml:space="preserve">Company Beta (3Y Monthly) &gt;&gt;</x:t>
  </x:si>
</x:sst>
</file>

<file path=xl/styles.xml><?xml version="1.0" encoding="utf-8"?>
<x:styleSheet xmlns:x="http://schemas.openxmlformats.org/spreadsheetml/2006/main">
  <x:numFmts count="21">
    <x:numFmt numFmtId="43" formatCode="_ * #,##0.00_ ;_ * \-#,##0.00_ ;_ * &quot;-&quot;??_ ;_ @_ "/>
    <x:numFmt numFmtId="164" formatCode="&quot;$&quot;#,##0.00_);[Red]\(&quot;$&quot;#,##0.00\)"/>
    <x:numFmt numFmtId="165" formatCode="_(* #,##0_);_(* \(#,##0\);_(* &quot;-&quot;_);_(@_)"/>
    <x:numFmt numFmtId="166" formatCode="&quot;FY&quot;\ yyyy"/>
    <x:numFmt numFmtId="167" formatCode="0.0%_);\(0.0%\);@_)"/>
    <x:numFmt numFmtId="168" formatCode="#,##0.0_);\(#,##0.0\)"/>
    <x:numFmt numFmtId="169" formatCode="0\ &quot;days&quot;"/>
    <x:numFmt numFmtId="170" formatCode="0.0%"/>
    <x:numFmt numFmtId="171" formatCode="#,##0\ &quot;days&quot;_);\(#,##0\ &quot;days&quot;\)"/>
    <x:numFmt numFmtId="172" formatCode="_(* #,##0.000_);_(* \(#,##0.000\);_(* &quot;-&quot;_);_(@_)"/>
    <x:numFmt numFmtId="173" formatCode="_([$$-409]* #,##0.00_);_([$$-409]* \(#,##0.00\);_([$$-409]* &quot;-&quot;??_);_(@_)"/>
    <x:numFmt numFmtId="174" formatCode="0.0%_);\(0.0%\)"/>
    <x:numFmt numFmtId="175" formatCode="#,##0_);\(#,##0\);\-\ "/>
    <x:numFmt numFmtId="176" formatCode="0.0\x_);\(0.0\x\);\-\ "/>
    <x:numFmt numFmtId="177" formatCode="0.00\x_);\(0.00\x\);\-\ "/>
    <x:numFmt numFmtId="178" formatCode="#,##0.00_);\(#,##0.00\);\-\ "/>
    <x:numFmt numFmtId="179" formatCode="0.00%_);\(0.00%\)"/>
    <x:numFmt numFmtId="180" formatCode="0.000%_);\(0.000%\)"/>
    <x:numFmt numFmtId="181" formatCode="#,##0.0_);\(#,##0.0\);\-\ "/>
    <x:numFmt numFmtId="182" formatCode="0\ &quot;years &quot;"/>
    <x:numFmt numFmtId="200" formatCode="#,##0"/>
  </x:numFmts>
  <x:fonts count="48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4"/>
      <x:color theme="1"/>
      <x:name val="Calibri"/>
    </x:font>
    <x:font>
      <x:sz val="11"/>
      <x:color theme="1"/>
      <x:name val="Calibri"/>
    </x:font>
    <x:font>
      <x:i/>
      <x:sz val="11"/>
      <x:color theme="1"/>
      <x:name val="Calibri"/>
    </x:font>
    <x:font>
      <x:sz val="11"/>
      <x:color rgb="FF0070C0"/>
      <x:name val="Calibri"/>
    </x:font>
    <x:font>
      <x:sz val="11"/>
      <x:color theme="1"/>
      <x:name val="Calibri"/>
    </x:font>
    <x:font>
      <x:sz val="11"/>
      <x:color theme="9"/>
      <x:name val="Calibri"/>
    </x:font>
    <x:font>
      <x:b/>
      <x:sz val="11"/>
      <x:color theme="0"/>
      <x:name val="Calibri"/>
    </x:font>
    <x:font>
      <x:sz val="1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i/>
      <x:sz val="11"/>
      <x:color theme="1"/>
      <x:name val="Calibri"/>
    </x:font>
    <x:font>
      <x:sz val="12"/>
      <x:color rgb="FF000000"/>
      <x:name val="Courier New"/>
    </x:font>
    <x:font>
      <x:sz val="11"/>
      <x:color theme="0"/>
      <x:name val="Calibri (Body)"/>
    </x:font>
    <x:font>
      <x:b/>
      <x:sz val="11"/>
      <x:color theme="0"/>
      <x:name val="Calibri (Body)"/>
    </x:font>
    <x:font>
      <x:b/>
      <x:sz val="11"/>
      <x:color theme="1"/>
      <x:name val="Calibri"/>
    </x:font>
    <x:font>
      <x:i/>
      <x:sz val="11"/>
      <x:color rgb="FF000000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rgb="FF000000"/>
      <x:name val="Calibri"/>
    </x:font>
    <x:font>
      <x:sz val="11"/>
      <x:color theme="8"/>
      <x:name val="Calibri"/>
    </x:font>
    <x:font>
      <x:b/>
      <x:sz val="10"/>
      <x:color theme="1"/>
      <x:name val="Calibri"/>
    </x:font>
    <x:font>
      <x:sz val="11"/>
      <x:color rgb="FF000000"/>
      <x:name val="Calibri"/>
    </x:font>
    <x:font>
      <x:sz val="11"/>
      <x:color rgb="FF0000FF"/>
      <x:name val="Calibri"/>
    </x:font>
    <x:font>
      <x:sz val="11"/>
      <x:color rgb="FF0000FF"/>
      <x:name val="Calibri"/>
    </x:font>
    <x:font>
      <x:sz val="11"/>
      <x:color rgb="FF196B24"/>
      <x:name val="Calibri"/>
    </x:font>
    <x:font>
      <x:b/>
      <x:sz val="11"/>
      <x:color rgb="FF0000FF"/>
      <x:name val="Calibri"/>
    </x:font>
    <x:font>
      <x:sz val="11"/>
      <x:color rgb="FF196B24"/>
      <x:name val="Calibri"/>
    </x:font>
    <x:font>
      <x:i/>
      <x:sz val="11"/>
      <x:color rgb="FF196B24"/>
      <x:name val="Calibri"/>
    </x:font>
    <x:font>
      <x:sz val="11"/>
      <x:color theme="1"/>
      <x:name val="Calibri"/>
    </x:font>
    <x:font>
      <x:sz val="11"/>
      <x:color rgb="FFA02B93"/>
      <x:name val="Calibri"/>
    </x:font>
    <x:font>
      <x:b/>
      <x:sz val="11"/>
      <x:color rgb="FF196B24"/>
      <x:name val="Calibri"/>
    </x:font>
    <x:font>
      <x:b/>
      <x:sz val="11"/>
      <x:color theme="1"/>
      <x:name val="Calibri"/>
    </x:font>
    <x:font>
      <x:b/>
      <x:sz val="16"/>
      <x:color rgb="FFFFFFFF"/>
      <x:name val="Calibri"/>
    </x:font>
    <x:font>
      <x:i/>
      <x:sz val="11"/>
      <x:color rgb="FF4B5563"/>
      <x:name val="Calibri"/>
    </x:font>
    <x:font>
      <x:b/>
      <x:sz val="11"/>
      <x:color rgb="FF17365D"/>
      <x:name val="Calibri"/>
    </x:font>
    <x:font>
      <x:b/>
      <x:sz val="11"/>
      <x:color rgb="FFFFFFFF"/>
      <x:name val="Calibri"/>
    </x:font>
    <x:font>
      <x:b/>
      <x:sz val="11"/>
      <x:color rgb="FF1F4E78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theme="8"/>
      </x:patternFill>
    </x:fill>
    <x:fill>
      <x:patternFill patternType="solid">
        <x:fgColor rgb="FFFEF2CB"/>
      </x:patternFill>
    </x:fill>
    <x:fill>
      <x:patternFill patternType="solid">
        <x:fgColor rgb="FFF7CAAC"/>
      </x:patternFill>
    </x:fill>
    <x:fill>
      <x:patternFill patternType="solid">
        <x:fgColor rgb="FFD9E2F3"/>
      </x:patternFill>
    </x:fill>
    <x:fill>
      <x:patternFill patternType="solid">
        <x:fgColor theme="2" tint="-0.04999"/>
      </x:patternFill>
    </x:fill>
    <x:fill>
      <x:patternFill patternType="solid">
        <x:fgColor rgb="FFD8D8D8"/>
      </x:patternFill>
    </x:fill>
    <x:fill>
      <x:patternFill patternType="solid">
        <x:fgColor rgb="FF1F3864"/>
      </x:patternFill>
    </x:fill>
    <x:fill>
      <x:patternFill patternType="solid">
        <x:fgColor rgb="FFD8D8D8"/>
      </x:patternFill>
    </x:fill>
    <x:fill>
      <x:patternFill patternType="solid">
        <x:fgColor rgb="FFFEF2C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5F8FC"/>
      </x:patternFill>
    </x:fill>
  </x:fills>
  <x:borders count="79">
    <x:border/>
    <x:border>
      <x:top style="medium">
        <x:color rgb="FF000000"/>
      </x:top>
    </x:border>
    <x:border>
      <x:bottom style="medium">
        <x:color rgb="FF000000"/>
      </x:bottom>
    </x:border>
    <x:border>
      <x:right style="thin">
        <x:color theme="0"/>
      </x:right>
    </x:border>
    <x:border>
      <x:top style="thin">
        <x:color theme="0"/>
      </x:top>
    </x:border>
    <x:border>
      <x:right style="thin">
        <x:color theme="0"/>
      </x:right>
      <x:top style="thin">
        <x:color theme="0"/>
      </x:top>
    </x:border>
    <x:border>
      <x:right style="dotted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right style="dotted">
        <x:color rgb="FF000000"/>
      </x:right>
    </x:border>
    <x:border>
      <x:top style="thin">
        <x:color rgb="FF000000"/>
      </x:top>
    </x:border>
    <x:border>
      <x:bottom style="thin">
        <x:color indexed="64"/>
      </x:bottom>
    </x:border>
    <x:border>
      <x:right style="dotted">
        <x:color rgb="FF000000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dotted">
        <x:color indexed="64"/>
      </x:right>
      <x:bottom style="thin">
        <x:color indexed="64"/>
      </x:bottom>
    </x:border>
    <x:border>
      <x:right style="dotted">
        <x:color indexed="64"/>
      </x:right>
    </x:border>
    <x:border>
      <x:right style="dotted">
        <x:color auto="1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theme="0"/>
      </x:left>
      <x:bottom style="thin">
        <x:color theme="0"/>
      </x:bottom>
    </x:border>
    <x:border>
      <x:bottom style="thin">
        <x:color theme="0"/>
      </x:bottom>
    </x:border>
    <x:border>
      <x:right style="dotted">
        <x:color indexed="64"/>
      </x:right>
      <x:top style="thin">
        <x:color indexed="64"/>
      </x:top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000000"/>
      </x:bottom>
    </x:border>
    <x:border>
      <x:right style="medium">
        <x:color rgb="FF1F4E78"/>
      </x:right>
      <x:bottom style="medium">
        <x:color rgb="FF000000"/>
      </x:bottom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right style="thin">
        <x:color theme="0"/>
      </x:right>
      <x:top style="medium">
        <x:color rgb="FF1F4E78"/>
      </x:top>
    </x:border>
    <x:border>
      <x:right style="medium">
        <x:color rgb="FF1F4E78"/>
      </x:right>
      <x:top style="thin">
        <x:color theme="0"/>
      </x:top>
    </x:border>
    <x:border>
      <x:right style="dotted">
        <x:color rgb="FF000000"/>
      </x:right>
      <x:bottom style="medium">
        <x:color rgb="FF1F4E78"/>
      </x:bottom>
    </x:border>
    <x:border>
      <x:top style="thin">
        <x:color theme="0"/>
      </x:top>
      <x:bottom style="medium">
        <x:color rgb="FF2F75B5"/>
      </x:bottom>
    </x:border>
    <x:border>
      <x:bottom style="medium">
        <x:color rgb="FF2F75B5"/>
      </x:bottom>
    </x:border>
    <x:border>
      <x:top style="thin">
        <x:color theme="0"/>
      </x:top>
      <x:bottom style="medium">
        <x:color rgb="FFED7D31"/>
      </x:bottom>
    </x:border>
    <x:border>
      <x:bottom style="medium">
        <x:color rgb="FFED7D31"/>
      </x:bottom>
    </x:border>
    <x:border>
      <x:left style="thin">
        <x:color theme="0"/>
      </x:left>
      <x:top style="medium">
        <x:color rgb="FF1F4E78"/>
      </x:top>
      <x:bottom style="thin">
        <x:color theme="0"/>
      </x:bottom>
    </x:border>
    <x:border>
      <x:top style="medium">
        <x:color rgb="FF1F4E78"/>
      </x:top>
      <x:bottom style="thin">
        <x:color theme="0"/>
      </x:bottom>
    </x:border>
    <x:border>
      <x:right style="medium">
        <x:color rgb="FF1F4E78"/>
      </x:right>
      <x:top style="medium">
        <x:color rgb="FF1F4E78"/>
      </x:top>
      <x:bottom style="thin">
        <x:color theme="0"/>
      </x:bottom>
    </x:border>
    <x:border>
      <x:right style="dotted">
        <x:color indexed="64"/>
      </x:right>
      <x:bottom style="medium">
        <x:color rgb="FF1F4E78"/>
      </x:bottom>
    </x:border>
    <x:border>
      <x:right style="medium">
        <x:color rgb="FF1F4E78"/>
      </x:right>
      <x:bottom style="medium">
        <x:color rgb="FFED7D31"/>
      </x:bottom>
    </x:border>
    <x:border>
      <x:left style="medium">
        <x:color rgb="FF1F4E78"/>
      </x:lef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2F75B5"/>
      </x:bottom>
    </x:border>
    <x:border>
      <x:left style="medium">
        <x:color rgb="FF1F4E78"/>
      </x:left>
      <x:top style="thin">
        <x:color indexed="64"/>
      </x:top>
    </x:border>
    <x:border>
      <x:right style="medium">
        <x:color rgb="FF1F4E78"/>
      </x:right>
      <x:top style="thin">
        <x:color indexed="64"/>
      </x:top>
    </x:border>
    <x:border>
      <x:left style="medium">
        <x:color rgb="FF1F4E78"/>
      </x:left>
      <x:bottom style="thin">
        <x:color indexed="64"/>
      </x:bottom>
    </x:border>
    <x:border>
      <x:right style="medium">
        <x:color rgb="FF1F4E78"/>
      </x:right>
      <x:bottom style="thin">
        <x:color indexed="64"/>
      </x:bottom>
    </x:border>
    <x:border>
      <x:top style="thin">
        <x:color indexed="64"/>
      </x:top>
      <x:bottom style="medium">
        <x:color rgb="FF2F75B5"/>
      </x:bottom>
    </x:border>
    <x:border>
      <x:right style="dotted">
        <x:color rgb="FF000000"/>
      </x:right>
      <x:bottom style="medium">
        <x:color rgb="FF2F75B5"/>
      </x:bottom>
    </x:border>
    <x:border>
      <x:top style="thin">
        <x:color indexed="64"/>
      </x:top>
      <x:bottom style="medium">
        <x:color rgb="FFED7D31"/>
      </x:bottom>
    </x:border>
    <x:border>
      <x:right style="medium">
        <x:color rgb="FF1F4E78"/>
      </x:right>
      <x:bottom style="thin">
        <x:color rgb="FF000000"/>
      </x:bottom>
    </x:border>
    <x:border>
      <x:left style="thin">
        <x:color rgb="FF000000"/>
      </x:left>
      <x:right style="medium">
        <x:color rgb="FF1F4E78"/>
      </x:right>
      <x:top style="thin">
        <x:color rgb="FF000000"/>
      </x:top>
      <x:bottom style="thin">
        <x:color rgb="FF000000"/>
      </x:bottom>
    </x:border>
    <x:border>
      <x:left style="medium">
        <x:color rgb="FF1F4E78"/>
      </x:left>
      <x:top style="thin">
        <x:color rgb="FF000000"/>
      </x:top>
    </x:border>
    <x:border>
      <x:right style="medium">
        <x:color rgb="FF1F4E78"/>
      </x:right>
      <x:top style="thin">
        <x:color rgb="FF000000"/>
      </x:top>
    </x:border>
    <x:border>
      <x:right style="medium">
        <x:color rgb="FF1F4E78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1F4E78"/>
      </x:bottom>
    </x:border>
    <x:border>
      <x:left style="thin">
        <x:color indexed="64"/>
      </x:left>
      <x:right style="medium">
        <x:color rgb="FF1F4E78"/>
      </x:right>
      <x:top style="thin">
        <x:color indexed="64"/>
      </x:top>
      <x:bottom style="thin">
        <x:color indexed="64"/>
      </x:bottom>
    </x:border>
    <x:border>
      <x:bottom style="thin">
        <x:color rgb="FFD6DEE8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medium">
        <x:color rgb="FF17365D"/>
      </x:bottom>
    </x:border>
    <x:border>
      <x:right style="medium">
        <x:color rgb="FF1F4E78"/>
      </x:right>
      <x:top style="thin">
        <x:color theme="0"/>
      </x:top>
      <x:bottom style="medium">
        <x:color rgb="FFED7D31"/>
      </x:bottom>
    </x:border>
    <x:border>
      <x:right style="medium">
        <x:color rgb="FF1F4E78"/>
      </x:right>
      <x:top style="thin">
        <x:color indexed="64"/>
      </x:top>
      <x:bottom style="medium">
        <x:color rgb="FFED7D31"/>
      </x:bottom>
    </x:border>
    <x:border>
      <x:right style="medium">
        <x:color rgb="FF1F4E78"/>
      </x:right>
      <x:bottom style="thin">
        <x:color theme="0"/>
      </x:bottom>
    </x:border>
  </x:borders>
  <x:cellStyleXfs count="7">
    <x:xf numFmtId="0" fontId="0" fillId="0" borderId="0"/>
    <x:xf numFmtId="0" fontId="16" fillId="0" borderId="9"/>
    <x:xf numFmtId="9" fontId="18" fillId="0" borderId="0" applyFont="0" applyFill="0" applyBorder="0" applyAlignment="0" applyProtection="0"/>
    <x:xf numFmtId="43" fontId="19" fillId="0" borderId="0" applyFont="0" applyFill="0" applyBorder="0" applyAlignment="0" applyProtection="0"/>
    <x:xf numFmtId="0" fontId="6" fillId="0" borderId="9"/>
    <x:xf numFmtId="43" fontId="6" fillId="0" borderId="9" applyFont="0" applyFill="0" applyBorder="0" applyAlignment="0" applyProtection="0"/>
    <x:xf numFmtId="0" fontId="6" fillId="0" borderId="9"/>
  </x:cellStyleXfs>
  <x:cellXfs count="886">
    <x:xf numFmtId="0" fontId="0" fillId="0" borderId="0" xfId="0"/>
    <x:xf numFmtId="0" fontId="7" fillId="0" borderId="1" xfId="0" applyFont="1" applyBorder="1"/>
    <x:xf numFmtId="0" fontId="8" fillId="0" borderId="1" xfId="0" applyFont="1" applyBorder="1"/>
    <x:xf numFmtId="0" fontId="9" fillId="0" borderId="2" xfId="0" applyFont="1" applyBorder="1" applyAlignment="1">
      <x:alignment horizontal="left"/>
    </x:xf>
    <x:xf numFmtId="0" fontId="8" fillId="0" borderId="2" xfId="0" applyFont="1" applyBorder="1"/>
    <x:xf numFmtId="0" fontId="9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11" fillId="0" borderId="0" xfId="0" applyFont="1"/>
    <x:xf numFmtId="0" fontId="12" fillId="0" borderId="0" xfId="0" applyFont="1" applyAlignment="1">
      <x:alignment horizontal="left"/>
    </x:xf>
    <x:xf numFmtId="37" fontId="10" fillId="0" borderId="0" xfId="0" applyNumberFormat="1" applyFont="1" applyAlignment="1">
      <x:alignment horizontal="left"/>
    </x:xf>
    <x:xf numFmtId="166" fontId="13" fillId="2" borderId="4" xfId="0" applyNumberFormat="1" applyFont="1" applyFill="1" applyBorder="1" applyAlignment="1">
      <x:alignment horizontal="center"/>
    </x:xf>
    <x:xf numFmtId="166" fontId="13" fillId="2" borderId="5" xfId="0" applyNumberFormat="1" applyFont="1" applyFill="1" applyBorder="1" applyAlignment="1">
      <x:alignment horizontal="center"/>
    </x:xf>
    <x:xf numFmtId="0" fontId="15" fillId="0" borderId="0" xfId="0" applyFont="1"/>
    <x:xf numFmtId="0" fontId="9" fillId="0" borderId="0" xfId="0" applyFont="1"/>
    <x:xf numFmtId="37" fontId="8" fillId="0" borderId="0" xfId="0" applyNumberFormat="1" applyFont="1"/>
    <x:xf numFmtId="0" fontId="8" fillId="4" borderId="8" xfId="0" applyFont="1" applyFill="1" applyBorder="1" applyAlignment="1">
      <x:alignment horizontal="center" vertical="center"/>
    </x:xf>
    <x:xf numFmtId="3" fontId="8" fillId="0" borderId="0" xfId="0" applyNumberFormat="1" applyFont="1"/>
    <x:xf numFmtId="168" fontId="15" fillId="0" borderId="0" xfId="0" applyNumberFormat="1" applyFont="1"/>
    <x:xf numFmtId="0" fontId="8" fillId="0" borderId="0" xfId="0" applyFont="1"/>
    <x:xf numFmtId="37" fontId="0" fillId="0" borderId="0" xfId="0" applyNumberFormat="1"/>
    <x:xf numFmtId="0" fontId="21" fillId="0" borderId="0" xfId="0" applyFont="1"/>
    <x:xf numFmtId="0" fontId="22" fillId="0" borderId="9" xfId="0" applyFont="1" applyBorder="1"/>
    <x:xf numFmtId="0" fontId="15" fillId="0" borderId="9" xfId="0" applyFont="1" applyBorder="1"/>
    <x:xf numFmtId="37" fontId="15" fillId="0" borderId="9" xfId="0" applyNumberFormat="1" applyFont="1" applyBorder="1"/>
    <x:xf numFmtId="0" fontId="0" fillId="0" borderId="9" xfId="0" applyBorder="1"/>
    <x:xf numFmtId="170" fontId="20" fillId="0" borderId="0" xfId="0" applyNumberFormat="1" applyFont="1"/>
    <x:xf numFmtId="0" fontId="24" fillId="0" borderId="0" xfId="0" applyFont="1"/>
    <x:xf numFmtId="170" fontId="9" fillId="0" borderId="9" xfId="0" applyNumberFormat="1" applyFont="1" applyBorder="1"/>
    <x:xf numFmtId="168" fontId="15" fillId="0" borderId="9" xfId="0" applyNumberFormat="1" applyFont="1" applyBorder="1"/>
    <x:xf numFmtId="0" fontId="6" fillId="0" borderId="9" xfId="4"/>
    <x:xf numFmtId="0" fontId="7" fillId="0" borderId="1" xfId="4" applyFont="1" applyBorder="1"/>
    <x:xf numFmtId="0" fontId="8" fillId="0" borderId="1" xfId="4" applyFont="1" applyBorder="1"/>
    <x:xf numFmtId="0" fontId="9" fillId="0" borderId="2" xfId="4" applyFont="1" applyBorder="1" applyAlignment="1">
      <x:alignment horizontal="left"/>
    </x:xf>
    <x:xf numFmtId="0" fontId="8" fillId="0" borderId="2" xfId="4" applyFont="1" applyBorder="1"/>
    <x:xf numFmtId="0" fontId="9" fillId="0" borderId="9" xfId="4" applyFont="1" applyAlignment="1">
      <x:alignment horizontal="left"/>
    </x:xf>
    <x:xf numFmtId="0" fontId="8" fillId="0" borderId="9" xfId="4" applyFont="1" applyAlignment="1">
      <x:alignment horizontal="left"/>
    </x:xf>
    <x:xf numFmtId="0" fontId="11" fillId="0" borderId="9" xfId="4" applyFont="1"/>
    <x:xf numFmtId="37" fontId="10" fillId="0" borderId="9" xfId="4" applyNumberFormat="1" applyFont="1" applyAlignment="1">
      <x:alignment horizontal="left"/>
    </x:xf>
    <x:xf numFmtId="0" fontId="12" fillId="0" borderId="9" xfId="4" applyFont="1" applyAlignment="1">
      <x:alignment horizontal="left"/>
    </x:xf>
    <x:xf numFmtId="0" fontId="13" fillId="2" borderId="9" xfId="4" applyFont="1" applyFill="1"/>
    <x:xf numFmtId="166" fontId="13" fillId="2" borderId="4" xfId="4" applyNumberFormat="1" applyFont="1" applyFill="1" applyBorder="1" applyAlignment="1">
      <x:alignment horizontal="center"/>
    </x:xf>
    <x:xf numFmtId="166" fontId="13" fillId="2" borderId="5" xfId="4" applyNumberFormat="1" applyFont="1" applyFill="1" applyBorder="1" applyAlignment="1">
      <x:alignment horizontal="center"/>
    </x:xf>
    <x:xf numFmtId="0" fontId="15" fillId="0" borderId="9" xfId="4" applyFont="1"/>
    <x:xf numFmtId="167" fontId="25" fillId="0" borderId="9" xfId="4" applyNumberFormat="1" applyFont="1"/>
    <x:xf numFmtId="167" fontId="25" fillId="0" borderId="10" xfId="4" applyNumberFormat="1" applyFont="1" applyBorder="1"/>
    <x:xf numFmtId="0" fontId="7" fillId="0" borderId="2" xfId="4" applyFont="1" applyBorder="1"/>
    <x:xf numFmtId="0" fontId="13" fillId="2" borderId="9" xfId="4" applyFont="1" applyFill="1" applyAlignment="1">
      <x:alignment vertical="top"/>
    </x:xf>
    <x:xf numFmtId="167" fontId="8" fillId="0" borderId="9" xfId="4" applyNumberFormat="1" applyFont="1" applyAlignment="1">
      <x:alignment horizontal="center"/>
    </x:xf>
    <x:xf numFmtId="0" fontId="13" fillId="2" borderId="9" xfId="0" applyFont="1" applyFill="1" applyBorder="1" applyAlignment="1">
      <x:alignment horizontal="center"/>
    </x:xf>
    <x:xf numFmtId="167" fontId="17" fillId="5" borderId="9" xfId="0" applyNumberFormat="1" applyFont="1" applyFill="1" applyBorder="1" applyAlignment="1">
      <x:alignment horizontal="center"/>
    </x:xf>
    <x:xf numFmtId="0" fontId="7" fillId="0" borderId="2" xfId="0" applyFont="1" applyBorder="1"/>
    <x:xf numFmtId="0" fontId="13" fillId="2" borderId="9" xfId="0" applyFont="1" applyFill="1" applyBorder="1"/>
    <x:xf numFmtId="0" fontId="8" fillId="0" borderId="10" xfId="0" applyFont="1" applyBorder="1"/>
    <x:xf numFmtId="37" fontId="8" fillId="0" borderId="10" xfId="0" applyNumberFormat="1" applyFont="1" applyBorder="1"/>
    <x:xf numFmtId="0" fontId="15" fillId="0" borderId="0" xfId="0" applyFont="1" applyAlignment="1">
      <x:alignment horizontal="left"/>
    </x:xf>
    <x:xf numFmtId="169" fontId="8" fillId="0" borderId="0" xfId="0" applyNumberFormat="1" applyFont="1"/>
    <x:xf numFmtId="169" fontId="8" fillId="0" borderId="10" xfId="0" applyNumberFormat="1" applyFont="1" applyBorder="1"/>
    <x:xf numFmtId="0" fontId="11" fillId="0" borderId="0" xfId="0" applyFont="1" applyAlignment="1">
      <x:alignment horizontal="left"/>
    </x:xf>
    <x:xf numFmtId="167" fontId="17" fillId="0" borderId="0" xfId="0" applyNumberFormat="1" applyFont="1"/>
    <x:xf numFmtId="0" fontId="15" fillId="0" borderId="7" xfId="0" applyFont="1" applyBorder="1" applyAlignment="1">
      <x:alignment horizontal="left"/>
    </x:xf>
    <x:xf numFmtId="0" fontId="0" fillId="6" borderId="0" xfId="0" applyFill="1"/>
    <x:xf numFmtId="37" fontId="15" fillId="6" borderId="0" xfId="0" applyNumberFormat="1" applyFont="1" applyFill="1"/>
    <x:xf numFmtId="0" fontId="0" fillId="0" borderId="9" xfId="0" applyBorder="1" applyAlignment="1">
      <x:alignment wrapText="1"/>
    </x:xf>
    <x:xf numFmtId="14" fontId="6" fillId="0" borderId="9" xfId="4" applyNumberFormat="1" applyAlignment="1">
      <x:alignment horizontal="right"/>
    </x:xf>
    <x:xf numFmtId="0" fontId="9" fillId="0" borderId="9" xfId="4" applyFont="1"/>
    <x:xf numFmtId="0" fontId="13" fillId="2" borderId="9" xfId="4" applyFont="1" applyFill="1" applyAlignment="1">
      <x:alignment horizontal="left"/>
    </x:xf>
    <x:xf numFmtId="0" fontId="15" fillId="7" borderId="7" xfId="4" applyFont="1" applyFill="1" applyBorder="1"/>
    <x:xf numFmtId="0" fontId="8" fillId="7" borderId="7" xfId="4" applyFont="1" applyFill="1" applyBorder="1"/>
    <x:xf numFmtId="43" fontId="8" fillId="0" borderId="9" xfId="5" applyFont="1"/>
    <x:xf numFmtId="0" fontId="15" fillId="0" borderId="12" xfId="0" applyFont="1" applyBorder="1"/>
    <x:xf numFmtId="170" fontId="9" fillId="0" borderId="10" xfId="0" applyNumberFormat="1" applyFont="1" applyBorder="1"/>
    <x:xf numFmtId="168" fontId="15" fillId="0" borderId="10" xfId="0" applyNumberFormat="1" applyFont="1" applyBorder="1"/>
    <x:xf numFmtId="0" fontId="31" fillId="0" borderId="9" xfId="4" applyFont="1" applyAlignment="1">
      <x:alignment horizontal="center"/>
    </x:xf>
    <x:xf numFmtId="0" fontId="15" fillId="0" borderId="7" xfId="4" applyFont="1" applyBorder="1" applyAlignment="1">
      <x:alignment horizontal="left"/>
    </x:xf>
    <x:xf numFmtId="0" fontId="32" fillId="0" borderId="9" xfId="4" applyFont="1" applyAlignment="1">
      <x:alignment horizontal="left"/>
    </x:xf>
    <x:xf numFmtId="0" fontId="32" fillId="0" borderId="9" xfId="4" applyFont="1" applyAlignment="1">
      <x:alignment horizontal="right"/>
    </x:xf>
    <x:xf numFmtId="14" fontId="32" fillId="0" borderId="9" xfId="4" applyNumberFormat="1" applyFont="1" applyAlignment="1">
      <x:alignment horizontal="right"/>
    </x:xf>
    <x:xf numFmtId="0" fontId="6" fillId="0" borderId="9" xfId="6"/>
    <x:xf numFmtId="0" fontId="15" fillId="9" borderId="12" xfId="4" applyFont="1" applyFill="1" applyBorder="1"/>
    <x:xf numFmtId="0" fontId="15" fillId="9" borderId="12" xfId="4" applyFont="1" applyFill="1" applyBorder="1" applyAlignment="1">
      <x:alignment horizontal="right"/>
    </x:xf>
    <x:xf numFmtId="0" fontId="8" fillId="0" borderId="2" xfId="4" applyFont="1" applyBorder="1" applyAlignment="1">
      <x:alignment horizontal="center"/>
    </x:xf>
    <x:xf numFmtId="0" fontId="6" fillId="0" borderId="9" xfId="4" applyAlignment="1">
      <x:alignment horizontal="center"/>
    </x:xf>
    <x:xf numFmtId="0" fontId="7" fillId="0" borderId="1" xfId="6" applyFont="1" applyBorder="1"/>
    <x:xf numFmtId="0" fontId="8" fillId="0" borderId="1" xfId="6" applyFont="1" applyBorder="1"/>
    <x:xf numFmtId="0" fontId="9" fillId="0" borderId="2" xfId="6" applyFont="1" applyBorder="1" applyAlignment="1">
      <x:alignment horizontal="left"/>
    </x:xf>
    <x:xf numFmtId="0" fontId="8" fillId="0" borderId="2" xfId="6" applyFont="1" applyBorder="1"/>
    <x:xf numFmtId="0" fontId="9" fillId="0" borderId="9" xfId="6" applyFont="1" applyAlignment="1">
      <x:alignment horizontal="left"/>
    </x:xf>
    <x:xf numFmtId="0" fontId="8" fillId="0" borderId="9" xfId="6" applyFont="1" applyAlignment="1">
      <x:alignment horizontal="left"/>
    </x:xf>
    <x:xf numFmtId="0" fontId="6" fillId="0" borderId="9" xfId="6" applyAlignment="1">
      <x:alignment horizontal="left"/>
    </x:xf>
    <x:xf numFmtId="0" fontId="8" fillId="4" borderId="8" xfId="6" applyFont="1" applyFill="1" applyBorder="1" applyAlignment="1">
      <x:alignment horizontal="center" vertical="center"/>
    </x:xf>
    <x:xf numFmtId="15" fontId="6" fillId="0" borderId="9" xfId="6" applyNumberFormat="1"/>
    <x:xf numFmtId="0" fontId="13" fillId="2" borderId="9" xfId="6" applyFont="1" applyFill="1"/>
    <x:xf numFmtId="0" fontId="13" fillId="2" borderId="9" xfId="6" applyFont="1" applyFill="1" applyAlignment="1">
      <x:alignment horizontal="center"/>
    </x:xf>
    <x:xf numFmtId="166" fontId="13" fillId="2" borderId="4" xfId="6" applyNumberFormat="1" applyFont="1" applyFill="1" applyBorder="1" applyAlignment="1">
      <x:alignment horizontal="center"/>
    </x:xf>
    <x:xf numFmtId="166" fontId="13" fillId="2" borderId="5" xfId="6" applyNumberFormat="1" applyFont="1" applyFill="1" applyBorder="1" applyAlignment="1">
      <x:alignment horizontal="center"/>
    </x:xf>
    <x:xf numFmtId="0" fontId="9" fillId="0" borderId="9" xfId="6" applyFont="1"/>
    <x:xf numFmtId="37" fontId="8" fillId="0" borderId="10" xfId="6" applyNumberFormat="1" applyFont="1" applyBorder="1"/>
    <x:xf numFmtId="0" fontId="15" fillId="0" borderId="9" xfId="6" applyFont="1"/>
    <x:xf numFmtId="37" fontId="15" fillId="0" borderId="9" xfId="6" applyNumberFormat="1" applyFont="1"/>
    <x:xf numFmtId="0" fontId="15" fillId="0" borderId="7" xfId="6" applyFont="1" applyBorder="1"/>
    <x:xf numFmtId="165" fontId="8" fillId="0" borderId="9" xfId="6" applyNumberFormat="1" applyFont="1"/>
    <x:xf numFmtId="0" fontId="13" fillId="2" borderId="9" xfId="6" applyFont="1" applyFill="1" applyAlignment="1">
      <x:alignment horizontal="left"/>
    </x:xf>
    <x:xf numFmtId="170" fontId="13" fillId="2" borderId="9" xfId="6" applyNumberFormat="1" applyFont="1" applyFill="1" applyAlignment="1">
      <x:alignment horizontal="center"/>
    </x:xf>
    <x:xf numFmtId="170" fontId="13" fillId="2" borderId="4" xfId="6" applyNumberFormat="1" applyFont="1" applyFill="1" applyBorder="1" applyAlignment="1">
      <x:alignment horizontal="center"/>
    </x:xf>
    <x:xf numFmtId="166" fontId="13" fillId="2" borderId="9" xfId="6" applyNumberFormat="1" applyFont="1" applyFill="1" applyAlignment="1">
      <x:alignment horizontal="center"/>
    </x:xf>
    <x:xf numFmtId="15" fontId="13" fillId="2" borderId="4" xfId="6" applyNumberFormat="1" applyFont="1" applyFill="1" applyBorder="1" applyAlignment="1">
      <x:alignment horizontal="center"/>
    </x:xf>
    <x:xf numFmtId="14" fontId="8" fillId="0" borderId="9" xfId="6" applyNumberFormat="1" applyFont="1"/>
    <x:xf numFmtId="4" fontId="9" fillId="0" borderId="9" xfId="6" applyNumberFormat="1" applyFont="1"/>
    <x:xf numFmtId="39" fontId="9" fillId="0" borderId="9" xfId="6" applyNumberFormat="1" applyFont="1"/>
    <x:xf numFmtId="39" fontId="15" fillId="0" borderId="9" xfId="6" applyNumberFormat="1" applyFont="1"/>
    <x:xf numFmtId="164" fontId="8" fillId="0" borderId="9" xfId="6" applyNumberFormat="1" applyFont="1"/>
    <x:xf numFmtId="0" fontId="15" fillId="7" borderId="7" xfId="6" applyFont="1" applyFill="1" applyBorder="1"/>
    <x:xf numFmtId="0" fontId="8" fillId="7" borderId="7" xfId="6" applyFont="1" applyFill="1" applyBorder="1"/>
    <x:xf numFmtId="0" fontId="8" fillId="0" borderId="9" xfId="6" applyFont="1"/>
    <x:xf numFmtId="0" fontId="17" fillId="0" borderId="9" xfId="6" applyFont="1"/>
    <x:xf numFmtId="0" fontId="28" fillId="0" borderId="9" xfId="6" applyFont="1"/>
    <x:xf numFmtId="172" fontId="8" fillId="0" borderId="9" xfId="6" applyNumberFormat="1" applyFont="1"/>
    <x:xf numFmtId="0" fontId="17" fillId="0" borderId="9" xfId="6" applyFont="1" applyAlignment="1">
      <x:alignment horizontal="left"/>
    </x:xf>
    <x:xf numFmtId="0" fontId="17" fillId="0" borderId="7" xfId="6" applyFont="1" applyBorder="1" applyAlignment="1">
      <x:alignment horizontal="left"/>
    </x:xf>
    <x:xf numFmtId="0" fontId="28" fillId="0" borderId="7" xfId="6" applyFont="1" applyBorder="1"/>
    <x:xf numFmtId="0" fontId="8" fillId="0" borderId="7" xfId="6" applyFont="1" applyBorder="1"/>
    <x:xf numFmtId="0" fontId="15" fillId="7" borderId="9" xfId="6" applyFont="1" applyFill="1"/>
    <x:xf numFmtId="0" fontId="28" fillId="7" borderId="9" xfId="6" applyFont="1" applyFill="1"/>
    <x:xf numFmtId="165" fontId="15" fillId="0" borderId="9" xfId="6" applyNumberFormat="1" applyFont="1"/>
    <x:xf numFmtId="0" fontId="8" fillId="7" borderId="9" xfId="6" applyFont="1" applyFill="1"/>
    <x:xf numFmtId="0" fontId="25" fillId="0" borderId="9" xfId="6" applyFont="1"/>
    <x:xf numFmtId="0" fontId="15" fillId="7" borderId="11" xfId="6" applyFont="1" applyFill="1" applyBorder="1" applyAlignment="1">
      <x:alignment horizontal="left"/>
    </x:xf>
    <x:xf numFmtId="0" fontId="28" fillId="7" borderId="11" xfId="6" applyFont="1" applyFill="1" applyBorder="1"/>
    <x:xf numFmtId="0" fontId="8" fillId="7" borderId="11" xfId="6" applyFont="1" applyFill="1" applyBorder="1"/>
    <x:xf numFmtId="0" fontId="15" fillId="3" borderId="14" xfId="6" applyFont="1" applyFill="1" applyBorder="1"/>
    <x:xf numFmtId="0" fontId="15" fillId="3" borderId="11" xfId="6" applyFont="1" applyFill="1" applyBorder="1"/>
    <x:xf numFmtId="173" fontId="15" fillId="3" borderId="15" xfId="6" applyNumberFormat="1" applyFont="1" applyFill="1" applyBorder="1"/>
    <x:xf numFmtId="0" fontId="15" fillId="3" borderId="16" xfId="6" applyFont="1" applyFill="1" applyBorder="1"/>
    <x:xf numFmtId="0" fontId="15" fillId="3" borderId="7" xfId="6" applyFont="1" applyFill="1" applyBorder="1"/>
    <x:xf numFmtId="0" fontId="13" fillId="8" borderId="9" xfId="6" applyFont="1" applyFill="1" applyAlignment="1">
      <x:alignment horizontal="left"/>
    </x:xf>
    <x:xf numFmtId="173" fontId="30" fillId="2" borderId="14" xfId="6" applyNumberFormat="1" applyFont="1" applyFill="1" applyBorder="1"/>
    <x:xf numFmtId="37" fontId="15" fillId="6" borderId="7" xfId="6" applyNumberFormat="1" applyFont="1" applyFill="1" applyBorder="1"/>
    <x:xf numFmtId="0" fontId="6" fillId="6" borderId="9" xfId="6" applyFill="1"/>
    <x:xf numFmtId="37" fontId="8" fillId="6" borderId="10" xfId="6" applyNumberFormat="1" applyFont="1" applyFill="1" applyBorder="1"/>
    <x:xf numFmtId="37" fontId="15" fillId="6" borderId="9" xfId="6" applyNumberFormat="1" applyFont="1" applyFill="1"/>
    <x:xf numFmtId="37" fontId="15" fillId="6" borderId="10" xfId="6" applyNumberFormat="1" applyFont="1" applyFill="1" applyBorder="1"/>
    <x:xf numFmtId="37" fontId="15" fillId="6" borderId="6" xfId="6" applyNumberFormat="1" applyFont="1" applyFill="1" applyBorder="1"/>
    <x:xf numFmtId="0" fontId="6" fillId="0" borderId="9" xfId="6" applyAlignment="1">
      <x:alignment wrapText="1"/>
    </x:xf>
    <x:xf numFmtId="37" fontId="0" fillId="0" borderId="9" xfId="0" applyNumberFormat="1" applyBorder="1"/>
    <x:xf numFmtId="174" fontId="0" fillId="0" borderId="0" xfId="0" applyNumberFormat="1"/>
    <x:xf numFmtId="175" fontId="26" fillId="0" borderId="9" xfId="0" applyNumberFormat="1" applyFont="1" applyBorder="1"/>
    <x:xf numFmtId="175" fontId="26" fillId="0" borderId="10" xfId="0" applyNumberFormat="1" applyFont="1" applyBorder="1"/>
    <x:xf numFmtId="175" fontId="8" fillId="0" borderId="0" xfId="0" applyNumberFormat="1" applyFont="1"/>
    <x:xf numFmtId="175" fontId="27" fillId="0" borderId="9" xfId="3" applyNumberFormat="1" applyFont="1" applyFill="1" applyBorder="1"/>
    <x:xf numFmtId="175" fontId="27" fillId="0" borderId="10" xfId="3" applyNumberFormat="1" applyFont="1" applyFill="1" applyBorder="1"/>
    <x:xf numFmtId="175" fontId="15" fillId="0" borderId="0" xfId="0" applyNumberFormat="1" applyFont="1"/>
    <x:xf numFmtId="175" fontId="27" fillId="0" borderId="9" xfId="0" applyNumberFormat="1" applyFont="1" applyBorder="1"/>
    <x:xf numFmtId="175" fontId="27" fillId="0" borderId="10" xfId="0" applyNumberFormat="1" applyFont="1" applyBorder="1"/>
    <x:xf numFmtId="175" fontId="0" fillId="0" borderId="0" xfId="0" applyNumberFormat="1"/>
    <x:xf numFmtId="174" fontId="8" fillId="6" borderId="9" xfId="0" applyNumberFormat="1" applyFont="1" applyFill="1" applyBorder="1"/>
    <x:xf numFmtId="174" fontId="17" fillId="0" borderId="9" xfId="0" applyNumberFormat="1" applyFont="1" applyBorder="1" applyAlignment="1">
      <x:alignment horizontal="right"/>
    </x:xf>
    <x:xf numFmtId="174" fontId="17" fillId="0" borderId="10" xfId="0" applyNumberFormat="1" applyFont="1" applyBorder="1" applyAlignment="1">
      <x:alignment horizontal="right"/>
    </x:xf>
    <x:xf numFmtId="174" fontId="17" fillId="0" borderId="7" xfId="0" applyNumberFormat="1" applyFont="1" applyBorder="1" applyAlignment="1">
      <x:alignment horizontal="right"/>
    </x:xf>
    <x:xf numFmtId="174" fontId="17" fillId="0" borderId="6" xfId="0" applyNumberFormat="1" applyFont="1" applyBorder="1" applyAlignment="1">
      <x:alignment horizontal="right"/>
    </x:xf>
    <x:xf numFmtId="175" fontId="8" fillId="0" borderId="9" xfId="0" applyNumberFormat="1" applyFont="1" applyBorder="1"/>
    <x:xf numFmtId="175" fontId="8" fillId="0" borderId="21" xfId="0" applyNumberFormat="1" applyFont="1" applyBorder="1"/>
    <x:xf numFmtId="175" fontId="15" fillId="0" borderId="7" xfId="0" applyNumberFormat="1" applyFont="1" applyBorder="1"/>
    <x:xf numFmtId="175" fontId="0" fillId="0" borderId="9" xfId="0" applyNumberFormat="1" applyBorder="1"/>
    <x:xf numFmtId="175" fontId="15" fillId="0" borderId="9" xfId="0" applyNumberFormat="1" applyFont="1" applyBorder="1"/>
    <x:xf numFmtId="175" fontId="15" fillId="0" borderId="21" xfId="0" applyNumberFormat="1" applyFont="1" applyBorder="1"/>
    <x:xf numFmtId="175" fontId="15" fillId="0" borderId="22" xfId="0" applyNumberFormat="1" applyFont="1" applyBorder="1"/>
    <x:xf numFmtId="175" fontId="24" fillId="0" borderId="9" xfId="3" applyNumberFormat="1" applyFont="1" applyFill="1" applyBorder="1"/>
    <x:xf numFmtId="175" fontId="24" fillId="0" borderId="21" xfId="3" applyNumberFormat="1" applyFont="1" applyFill="1" applyBorder="1"/>
    <x:xf numFmtId="175" fontId="22" fillId="0" borderId="0" xfId="0" applyNumberFormat="1" applyFont="1"/>
    <x:xf numFmtId="175" fontId="15" fillId="0" borderId="12" xfId="0" applyNumberFormat="1" applyFont="1" applyBorder="1"/>
    <x:xf numFmtId="175" fontId="15" fillId="0" borderId="20" xfId="0" applyNumberFormat="1" applyFont="1" applyBorder="1"/>
    <x:xf numFmtId="175" fontId="8" fillId="6" borderId="0" xfId="0" applyNumberFormat="1" applyFont="1" applyFill="1"/>
    <x:xf numFmtId="175" fontId="8" fillId="0" borderId="10" xfId="0" applyNumberFormat="1" applyFont="1" applyBorder="1"/>
    <x:xf numFmtId="175" fontId="15" fillId="0" borderId="10" xfId="0" applyNumberFormat="1" applyFont="1" applyBorder="1"/>
    <x:xf numFmtId="174" fontId="0" fillId="6" borderId="0" xfId="0" applyNumberFormat="1" applyFill="1"/>
    <x:xf numFmtId="174" fontId="8" fillId="0" borderId="10" xfId="0" applyNumberFormat="1" applyFont="1" applyBorder="1"/>
    <x:xf numFmtId="174" fontId="8" fillId="0" borderId="0" xfId="0" applyNumberFormat="1" applyFont="1"/>
    <x:xf numFmtId="174" fontId="17" fillId="0" borderId="0" xfId="0" applyNumberFormat="1" applyFont="1"/>
    <x:xf numFmtId="174" fontId="17" fillId="0" borderId="10" xfId="0" applyNumberFormat="1" applyFont="1" applyBorder="1"/>
    <x:xf numFmtId="177" fontId="0" fillId="6" borderId="0" xfId="0" applyNumberFormat="1" applyFill="1"/>
    <x:xf numFmtId="177" fontId="8" fillId="0" borderId="0" xfId="0" applyNumberFormat="1" applyFont="1"/>
    <x:xf numFmtId="177" fontId="8" fillId="0" borderId="10" xfId="0" applyNumberFormat="1" applyFont="1" applyBorder="1"/>
    <x:xf numFmtId="175" fontId="15" fillId="0" borderId="6" xfId="0" applyNumberFormat="1" applyFont="1" applyBorder="1"/>
    <x:xf numFmtId="175" fontId="15" fillId="0" borderId="0" xfId="0" applyNumberFormat="1" applyFont="1" applyAlignment="1">
      <x:alignment horizontal="right"/>
    </x:xf>
    <x:xf numFmtId="175" fontId="15" fillId="0" borderId="13" xfId="0" applyNumberFormat="1" applyFont="1" applyBorder="1"/>
    <x:xf numFmtId="175" fontId="0" fillId="6" borderId="0" xfId="0" applyNumberFormat="1" applyFill="1"/>
    <x:xf numFmtId="175" fontId="8" fillId="6" borderId="10" xfId="0" applyNumberFormat="1" applyFont="1" applyFill="1" applyBorder="1"/>
    <x:xf numFmtId="174" fontId="17" fillId="0" borderId="12" xfId="0" applyNumberFormat="1" applyFont="1" applyBorder="1"/>
    <x:xf numFmtId="174" fontId="17" fillId="0" borderId="13" xfId="0" applyNumberFormat="1" applyFont="1" applyBorder="1"/>
    <x:xf numFmtId="174" fontId="17" fillId="0" borderId="7" xfId="0" applyNumberFormat="1" applyFont="1" applyBorder="1"/>
    <x:xf numFmtId="175" fontId="15" fillId="6" borderId="0" xfId="0" applyNumberFormat="1" applyFont="1" applyFill="1"/>
    <x:xf numFmtId="175" fontId="15" fillId="6" borderId="7" xfId="0" applyNumberFormat="1" applyFont="1" applyFill="1" applyBorder="1"/>
    <x:xf numFmtId="174" fontId="8" fillId="0" borderId="21" xfId="0" applyNumberFormat="1" applyFont="1" applyBorder="1"/>
    <x:xf numFmtId="175" fontId="8" fillId="0" borderId="9" xfId="4" applyNumberFormat="1" applyFont="1"/>
    <x:xf numFmtId="175" fontId="15" fillId="0" borderId="9" xfId="4" applyNumberFormat="1" applyFont="1"/>
    <x:xf numFmtId="174" fontId="25" fillId="0" borderId="9" xfId="4" applyNumberFormat="1" applyFont="1"/>
    <x:xf numFmtId="174" fontId="25" fillId="0" borderId="10" xfId="4" applyNumberFormat="1" applyFont="1" applyBorder="1"/>
    <x:xf numFmtId="174" fontId="25" fillId="0" borderId="7" xfId="4" applyNumberFormat="1" applyFont="1" applyBorder="1"/>
    <x:xf numFmtId="174" fontId="25" fillId="0" borderId="6" xfId="4" applyNumberFormat="1" applyFont="1" applyBorder="1"/>
    <x:xf numFmtId="175" fontId="36" fillId="0" borderId="10" xfId="4" applyNumberFormat="1" applyFont="1" applyBorder="1"/>
    <x:xf numFmtId="174" fontId="34" fillId="3" borderId="9" xfId="4" applyNumberFormat="1" applyFont="1" applyFill="1"/>
    <x:xf numFmtId="171" fontId="34" fillId="3" borderId="9" xfId="4" applyNumberFormat="1" applyFont="1" applyFill="1"/>
    <x:xf numFmtId="174" fontId="35" fillId="0" borderId="0" xfId="0" applyNumberFormat="1" applyFont="1"/>
    <x:xf numFmtId="169" fontId="35" fillId="0" borderId="0" xfId="0" applyNumberFormat="1" applyFont="1"/>
    <x:xf numFmtId="177" fontId="35" fillId="0" borderId="0" xfId="0" applyNumberFormat="1" applyFont="1"/>
    <x:xf numFmtId="175" fontId="34" fillId="0" borderId="9" xfId="0" applyNumberFormat="1" applyFont="1" applyBorder="1"/>
    <x:xf numFmtId="175" fontId="34" fillId="0" borderId="10" xfId="0" applyNumberFormat="1" applyFont="1" applyBorder="1"/>
    <x:xf numFmtId="175" fontId="36" fillId="0" borderId="9" xfId="0" applyNumberFormat="1" applyFont="1" applyBorder="1"/>
    <x:xf numFmtId="175" fontId="36" fillId="0" borderId="10" xfId="0" applyNumberFormat="1" applyFont="1" applyBorder="1"/>
    <x:xf numFmtId="175" fontId="8" fillId="0" borderId="9" xfId="6" applyNumberFormat="1" applyFont="1"/>
    <x:xf numFmtId="175" fontId="8" fillId="0" borderId="10" xfId="6" applyNumberFormat="1" applyFont="1" applyBorder="1"/>
    <x:xf numFmtId="174" fontId="25" fillId="6" borderId="9" xfId="6" applyNumberFormat="1" applyFont="1" applyFill="1"/>
    <x:xf numFmtId="174" fontId="25" fillId="0" borderId="9" xfId="6" applyNumberFormat="1" applyFont="1"/>
    <x:xf numFmtId="174" fontId="25" fillId="0" borderId="10" xfId="6" applyNumberFormat="1" applyFont="1" applyBorder="1"/>
    <x:xf numFmtId="175" fontId="15" fillId="0" borderId="9" xfId="6" applyNumberFormat="1" applyFont="1"/>
    <x:xf numFmtId="175" fontId="15" fillId="0" borderId="10" xfId="6" applyNumberFormat="1" applyFont="1" applyBorder="1"/>
    <x:xf numFmtId="175" fontId="8" fillId="6" borderId="9" xfId="6" applyNumberFormat="1" applyFont="1" applyFill="1"/>
    <x:xf numFmtId="175" fontId="6" fillId="0" borderId="9" xfId="6" applyNumberFormat="1"/>
    <x:xf numFmtId="175" fontId="15" fillId="6" borderId="7" xfId="6" applyNumberFormat="1" applyFont="1" applyFill="1" applyBorder="1"/>
    <x:xf numFmtId="175" fontId="15" fillId="0" borderId="7" xfId="6" applyNumberFormat="1" applyFont="1" applyBorder="1"/>
    <x:xf numFmtId="175" fontId="15" fillId="0" borderId="6" xfId="6" applyNumberFormat="1" applyFont="1" applyBorder="1"/>
    <x:xf numFmtId="178" fontId="9" fillId="0" borderId="9" xfId="6" applyNumberFormat="1" applyFont="1"/>
    <x:xf numFmtId="174" fontId="17" fillId="0" borderId="9" xfId="6" applyNumberFormat="1" applyFont="1"/>
    <x:xf numFmtId="175" fontId="17" fillId="0" borderId="9" xfId="6" applyNumberFormat="1" applyFont="1"/>
    <x:xf numFmtId="175" fontId="17" fillId="0" borderId="7" xfId="6" applyNumberFormat="1" applyFont="1" applyBorder="1"/>
    <x:xf numFmtId="175" fontId="29" fillId="7" borderId="9" xfId="6" applyNumberFormat="1" applyFont="1" applyFill="1"/>
    <x:xf numFmtId="175" fontId="29" fillId="7" borderId="11" xfId="6" applyNumberFormat="1" applyFont="1" applyFill="1" applyBorder="1"/>
    <x:xf numFmtId="174" fontId="15" fillId="3" borderId="17" xfId="6" applyNumberFormat="1" applyFont="1" applyFill="1" applyBorder="1"/>
    <x:xf numFmtId="176" fontId="8" fillId="0" borderId="9" xfId="6" applyNumberFormat="1" applyFont="1"/>
    <x:xf numFmtId="174" fontId="13" fillId="2" borderId="19" xfId="6" applyNumberFormat="1" applyFont="1" applyFill="1" applyBorder="1"/>
    <x:xf numFmtId="174" fontId="13" fillId="2" borderId="18" xfId="6" applyNumberFormat="1" applyFont="1" applyFill="1" applyBorder="1"/>
    <x:xf numFmtId="176" fontId="13" fillId="2" borderId="18" xfId="6" applyNumberFormat="1" applyFont="1" applyFill="1" applyBorder="1"/>
    <x:xf numFmtId="178" fontId="8" fillId="0" borderId="9" xfId="6" applyNumberFormat="1" applyFont="1"/>
    <x:xf numFmtId="175" fontId="34" fillId="0" borderId="9" xfId="6" applyNumberFormat="1" applyFont="1"/>
    <x:xf numFmtId="175" fontId="35" fillId="0" borderId="9" xfId="6" applyNumberFormat="1" applyFont="1"/>
    <x:xf numFmtId="175" fontId="35" fillId="0" borderId="10" xfId="6" applyNumberFormat="1" applyFont="1" applyBorder="1"/>
    <x:xf numFmtId="174" fontId="17" fillId="5" borderId="9" xfId="6" applyNumberFormat="1" applyFont="1" applyFill="1" applyAlignment="1">
      <x:alignment horizontal="center"/>
    </x:xf>
    <x:xf numFmtId="164" fontId="37" fillId="0" borderId="9" xfId="6" applyNumberFormat="1" applyFont="1" applyAlignment="1">
      <x:alignment horizontal="right"/>
    </x:xf>
    <x:xf numFmtId="164" fontId="37" fillId="0" borderId="9" xfId="4" applyNumberFormat="1" applyFont="1" applyAlignment="1">
      <x:alignment horizontal="right"/>
    </x:xf>
    <x:xf numFmtId="174" fontId="38" fillId="0" borderId="9" xfId="6" applyNumberFormat="1" applyFont="1"/>
    <x:xf numFmtId="174" fontId="38" fillId="0" borderId="10" xfId="6" applyNumberFormat="1" applyFont="1" applyBorder="1"/>
    <x:xf numFmtId="176" fontId="34" fillId="3" borderId="8" xfId="6" applyNumberFormat="1" applyFont="1" applyFill="1" applyBorder="1" applyAlignment="1">
      <x:alignment horizontal="center"/>
    </x:xf>
    <x:xf numFmtId="174" fontId="34" fillId="3" borderId="8" xfId="6" applyNumberFormat="1" applyFont="1" applyFill="1" applyBorder="1" applyAlignment="1">
      <x:alignment horizontal="center"/>
    </x:xf>
    <x:xf numFmtId="14" fontId="34" fillId="0" borderId="9" xfId="4" applyNumberFormat="1" applyFont="1"/>
    <x:xf numFmtId="178" fontId="34" fillId="0" borderId="9" xfId="4" applyNumberFormat="1" applyFont="1"/>
    <x:xf numFmtId="179" fontId="8" fillId="0" borderId="9" xfId="4" applyNumberFormat="1" applyFont="1"/>
    <x:xf numFmtId="178" fontId="15" fillId="9" borderId="12" xfId="4" applyNumberFormat="1" applyFont="1" applyFill="1" applyBorder="1"/>
    <x:xf numFmtId="175" fontId="35" fillId="0" borderId="9" xfId="4" applyNumberFormat="1" applyFont="1"/>
    <x:xf numFmtId="175" fontId="6" fillId="0" borderId="9" xfId="4" applyNumberFormat="1"/>
    <x:xf numFmtId="179" fontId="8" fillId="0" borderId="9" xfId="4" applyNumberFormat="1" applyFont="1" applyAlignment="1">
      <x:alignment horizontal="right"/>
    </x:xf>
    <x:xf numFmtId="179" fontId="15" fillId="0" borderId="7" xfId="4" applyNumberFormat="1" applyFont="1" applyBorder="1" applyAlignment="1">
      <x:alignment horizontal="right"/>
    </x:xf>
    <x:xf numFmtId="178" fontId="17" fillId="0" borderId="9" xfId="4" applyNumberFormat="1" applyFont="1"/>
    <x:xf numFmtId="10" fontId="8" fillId="6" borderId="9" xfId="4" applyNumberFormat="1" applyFont="1" applyFill="1"/>
    <x:xf numFmtId="174" fontId="34" fillId="3" borderId="9" xfId="2" applyNumberFormat="1" applyFont="1" applyFill="1" applyBorder="1"/>
    <x:xf numFmtId="175" fontId="34" fillId="0" borderId="0" xfId="0" applyNumberFormat="1" applyFont="1"/>
    <x:xf numFmtId="0" fontId="29" fillId="0" borderId="9" xfId="4" applyFont="1"/>
    <x:xf numFmtId="175" fontId="29" fillId="0" borderId="9" xfId="4" applyNumberFormat="1" applyFont="1"/>
    <x:xf numFmtId="175" fontId="29" fillId="0" borderId="10" xfId="4" applyNumberFormat="1" applyFont="1" applyBorder="1"/>
    <x:xf numFmtId="0" fontId="25" fillId="0" borderId="7" xfId="4" applyFont="1" applyBorder="1" applyAlignment="1">
      <x:alignment horizontal="left"/>
    </x:xf>
    <x:xf numFmtId="174" fontId="6" fillId="6" borderId="9" xfId="4" applyNumberFormat="1" applyFill="1"/>
    <x:xf numFmtId="0" fontId="17" fillId="6" borderId="7" xfId="4" applyFont="1" applyFill="1" applyBorder="1"/>
    <x:xf numFmtId="0" fontId="29" fillId="0" borderId="9" xfId="4" applyFont="1" applyAlignment="1">
      <x:alignment horizontal="left"/>
    </x:xf>
    <x:xf numFmtId="179" fontId="34" fillId="10" borderId="23" xfId="4" applyNumberFormat="1" applyFont="1" applyFill="1" applyBorder="1" applyAlignment="1">
      <x:alignment horizontal="right"/>
    </x:xf>
    <x:xf numFmtId="175" fontId="17" fillId="0" borderId="9" xfId="4" applyNumberFormat="1" applyFont="1" applyAlignment="1">
      <x:alignment horizontal="right"/>
    </x:xf>
    <x:xf numFmtId="179" fontId="35" fillId="0" borderId="9" xfId="6" applyNumberFormat="1" applyFont="1" applyAlignment="1">
      <x:alignment horizontal="right"/>
    </x:xf>
    <x:xf numFmtId="175" fontId="35" fillId="0" borderId="9" xfId="4" applyNumberFormat="1" applyFont="1" applyAlignment="1">
      <x:alignment horizontal="right"/>
    </x:xf>
    <x:xf numFmtId="174" fontId="35" fillId="0" borderId="9" xfId="4" applyNumberFormat="1" applyFont="1" applyAlignment="1">
      <x:alignment horizontal="right"/>
    </x:xf>
    <x:xf numFmtId="174" fontId="35" fillId="0" borderId="10" xfId="4" applyNumberFormat="1" applyFont="1" applyBorder="1" applyAlignment="1">
      <x:alignment horizontal="right"/>
    </x:xf>
    <x:xf numFmtId="171" fontId="35" fillId="0" borderId="9" xfId="4" applyNumberFormat="1" applyFont="1" applyAlignment="1">
      <x:alignment horizontal="right"/>
    </x:xf>
    <x:xf numFmtId="171" fontId="35" fillId="0" borderId="10" xfId="4" applyNumberFormat="1" applyFont="1" applyBorder="1" applyAlignment="1">
      <x:alignment horizontal="right"/>
    </x:xf>
    <x:xf numFmtId="164" fontId="33" fillId="0" borderId="9" xfId="4" applyNumberFormat="1" applyFont="1" applyAlignment="1">
      <x:alignment horizontal="right"/>
    </x:xf>
    <x:xf numFmtId="0" fontId="8" fillId="0" borderId="9" xfId="0" applyFont="1" applyBorder="1" applyAlignment="1">
      <x:alignment horizontal="left"/>
    </x:xf>
    <x:xf numFmtId="174" fontId="17" fillId="0" borderId="9" xfId="0" applyNumberFormat="1" applyFont="1" applyBorder="1"/>
    <x:xf numFmtId="0" fontId="8" fillId="0" borderId="7" xfId="0" applyFont="1" applyBorder="1" applyAlignment="1">
      <x:alignment horizontal="left"/>
    </x:xf>
    <x:xf numFmtId="0" fontId="15" fillId="0" borderId="7" xfId="0" applyFont="1" applyBorder="1"/>
    <x:xf numFmtId="0" fontId="8" fillId="0" borderId="9" xfId="4" applyFont="1"/>
    <x:xf numFmtId="177" fontId="35" fillId="6" borderId="9" xfId="4" applyNumberFormat="1" applyFont="1" applyFill="1" applyAlignment="1">
      <x:alignment horizontal="right"/>
    </x:xf>
    <x:xf numFmtId="177" fontId="35" fillId="0" borderId="9" xfId="4" applyNumberFormat="1" applyFont="1" applyAlignment="1">
      <x:alignment horizontal="right"/>
    </x:xf>
    <x:xf numFmtId="177" fontId="35" fillId="0" borderId="10" xfId="4" applyNumberFormat="1" applyFont="1" applyBorder="1" applyAlignment="1">
      <x:alignment horizontal="right"/>
    </x:xf>
    <x:xf numFmtId="177" fontId="34" fillId="3" borderId="9" xfId="4" applyNumberFormat="1" applyFont="1" applyFill="1"/>
    <x:xf numFmtId="180" fontId="33" fillId="0" borderId="0" xfId="0" applyNumberFormat="1" applyFont="1"/>
    <x:xf numFmtId="0" fontId="8" fillId="6" borderId="10" xfId="0" applyFont="1" applyFill="1" applyBorder="1"/>
    <x:xf numFmtId="175" fontId="15" fillId="6" borderId="10" xfId="0" applyNumberFormat="1" applyFont="1" applyFill="1" applyBorder="1"/>
    <x:xf numFmtId="0" fontId="39" fillId="0" borderId="0" xfId="0" applyFont="1"/>
    <x:xf numFmtId="175" fontId="33" fillId="0" borderId="0" xfId="0" applyNumberFormat="1" applyFont="1"/>
    <x:xf numFmtId="175" fontId="32" fillId="0" borderId="0" xfId="0" applyNumberFormat="1" applyFont="1"/>
    <x:xf numFmtId="174" fontId="33" fillId="0" borderId="0" xfId="0" applyNumberFormat="1" applyFont="1"/>
    <x:xf numFmtId="174" fontId="8" fillId="6" borderId="0" xfId="0" applyNumberFormat="1" applyFont="1" applyFill="1"/>
    <x:xf numFmtId="174" fontId="8" fillId="6" borderId="10" xfId="0" applyNumberFormat="1" applyFont="1" applyFill="1" applyBorder="1"/>
    <x:xf numFmtId="175" fontId="36" fillId="6" borderId="12" xfId="0" applyNumberFormat="1" applyFont="1" applyFill="1" applyBorder="1"/>
    <x:xf numFmtId="175" fontId="36" fillId="6" borderId="13" xfId="0" applyNumberFormat="1" applyFont="1" applyFill="1" applyBorder="1"/>
    <x:xf numFmtId="0" fontId="8" fillId="0" borderId="24" xfId="0" applyFont="1" applyBorder="1" applyAlignment="1">
      <x:alignment horizontal="left"/>
    </x:xf>
    <x:xf numFmtId="175" fontId="34" fillId="0" borderId="25" xfId="0" applyNumberFormat="1" applyFont="1" applyBorder="1"/>
    <x:xf numFmtId="175" fontId="17" fillId="0" borderId="25" xfId="0" applyNumberFormat="1" applyFont="1" applyBorder="1"/>
    <x:xf numFmtId="0" fontId="8" fillId="0" borderId="27" xfId="0" applyFont="1" applyBorder="1" applyAlignment="1">
      <x:alignment horizontal="left"/>
    </x:xf>
    <x:xf numFmtId="175" fontId="17" fillId="0" borderId="9" xfId="0" applyNumberFormat="1" applyFont="1" applyBorder="1"/>
    <x:xf numFmtId="175" fontId="17" fillId="0" borderId="28" xfId="0" applyNumberFormat="1" applyFont="1" applyBorder="1"/>
    <x:xf numFmtId="0" fontId="8" fillId="0" borderId="29" xfId="0" applyFont="1" applyBorder="1"/>
    <x:xf numFmtId="0" fontId="0" fillId="0" borderId="21" xfId="0" applyBorder="1"/>
    <x:xf numFmtId="0" fontId="8" fillId="0" borderId="12" xfId="0" applyFont="1" applyBorder="1" applyAlignment="1">
      <x:alignment horizontal="left"/>
    </x:xf>
    <x:xf numFmtId="175" fontId="34" fillId="0" borderId="21" xfId="0" applyNumberFormat="1" applyFont="1" applyBorder="1"/>
    <x:xf numFmtId="174" fontId="34" fillId="6" borderId="9" xfId="0" applyNumberFormat="1" applyFont="1" applyFill="1" applyBorder="1"/>
    <x:xf numFmtId="174" fontId="34" fillId="6" borderId="10" xfId="0" applyNumberFormat="1" applyFont="1" applyFill="1" applyBorder="1"/>
    <x:xf numFmtId="0" fontId="8" fillId="0" borderId="12" xfId="4" applyFont="1" applyBorder="1" applyAlignment="1">
      <x:alignment horizontal="left"/>
    </x:xf>
    <x:xf numFmtId="174" fontId="17" fillId="0" borderId="12" xfId="4" applyNumberFormat="1" applyFont="1" applyBorder="1"/>
    <x:xf numFmtId="174" fontId="17" fillId="0" borderId="13" xfId="4" applyNumberFormat="1" applyFont="1" applyBorder="1"/>
    <x:xf numFmtId="174" fontId="8" fillId="0" borderId="12" xfId="4" applyNumberFormat="1" applyFont="1" applyBorder="1"/>
    <x:xf numFmtId="0" fontId="15" fillId="0" borderId="9" xfId="4" applyFont="1" applyAlignment="1">
      <x:alignment horizontal="left"/>
    </x:xf>
    <x:xf numFmtId="175" fontId="36" fillId="0" borderId="9" xfId="4" applyNumberFormat="1" applyFont="1"/>
    <x:xf numFmtId="175" fontId="40" fillId="0" borderId="26" xfId="0" applyNumberFormat="1" applyFont="1" applyBorder="1"/>
    <x:xf numFmtId="0" fontId="33" fillId="0" borderId="9" xfId="4" applyFont="1"/>
    <x:xf numFmtId="0" fontId="8" fillId="0" borderId="9" xfId="4" applyFont="1" applyAlignment="1">
      <x:alignment horizontal="left"/>
    </x:xf>
    <x:xf numFmtId="174" fontId="34" fillId="0" borderId="9" xfId="4" applyNumberFormat="1" applyFont="1"/>
    <x:xf numFmtId="174" fontId="34" fillId="0" borderId="9" xfId="4" applyNumberFormat="1" applyFont="1" applyAlignment="1">
      <x:alignment horizontal="right"/>
    </x:xf>
    <x:xf numFmtId="174" fontId="34" fillId="0" borderId="10" xfId="4" applyNumberFormat="1" applyFont="1" applyBorder="1" applyAlignment="1">
      <x:alignment horizontal="right"/>
    </x:xf>
    <x:xf numFmtId="174" fontId="40" fillId="0" borderId="9" xfId="4" applyNumberFormat="1" applyFont="1" applyAlignment="1">
      <x:alignment horizontal="right"/>
    </x:xf>
    <x:xf numFmtId="174" fontId="40" fillId="0" borderId="10" xfId="4" applyNumberFormat="1" applyFont="1" applyBorder="1" applyAlignment="1">
      <x:alignment horizontal="right"/>
    </x:xf>
    <x:xf numFmtId="174" fontId="35" fillId="6" borderId="9" xfId="4" applyNumberFormat="1" applyFont="1" applyFill="1" applyAlignment="1">
      <x:alignment horizontal="right"/>
    </x:xf>
    <x:xf numFmtId="174" fontId="8" fillId="0" borderId="9" xfId="0" applyNumberFormat="1" applyFont="1" applyBorder="1"/>
    <x:xf numFmtId="0" fontId="6" fillId="0" borderId="21" xfId="4" applyBorder="1"/>
    <x:xf numFmtId="0" fontId="6" fillId="6" borderId="9" xfId="4" applyFill="1"/>
    <x:xf numFmtId="0" fontId="6" fillId="6" borderId="21" xfId="4" applyFill="1" applyBorder="1"/>
    <x:xf numFmtId="175" fontId="17" fillId="0" borderId="0" xfId="0" applyNumberFormat="1" applyFont="1"/>
    <x:xf numFmtId="166" fontId="0" fillId="0" borderId="0" xfId="0" applyNumberFormat="1" applyAlignment="1">
      <x:alignment horizontal="left"/>
    </x:xf>
    <x:xf numFmtId="0" fontId="24" fillId="0" borderId="12" xfId="0" applyFont="1" applyBorder="1"/>
    <x:xf numFmtId="175" fontId="24" fillId="0" borderId="12" xfId="0" applyNumberFormat="1" applyFont="1" applyBorder="1"/>
    <x:xf numFmtId="0" fontId="15" fillId="0" borderId="9" xfId="0" applyFont="1" applyBorder="1" applyAlignment="1">
      <x:alignment horizontal="left"/>
    </x:xf>
    <x:xf numFmtId="175" fontId="15" fillId="0" borderId="9" xfId="0" applyNumberFormat="1" applyFont="1" applyBorder="1" applyAlignment="1">
      <x:alignment horizontal="right"/>
    </x:xf>
    <x:xf numFmtId="175" fontId="34" fillId="0" borderId="9" xfId="0" applyNumberFormat="1" applyFont="1" applyBorder="1" applyAlignment="1">
      <x:alignment horizontal="right"/>
    </x:xf>
    <x:xf numFmtId="182" fontId="33" fillId="10" borderId="9" xfId="4" applyNumberFormat="1" applyFont="1" applyFill="1"/>
    <x:xf numFmtId="182" fontId="33" fillId="0" borderId="9" xfId="4" applyNumberFormat="1" applyFont="1"/>
    <x:xf numFmtId="175" fontId="17" fillId="0" borderId="10" xfId="0" applyNumberFormat="1" applyFont="1" applyBorder="1"/>
    <x:xf numFmtId="175" fontId="24" fillId="0" borderId="20" xfId="0" applyNumberFormat="1" applyFont="1" applyBorder="1"/>
    <x:xf numFmtId="0" fontId="39" fillId="0" borderId="9" xfId="4" applyFont="1"/>
    <x:xf numFmtId="0" fontId="0" fillId="6" borderId="9" xfId="0" applyFill="1" applyBorder="1"/>
    <x:xf numFmtId="0" fontId="0" fillId="6" borderId="21" xfId="0" applyFill="1" applyBorder="1"/>
    <x:xf numFmtId="0" fontId="11" fillId="0" borderId="9" xfId="0" applyFont="1" applyBorder="1" applyAlignment="1">
      <x:alignment horizontal="left"/>
    </x:xf>
    <x:xf numFmtId="0" fontId="0" fillId="6" borderId="12" xfId="0" applyFill="1" applyBorder="1"/>
    <x:xf numFmtId="0" fontId="0" fillId="6" borderId="20" xfId="0" applyFill="1" applyBorder="1"/>
    <x:xf numFmtId="175" fontId="0" fillId="0" borderId="12" xfId="0" applyNumberFormat="1" applyBorder="1"/>
    <x:xf numFmtId="181" fontId="25" fillId="0" borderId="9" xfId="4" applyNumberFormat="1" applyFont="1"/>
    <x:xf numFmtId="179" fontId="35" fillId="0" borderId="9" xfId="4" applyNumberFormat="1" applyFont="1" applyAlignment="1">
      <x:alignment horizontal="right"/>
    </x:xf>
    <x:xf numFmtId="180" fontId="32" fillId="0" borderId="0" xfId="0" applyNumberFormat="1" applyFont="1"/>
    <x:xf numFmtId="179" fontId="33" fillId="0" borderId="0" xfId="0" applyNumberFormat="1" applyFont="1"/>
    <x:xf numFmtId="179" fontId="32" fillId="0" borderId="0" xfId="0" applyNumberFormat="1" applyFont="1"/>
    <x:xf numFmtId="174" fontId="32" fillId="0" borderId="0" xfId="0" applyNumberFormat="1" applyFont="1"/>
    <x:xf numFmtId="167" fontId="8" fillId="0" borderId="0" xfId="0" applyNumberFormat="1" applyFont="1"/>
    <x:xf numFmtId="37" fontId="8" fillId="0" borderId="21" xfId="0" applyNumberFormat="1" applyFont="1" applyBorder="1"/>
    <x:xf numFmtId="0" fontId="22" fillId="0" borderId="21" xfId="0" applyFont="1" applyBorder="1"/>
    <x:xf numFmtId="174" fontId="0" fillId="0" borderId="21" xfId="0" applyNumberFormat="1" applyBorder="1"/>
    <x:xf numFmtId="175" fontId="41" fillId="0" borderId="9" xfId="4" applyNumberFormat="1" applyFont="1"/>
    <x:xf numFmtId="0" fontId="8" fillId="0" borderId="27" xfId="0" applyFont="1" applyBorder="1"/>
    <x:xf numFmtId="175" fontId="8" fillId="0" borderId="28" xfId="0" applyNumberFormat="1" applyFont="1" applyBorder="1"/>
    <x:xf numFmtId="175" fontId="32" fillId="0" borderId="12" xfId="0" applyNumberFormat="1" applyFont="1" applyBorder="1"/>
    <x:xf numFmtId="175" fontId="32" fillId="0" borderId="30" xfId="0" applyNumberFormat="1" applyFont="1" applyBorder="1"/>
    <x:xf numFmtId="175" fontId="34" fillId="0" borderId="33" xfId="0" applyNumberFormat="1" applyFont="1" applyBorder="1"/>
    <x:xf numFmtId="0" fontId="6" fillId="6" borderId="12" xfId="4" applyFill="1" applyBorder="1"/>
    <x:xf numFmtId="0" fontId="6" fillId="6" borderId="20" xfId="4" applyFill="1" applyBorder="1"/>
    <x:xf numFmtId="174" fontId="34" fillId="3" borderId="12" xfId="4" applyNumberFormat="1" applyFont="1" applyFill="1" applyBorder="1"/>
    <x:xf numFmtId="0" fontId="8" fillId="0" borderId="12" xfId="4" applyFont="1" applyBorder="1" applyAlignment="1">
      <x:alignment horizontal="left"/>
    </x:xf>
    <x:xf numFmtId="174" fontId="35" fillId="6" borderId="12" xfId="4" applyNumberFormat="1" applyFont="1" applyFill="1" applyBorder="1" applyAlignment="1">
      <x:alignment horizontal="right"/>
    </x:xf>
    <x:xf numFmtId="174" fontId="34" fillId="0" borderId="12" xfId="4" applyNumberFormat="1" applyFont="1" applyBorder="1" applyAlignment="1">
      <x:alignment horizontal="right"/>
    </x:xf>
    <x:xf numFmtId="174" fontId="34" fillId="0" borderId="13" xfId="4" applyNumberFormat="1" applyFont="1" applyBorder="1" applyAlignment="1">
      <x:alignment horizontal="right"/>
    </x:xf>
    <x:xf numFmtId="37" fontId="8" fillId="0" borderId="9" xfId="0" applyNumberFormat="1" applyFont="1" applyBorder="1"/>
    <x:xf numFmtId="37" fontId="8" fillId="6" borderId="0" xfId="0" applyNumberFormat="1" applyFont="1" applyFill="1"/>
    <x:xf numFmtId="175" fontId="17" fillId="0" borderId="20" xfId="0" applyNumberFormat="1" applyFont="1" applyBorder="1"/>
    <x:xf numFmtId="175" fontId="8" fillId="0" borderId="12" xfId="0" applyNumberFormat="1" applyFont="1" applyBorder="1"/>
    <x:xf numFmtId="175" fontId="8" fillId="0" borderId="13" xfId="0" applyNumberFormat="1" applyFont="1" applyBorder="1"/>
    <x:xf numFmtId="0" fontId="26" fillId="0" borderId="0" xfId="0" applyFont="1"/>
    <x:xf numFmtId="175" fontId="0" fillId="0" borderId="21" xfId="0" applyNumberFormat="1" applyBorder="1"/>
    <x:xf numFmtId="175" fontId="22" fillId="0" borderId="9" xfId="0" applyNumberFormat="1" applyFont="1" applyBorder="1"/>
    <x:xf numFmtId="175" fontId="10" fillId="0" borderId="21" xfId="0" applyNumberFormat="1" applyFont="1" applyBorder="1"/>
    <x:xf numFmtId="175" fontId="23" fillId="0" borderId="0" xfId="0" applyNumberFormat="1" applyFont="1"/>
    <x:xf numFmtId="175" fontId="17" fillId="0" borderId="10" xfId="6" applyNumberFormat="1" applyFont="1" applyBorder="1"/>
    <x:xf numFmtId="0" fontId="5" fillId="0" borderId="9" xfId="4" applyFont="1"/>
    <x:xf numFmtId="0" fontId="5" fillId="0" borderId="9" xfId="4" applyFont="1" applyAlignment="1">
      <x:alignment horizontal="left"/>
    </x:xf>
    <x:xf numFmtId="0" fontId="5" fillId="0" borderId="9" xfId="4" applyFont="1" applyAlignment="1">
      <x:alignment horizontal="right"/>
    </x:xf>
    <x:xf numFmtId="0" fontId="5" fillId="0" borderId="12" xfId="4" applyFont="1" applyBorder="1"/>
    <x:xf numFmtId="0" fontId="5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5" fillId="0" borderId="0" xfId="0" applyFont="1"/>
    <x:xf numFmtId="166" fontId="5" fillId="0" borderId="0" xfId="0" applyNumberFormat="1" applyFont="1" applyAlignment="1">
      <x:alignment horizontal="left"/>
    </x:xf>
    <x:xf numFmtId="175" fontId="5" fillId="0" borderId="0" xfId="0" applyNumberFormat="1" applyFont="1"/>
    <x:xf numFmtId="0" fontId="5" fillId="0" borderId="0" xfId="0" applyFont="1" applyAlignment="1">
      <x:alignment wrapText="1"/>
    </x:xf>
    <x:xf numFmtId="0" fontId="5" fillId="0" borderId="9" xfId="0" applyFont="1" applyBorder="1"/>
    <x:xf numFmtId="0" fontId="5" fillId="0" borderId="0" xfId="0" applyFont="1" applyAlignment="1">
      <x:alignment horizontal="left"/>
    </x:xf>
    <x:xf numFmtId="0" fontId="5" fillId="0" borderId="12" xfId="0" applyFont="1" applyBorder="1"/>
    <x:xf numFmtId="0" fontId="5" fillId="0" borderId="9" xfId="6" applyFont="1" applyAlignment="1">
      <x:alignment horizontal="right"/>
    </x:xf>
    <x:xf numFmtId="0" fontId="5" fillId="0" borderId="9" xfId="6" applyFont="1"/>
    <x:xf numFmtId="174" fontId="17" fillId="0" borderId="21" xfId="0" applyNumberFormat="1" applyFont="1" applyBorder="1"/>
    <x:xf numFmtId="174" fontId="8" fillId="6" borderId="21" xfId="0" applyNumberFormat="1" applyFont="1" applyFill="1" applyBorder="1"/>
    <x:xf numFmtId="0" fontId="4" fillId="0" borderId="0" xfId="0" applyFont="1"/>
    <x:xf numFmtId="175" fontId="8" fillId="6" borderId="21" xfId="0" applyNumberFormat="1" applyFont="1" applyFill="1" applyBorder="1"/>
    <x:xf numFmtId="0" fontId="3" fillId="0" borderId="0" xfId="0" applyFont="1"/>
    <x:xf numFmtId="0" fontId="42" fillId="0" borderId="0" xfId="0" applyFont="1"/>
    <x:xf numFmtId="0" fontId="2" fillId="0" borderId="0" xfId="0" applyFont="1"/>
    <x:xf numFmtId="0" fontId="1" fillId="0" borderId="0" xfId="0" applyFont="1"/>
    <x:xf numFmtId="175" fontId="36" fillId="0" borderId="0" xfId="0" applyNumberFormat="1" applyFont="1"/>
    <x:xf numFmtId="175" fontId="36" fillId="0" borderId="21" xfId="0" applyNumberFormat="1" applyFont="1" applyBorder="1"/>
    <x:xf numFmtId="175" fontId="24" fillId="0" borderId="0" xfId="0" applyNumberFormat="1" applyFont="1"/>
    <x:xf numFmtId="175" fontId="24" fillId="0" borderId="21" xfId="0" applyNumberFormat="1" applyFont="1" applyBorder="1"/>
    <x:xf numFmtId="0" fontId="13" fillId="2" borderId="9" xfId="0" applyFont="1" applyFill="1" applyBorder="1" applyAlignment="1">
      <x:alignment horizontal="center"/>
    </x:xf>
    <x:xf numFmtId="0" fontId="14" fillId="0" borderId="9" xfId="0" applyFont="1" applyBorder="1"/>
    <x:xf numFmtId="0" fontId="14" fillId="0" borderId="3" xfId="0" applyFont="1" applyBorder="1"/>
    <x:xf numFmtId="0" fontId="5" fillId="0" borderId="0" xfId="0" applyFont="1" applyAlignment="1">
      <x:alignment horizontal="left" vertical="center" wrapText="1"/>
    </x:xf>
    <x:xf numFmtId="0" fontId="26" fillId="0" borderId="0" xfId="0" applyFont="1" applyAlignment="1">
      <x:alignment horizontal="left" vertical="center" wrapText="1"/>
    </x:xf>
    <x:xf numFmtId="0" fontId="13" fillId="2" borderId="9" xfId="4" applyFont="1" applyFill="1" applyAlignment="1">
      <x:alignment horizontal="center"/>
    </x:xf>
    <x:xf numFmtId="0" fontId="14" fillId="0" borderId="9" xfId="4" applyFont="1"/>
    <x:xf numFmtId="0" fontId="14" fillId="0" borderId="3" xfId="4" applyFont="1" applyBorder="1"/>
    <x:xf numFmtId="0" fontId="13" fillId="2" borderId="31" xfId="4" applyFont="1" applyFill="1" applyBorder="1" applyAlignment="1">
      <x:alignment horizontal="center"/>
    </x:xf>
    <x:xf numFmtId="0" fontId="13" fillId="2" borderId="32" xfId="4" applyFont="1" applyFill="1" applyBorder="1" applyAlignment="1">
      <x:alignment horizontal="center"/>
    </x:xf>
    <x:xf numFmtId="0" fontId="5" fillId="0" borderId="9" xfId="6" applyFont="1" applyAlignment="1">
      <x:alignment horizontal="center" vertical="center" wrapText="1"/>
    </x:xf>
    <x:xf numFmtId="0" fontId="13" fillId="8" borderId="9" xfId="6" applyFont="1" applyFill="1" applyAlignment="1">
      <x:alignment horizontal="center"/>
    </x:xf>
    <x:xf numFmtId="0" fontId="14" fillId="0" borderId="9" xfId="6" applyFont="1"/>
    <x:xf numFmtId="0" fontId="13" fillId="8" borderId="9" xfId="6" applyFont="1" applyFill="1" applyAlignment="1">
      <x:alignment horizontal="center" vertical="center" wrapText="1"/>
    </x:xf>
    <x:xf numFmtId="0" fontId="13" fillId="2" borderId="9" xfId="6" applyFont="1" applyFill="1" applyAlignment="1">
      <x:alignment horizontal="center"/>
    </x:xf>
    <x:xf numFmtId="0" fontId="14" fillId="0" borderId="3" xfId="6" applyFont="1" applyBorder="1"/>
    <x:xf numFmtId="0" fontId="7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9" fillId="0" borderId="37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0" fillId="0" borderId="38" xfId="0" applyNumberFormat="1" applyFont="1" applyFill="1" applyBorder="1"/>
    <x:xf numFmtId="0" fontId="9" fillId="0" borderId="39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40" xfId="0" applyNumberFormat="1" applyFont="1" applyFill="1" applyBorder="1"/>
    <x:xf numFmtId="0" fontId="0" fillId="0" borderId="39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right"/>
    </x:xf>
    <x:xf numFmtId="14" fontId="0" fillId="0" borderId="0" xfId="0" applyNumberFormat="1" applyFont="1" applyFill="1" applyBorder="1" applyAlignment="1">
      <x:alignment horizontal="right"/>
    </x:xf>
    <x:xf numFmtId="37" fontId="10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/>
    </x:xf>
    <x:xf numFmtId="0" fontId="0" fillId="0" borderId="41" xfId="0" applyNumberFormat="1" applyFont="1" applyFill="1" applyBorder="1" applyAlignment="1">
      <x:alignment horizontal="left"/>
    </x:xf>
    <x:xf numFmtId="164" fontId="33" fillId="0" borderId="42" xfId="0" applyNumberFormat="1" applyFont="1" applyFill="1" applyBorder="1" applyAlignment="1">
      <x:alignment horizontal="right"/>
    </x:xf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13" fillId="2" borderId="34" xfId="0" applyNumberFormat="1" applyFont="1" applyFill="1" applyBorder="1"/>
    <x:xf numFmtId="0" fontId="13" fillId="2" borderId="35" xfId="0" applyNumberFormat="1" applyFont="1" applyFill="1" applyBorder="1" applyAlignment="1">
      <x:alignment horizontal="center"/>
    </x:xf>
    <x:xf numFmtId="0" fontId="14" fillId="0" borderId="35" xfId="0" applyNumberFormat="1" applyFont="1" applyFill="1" applyBorder="1"/>
    <x:xf numFmtId="0" fontId="14" fillId="0" borderId="44" xfId="0" applyNumberFormat="1" applyFont="1" applyFill="1" applyBorder="1"/>
    <x:xf numFmtId="0" fontId="14" fillId="0" borderId="36" xfId="0" applyNumberFormat="1" applyFont="1" applyFill="1" applyBorder="1"/>
    <x:xf numFmtId="0" fontId="13" fillId="2" borderId="39" xfId="0" applyNumberFormat="1" applyFont="1" applyFill="1" applyBorder="1"/>
    <x:xf numFmtId="166" fontId="13" fillId="2" borderId="45" xfId="0" applyNumberFormat="1" applyFont="1" applyFill="1" applyBorder="1" applyAlignment="1">
      <x:alignment horizontal="center"/>
    </x:xf>
    <x:xf numFmtId="0" fontId="0" fillId="0" borderId="39" xfId="0" applyNumberFormat="1" applyFont="1" applyFill="1" applyBorder="1"/>
    <x:xf numFmtId="0" fontId="29" fillId="0" borderId="39" xfId="0" applyNumberFormat="1" applyFont="1" applyFill="1" applyBorder="1"/>
    <x:xf numFmtId="175" fontId="29" fillId="0" borderId="0" xfId="0" applyNumberFormat="1" applyFont="1" applyFill="1" applyBorder="1"/>
    <x:xf numFmtId="175" fontId="29" fillId="0" borderId="10" xfId="0" applyNumberFormat="1" applyFont="1" applyFill="1" applyBorder="1"/>
    <x:xf numFmtId="175" fontId="29" fillId="0" borderId="40" xfId="0" applyNumberFormat="1" applyFont="1" applyFill="1" applyBorder="1"/>
    <x:xf numFmtId="0" fontId="25" fillId="0" borderId="41" xfId="0" applyNumberFormat="1" applyFont="1" applyFill="1" applyBorder="1" applyAlignment="1">
      <x:alignment horizontal="left"/>
    </x:xf>
    <x:xf numFmtId="0" fontId="17" fillId="6" borderId="42" xfId="0" applyNumberFormat="1" applyFont="1" applyFill="1" applyBorder="1"/>
    <x:xf numFmtId="174" fontId="25" fillId="0" borderId="42" xfId="0" applyNumberFormat="1" applyFont="1" applyFill="1" applyBorder="1"/>
    <x:xf numFmtId="174" fontId="25" fillId="0" borderId="46" xfId="0" applyNumberFormat="1" applyFont="1" applyFill="1" applyBorder="1"/>
    <x:xf numFmtId="174" fontId="25" fillId="0" borderId="43" xfId="0" applyNumberFormat="1" applyFont="1" applyFill="1" applyBorder="1"/>
    <x:xf numFmtId="166" fontId="13" fillId="2" borderId="47" xfId="0" applyNumberFormat="1" applyFont="1" applyFill="1" applyBorder="1" applyAlignment="1">
      <x:alignment horizontal="center"/>
    </x:xf>
    <x:xf numFmtId="175" fontId="29" fillId="0" borderId="48" xfId="0" applyNumberFormat="1" applyFont="1" applyFill="1" applyBorder="1"/>
    <x:xf numFmtId="174" fontId="25" fillId="0" borderId="48" xfId="0" applyNumberFormat="1" applyFont="1" applyFill="1" applyBorder="1"/>
    <x:xf numFmtId="166" fontId="13" fillId="2" borderId="49" xfId="0" applyNumberFormat="1" applyFont="1" applyFill="1" applyBorder="1" applyAlignment="1">
      <x:alignment horizontal="center"/>
    </x:xf>
    <x:xf numFmtId="175" fontId="29" fillId="0" borderId="50" xfId="0" applyNumberFormat="1" applyFont="1" applyFill="1" applyBorder="1"/>
    <x:xf numFmtId="174" fontId="25" fillId="0" borderId="50" xfId="0" applyNumberFormat="1" applyFont="1" applyFill="1" applyBorder="1"/>
    <x:xf numFmtId="0" fontId="15" fillId="0" borderId="39" xfId="0" applyNumberFormat="1" applyFont="1" applyFill="1" applyBorder="1"/>
    <x:xf numFmtId="175" fontId="36" fillId="0" borderId="0" xfId="0" applyNumberFormat="1" applyFont="1" applyFill="1" applyBorder="1"/>
    <x:xf numFmtId="175" fontId="36" fillId="0" borderId="10" xfId="0" applyNumberFormat="1" applyFont="1" applyFill="1" applyBorder="1"/>
    <x:xf numFmtId="175" fontId="15" fillId="0" borderId="0" xfId="0" applyNumberFormat="1" applyFont="1" applyFill="1" applyBorder="1"/>
    <x:xf numFmtId="175" fontId="15" fillId="0" borderId="40" xfId="0" applyNumberFormat="1" applyFont="1" applyFill="1" applyBorder="1"/>
    <x:xf numFmtId="174" fontId="0" fillId="6" borderId="0" xfId="0" applyNumberFormat="1" applyFont="1" applyFill="1" applyBorder="1"/>
    <x:xf numFmtId="174" fontId="25" fillId="0" borderId="0" xfId="0" applyNumberFormat="1" applyFont="1" applyFill="1" applyBorder="1"/>
    <x:xf numFmtId="174" fontId="25" fillId="0" borderId="10" xfId="0" applyNumberFormat="1" applyFont="1" applyFill="1" applyBorder="1"/>
    <x:xf numFmtId="174" fontId="25" fillId="0" borderId="40" xfId="0" applyNumberFormat="1" applyFont="1" applyFill="1" applyBorder="1"/>
    <x:xf numFmtId="167" fontId="25" fillId="0" borderId="0" xfId="0" applyNumberFormat="1" applyFont="1" applyFill="1" applyBorder="1"/>
    <x:xf numFmtId="167" fontId="25" fillId="0" borderId="10" xfId="0" applyNumberFormat="1" applyFont="1" applyFill="1" applyBorder="1"/>
    <x:xf numFmtId="167" fontId="25" fillId="0" borderId="40" xfId="0" applyNumberFormat="1" applyFont="1" applyFill="1" applyBorder="1"/>
    <x:xf numFmtId="0" fontId="29" fillId="0" borderId="39" xfId="0" applyNumberFormat="1" applyFont="1" applyFill="1" applyBorder="1" applyAlignment="1">
      <x:alignment horizontal="left"/>
    </x:xf>
    <x:xf numFmtId="0" fontId="15" fillId="0" borderId="39" xfId="0" applyNumberFormat="1" applyFont="1" applyFill="1" applyBorder="1" applyAlignment="1">
      <x:alignment horizontal="left"/>
    </x:xf>
    <x:xf numFmtId="175" fontId="0" fillId="0" borderId="0" xfId="0" applyNumberFormat="1" applyFont="1" applyFill="1" applyBorder="1"/>
    <x:xf numFmtId="175" fontId="0" fillId="0" borderId="40" xfId="0" applyNumberFormat="1" applyFont="1" applyFill="1" applyBorder="1"/>
    <x:xf numFmtId="174" fontId="17" fillId="0" borderId="42" xfId="0" applyNumberFormat="1" applyFont="1" applyFill="1" applyBorder="1"/>
    <x:xf numFmtId="174" fontId="17" fillId="0" borderId="46" xfId="0" applyNumberFormat="1" applyFont="1" applyFill="1" applyBorder="1"/>
    <x:xf numFmtId="174" fontId="0" fillId="0" borderId="42" xfId="0" applyNumberFormat="1" applyFont="1" applyFill="1" applyBorder="1"/>
    <x:xf numFmtId="174" fontId="0" fillId="0" borderId="43" xfId="0" applyNumberFormat="1" applyFont="1" applyFill="1" applyBorder="1"/>
    <x:xf numFmtId="175" fontId="36" fillId="0" borderId="48" xfId="0" applyNumberFormat="1" applyFont="1" applyFill="1" applyBorder="1"/>
    <x:xf numFmtId="174" fontId="17" fillId="0" borderId="48" xfId="0" applyNumberFormat="1" applyFont="1" applyFill="1" applyBorder="1"/>
    <x:xf numFmtId="175" fontId="15" fillId="0" borderId="50" xfId="0" applyNumberFormat="1" applyFont="1" applyFill="1" applyBorder="1"/>
    <x:xf numFmtId="175" fontId="0" fillId="0" borderId="50" xfId="0" applyNumberFormat="1" applyFont="1" applyFill="1" applyBorder="1"/>
    <x:xf numFmtId="174" fontId="0" fillId="0" borderId="50" xfId="0" applyNumberFormat="1" applyFont="1" applyFill="1" applyBorder="1"/>
    <x:xf numFmtId="0" fontId="13" fillId="2" borderId="34" xfId="0" applyNumberFormat="1" applyFont="1" applyFill="1" applyBorder="1" applyAlignment="1">
      <x:alignment vertical="top"/>
    </x:xf>
    <x:xf numFmtId="0" fontId="13" fillId="2" borderId="39" xfId="0" applyNumberFormat="1" applyFont="1" applyFill="1" applyBorder="1" applyAlignment="1">
      <x:alignment vertical="top"/>
    </x:xf>
    <x:xf numFmtId="174" fontId="35" fillId="6" borderId="0" xfId="0" applyNumberFormat="1" applyFont="1" applyFill="1" applyBorder="1" applyAlignment="1">
      <x:alignment horizontal="right"/>
    </x:xf>
    <x:xf numFmtId="174" fontId="33" fillId="0" borderId="0" xfId="0" applyNumberFormat="1" applyFont="1" applyFill="1" applyBorder="1" applyAlignment="1">
      <x:alignment horizontal="right"/>
    </x:xf>
    <x:xf numFmtId="174" fontId="33" fillId="0" borderId="10" xfId="0" applyNumberFormat="1" applyFont="1" applyFill="1" applyBorder="1" applyAlignment="1">
      <x:alignment horizontal="right"/>
    </x:xf>
    <x:xf numFmtId="174" fontId="33" fillId="3" borderId="0" xfId="0" applyNumberFormat="1" applyFont="1" applyFill="1" applyBorder="1"/>
    <x:xf numFmtId="174" fontId="33" fillId="3" borderId="40" xfId="0" applyNumberFormat="1" applyFont="1" applyFill="1" applyBorder="1"/>
    <x:xf numFmtId="174" fontId="35" fillId="0" borderId="0" xfId="0" applyNumberFormat="1" applyFont="1" applyFill="1" applyBorder="1" applyAlignment="1">
      <x:alignment horizontal="right"/>
    </x:xf>
    <x:xf numFmtId="174" fontId="40" fillId="0" borderId="0" xfId="0" applyNumberFormat="1" applyFont="1" applyFill="1" applyBorder="1" applyAlignment="1">
      <x:alignment horizontal="right"/>
    </x:xf>
    <x:xf numFmtId="174" fontId="40" fillId="0" borderId="10" xfId="0" applyNumberFormat="1" applyFont="1" applyFill="1" applyBorder="1" applyAlignment="1">
      <x:alignment horizontal="right"/>
    </x:xf>
    <x:xf numFmtId="174" fontId="33" fillId="0" borderId="0" xfId="0" applyNumberFormat="1" applyFont="1" applyFill="1" applyBorder="1"/>
    <x:xf numFmtId="174" fontId="33" fillId="0" borderId="40" xfId="0" applyNumberFormat="1" applyFont="1" applyFill="1" applyBorder="1"/>
    <x:xf numFmtId="0" fontId="33" fillId="0" borderId="0" xfId="0" applyNumberFormat="1" applyFont="1" applyFill="1" applyBorder="1"/>
    <x:xf numFmtId="174" fontId="35" fillId="6" borderId="42" xfId="0" applyNumberFormat="1" applyFont="1" applyFill="1" applyBorder="1" applyAlignment="1">
      <x:alignment horizontal="right"/>
    </x:xf>
    <x:xf numFmtId="174" fontId="33" fillId="0" borderId="42" xfId="0" applyNumberFormat="1" applyFont="1" applyFill="1" applyBorder="1" applyAlignment="1">
      <x:alignment horizontal="right"/>
    </x:xf>
    <x:xf numFmtId="174" fontId="33" fillId="0" borderId="46" xfId="0" applyNumberFormat="1" applyFont="1" applyFill="1" applyBorder="1" applyAlignment="1">
      <x:alignment horizontal="right"/>
    </x:xf>
    <x:xf numFmtId="174" fontId="33" fillId="3" borderId="42" xfId="0" applyNumberFormat="1" applyFont="1" applyFill="1" applyBorder="1"/>
    <x:xf numFmtId="174" fontId="33" fillId="3" borderId="43" xfId="0" applyNumberFormat="1" applyFont="1" applyFill="1" applyBorder="1"/>
    <x:xf numFmtId="174" fontId="33" fillId="0" borderId="48" xfId="0" applyNumberFormat="1" applyFont="1" applyFill="1" applyBorder="1" applyAlignment="1">
      <x:alignment horizontal="right"/>
    </x:xf>
    <x:xf numFmtId="174" fontId="33" fillId="3" borderId="50" xfId="0" applyNumberFormat="1" applyFont="1" applyFill="1" applyBorder="1"/>
    <x:xf numFmtId="0" fontId="13" fillId="2" borderId="51" xfId="0" applyNumberFormat="1" applyFont="1" applyFill="1" applyBorder="1" applyAlignment="1">
      <x:alignment horizontal="center"/>
    </x:xf>
    <x:xf numFmtId="0" fontId="13" fillId="2" borderId="52" xfId="0" applyNumberFormat="1" applyFont="1" applyFill="1" applyBorder="1" applyAlignment="1">
      <x:alignment horizontal="center"/>
    </x:xf>
    <x:xf numFmtId="0" fontId="13" fillId="2" borderId="53" xfId="0" applyNumberFormat="1" applyFont="1" applyFill="1" applyBorder="1" applyAlignment="1">
      <x:alignment horizontal="center"/>
    </x:xf>
    <x:xf numFmtId="174" fontId="35" fillId="0" borderId="10" xfId="0" applyNumberFormat="1" applyFont="1" applyFill="1" applyBorder="1" applyAlignment="1">
      <x:alignment horizontal="right"/>
    </x:xf>
    <x:xf numFmtId="171" fontId="35" fillId="0" borderId="0" xfId="0" applyNumberFormat="1" applyFont="1" applyFill="1" applyBorder="1" applyAlignment="1">
      <x:alignment horizontal="right"/>
    </x:xf>
    <x:xf numFmtId="171" fontId="35" fillId="0" borderId="10" xfId="0" applyNumberFormat="1" applyFont="1" applyFill="1" applyBorder="1" applyAlignment="1">
      <x:alignment horizontal="right"/>
    </x:xf>
    <x:xf numFmtId="171" fontId="33" fillId="3" borderId="0" xfId="0" applyNumberFormat="1" applyFont="1" applyFill="1" applyBorder="1"/>
    <x:xf numFmtId="171" fontId="33" fillId="3" borderId="40" xfId="0" applyNumberFormat="1" applyFont="1" applyFill="1" applyBorder="1"/>
    <x:xf numFmtId="177" fontId="35" fillId="6" borderId="0" xfId="0" applyNumberFormat="1" applyFont="1" applyFill="1" applyBorder="1" applyAlignment="1">
      <x:alignment horizontal="right"/>
    </x:xf>
    <x:xf numFmtId="177" fontId="35" fillId="0" borderId="0" xfId="0" applyNumberFormat="1" applyFont="1" applyFill="1" applyBorder="1" applyAlignment="1">
      <x:alignment horizontal="right"/>
    </x:xf>
    <x:xf numFmtId="177" fontId="35" fillId="0" borderId="10" xfId="0" applyNumberFormat="1" applyFont="1" applyFill="1" applyBorder="1" applyAlignment="1">
      <x:alignment horizontal="right"/>
    </x:xf>
    <x:xf numFmtId="177" fontId="33" fillId="3" borderId="0" xfId="0" applyNumberFormat="1" applyFont="1" applyFill="1" applyBorder="1"/>
    <x:xf numFmtId="177" fontId="33" fillId="3" borderId="40" xfId="0" applyNumberFormat="1" applyFont="1" applyFill="1" applyBorder="1"/>
    <x:xf numFmtId="0" fontId="0" fillId="0" borderId="21" xfId="0" applyNumberFormat="1" applyFont="1" applyFill="1" applyBorder="1"/>
    <x:xf numFmtId="0" fontId="0" fillId="6" borderId="0" xfId="0" applyNumberFormat="1" applyFont="1" applyFill="1" applyBorder="1"/>
    <x:xf numFmtId="0" fontId="0" fillId="6" borderId="21" xfId="0" applyNumberFormat="1" applyFont="1" applyFill="1" applyBorder="1"/>
    <x:xf numFmtId="0" fontId="0" fillId="0" borderId="41" xfId="0" applyNumberFormat="1" applyFont="1" applyFill="1" applyBorder="1"/>
    <x:xf numFmtId="0" fontId="0" fillId="6" borderId="42" xfId="0" applyNumberFormat="1" applyFont="1" applyFill="1" applyBorder="1"/>
    <x:xf numFmtId="0" fontId="0" fillId="6" borderId="54" xfId="0" applyNumberFormat="1" applyFont="1" applyFill="1" applyBorder="1"/>
    <x:xf numFmtId="174" fontId="35" fillId="0" borderId="48" xfId="0" applyNumberFormat="1" applyFont="1" applyFill="1" applyBorder="1" applyAlignment="1">
      <x:alignment horizontal="right"/>
    </x:xf>
    <x:xf numFmtId="171" fontId="35" fillId="0" borderId="48" xfId="0" applyNumberFormat="1" applyFont="1" applyFill="1" applyBorder="1" applyAlignment="1">
      <x:alignment horizontal="right"/>
    </x:xf>
    <x:xf numFmtId="177" fontId="35" fillId="0" borderId="48" xfId="0" applyNumberFormat="1" applyFont="1" applyFill="1" applyBorder="1" applyAlignment="1">
      <x:alignment horizontal="right"/>
    </x:xf>
    <x:xf numFmtId="171" fontId="33" fillId="3" borderId="50" xfId="0" applyNumberFormat="1" applyFont="1" applyFill="1" applyBorder="1"/>
    <x:xf numFmtId="177" fontId="33" fillId="3" borderId="50" xfId="0" applyNumberFormat="1" applyFont="1" applyFill="1" applyBorder="1"/>
    <x:xf numFmtId="0" fontId="17" fillId="0" borderId="0" xfId="0" applyNumberFormat="1" applyFont="1" applyFill="1" applyBorder="1" applyAlignment="1">
      <x:alignment horizontal="left"/>
    </x:xf>
    <x:xf numFmtId="0" fontId="0" fillId="4" borderId="8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horizontal="right"/>
    </x:xf>
    <x:xf numFmtId="14" fontId="17" fillId="0" borderId="0" xfId="0" applyNumberFormat="1" applyFont="1" applyFill="1" applyBorder="1" applyAlignment="1">
      <x:alignment horizontal="right"/>
    </x:xf>
    <x:xf numFmtId="0" fontId="21" fillId="0" borderId="0" xfId="0" applyNumberFormat="1" applyFont="1" applyFill="1" applyBorder="1"/>
    <x:xf numFmtId="164" fontId="35" fillId="0" borderId="42" xfId="0" applyNumberFormat="1" applyFont="1" applyFill="1" applyBorder="1" applyAlignment="1">
      <x:alignment horizontal="right"/>
    </x:xf>
    <x:xf numFmtId="37" fontId="10" fillId="0" borderId="42" xfId="0" applyNumberFormat="1" applyFont="1" applyFill="1" applyBorder="1" applyAlignment="1">
      <x:alignment horizontal="left"/>
    </x:xf>
    <x:xf numFmtId="0" fontId="13" fillId="2" borderId="36" xfId="0" applyNumberFormat="1" applyFont="1" applyFill="1" applyBorder="1" applyAlignment="1">
      <x:alignment horizontal="center"/>
    </x:xf>
    <x:xf numFmtId="37" fontId="0" fillId="0" borderId="0" xfId="0" applyNumberFormat="1" applyFont="1" applyFill="1" applyBorder="1"/>
    <x:xf numFmtId="175" fontId="0" fillId="0" borderId="10" xfId="0" applyNumberFormat="1" applyFont="1" applyFill="1" applyBorder="1"/>
    <x:xf numFmtId="167" fontId="17" fillId="5" borderId="40" xfId="0" applyNumberFormat="1" applyFont="1" applyFill="1" applyBorder="1" applyAlignment="1">
      <x:alignment horizontal="center"/>
    </x:xf>
    <x:xf numFmtId="175" fontId="15" fillId="0" borderId="10" xfId="0" applyNumberFormat="1" applyFont="1" applyFill="1" applyBorder="1"/>
    <x:xf numFmtId="3" fontId="0" fillId="0" borderId="0" xfId="0" applyNumberFormat="1" applyFont="1" applyFill="1" applyBorder="1"/>
    <x:xf numFmtId="175" fontId="33" fillId="0" borderId="0" xfId="0" applyNumberFormat="1" applyFont="1" applyFill="1" applyBorder="1"/>
    <x:xf numFmtId="170" fontId="9" fillId="0" borderId="0" xfId="0" applyNumberFormat="1" applyFont="1" applyFill="1" applyBorder="1"/>
    <x:xf numFmtId="170" fontId="9" fillId="0" borderId="10" xfId="0" applyNumberFormat="1" applyFont="1" applyFill="1" applyBorder="1"/>
    <x:xf numFmtId="168" fontId="15" fillId="0" borderId="0" xfId="0" applyNumberFormat="1" applyFont="1" applyFill="1" applyBorder="1"/>
    <x:xf numFmtId="168" fontId="15" fillId="0" borderId="10" xfId="0" applyNumberFormat="1" applyFont="1" applyFill="1" applyBorder="1"/>
    <x:xf numFmtId="174" fontId="17" fillId="0" borderId="0" xfId="0" applyNumberFormat="1" applyFont="1" applyFill="1" applyBorder="1" applyAlignment="1">
      <x:alignment horizontal="right"/>
    </x:xf>
    <x:xf numFmtId="174" fontId="17" fillId="0" borderId="10" xfId="0" applyNumberFormat="1" applyFont="1" applyFill="1" applyBorder="1" applyAlignment="1">
      <x:alignment horizontal="right"/>
    </x:xf>
    <x:xf numFmtId="174" fontId="35" fillId="0" borderId="0" xfId="0" applyNumberFormat="1" applyFont="1" applyFill="1" applyBorder="1"/>
    <x:xf numFmtId="174" fontId="17" fillId="0" borderId="42" xfId="0" applyNumberFormat="1" applyFont="1" applyFill="1" applyBorder="1" applyAlignment="1">
      <x:alignment horizontal="right"/>
    </x:xf>
    <x:xf numFmtId="174" fontId="17" fillId="0" borderId="46" xfId="0" applyNumberFormat="1" applyFont="1" applyFill="1" applyBorder="1" applyAlignment="1">
      <x:alignment horizontal="right"/>
    </x:xf>
    <x:xf numFmtId="175" fontId="0" fillId="0" borderId="48" xfId="0" applyNumberFormat="1" applyFont="1" applyFill="1" applyBorder="1"/>
    <x:xf numFmtId="175" fontId="15" fillId="0" borderId="48" xfId="0" applyNumberFormat="1" applyFont="1" applyFill="1" applyBorder="1"/>
    <x:xf numFmtId="174" fontId="17" fillId="0" borderId="48" xfId="0" applyNumberFormat="1" applyFont="1" applyFill="1" applyBorder="1" applyAlignment="1">
      <x:alignment horizontal="right"/>
    </x:xf>
    <x:xf numFmtId="167" fontId="17" fillId="5" borderId="55" xfId="0" applyNumberFormat="1" applyFont="1" applyFill="1" applyBorder="1" applyAlignment="1">
      <x:alignment horizontal="center"/>
    </x:xf>
    <x:xf numFmtId="175" fontId="33" fillId="0" borderId="50" xfId="0" applyNumberFormat="1" applyFont="1" applyFill="1" applyBorder="1"/>
    <x:xf numFmtId="174" fontId="35" fillId="0" borderId="50" xfId="0" applyNumberFormat="1" applyFont="1" applyFill="1" applyBorder="1"/>
    <x:xf numFmtId="174" fontId="17" fillId="0" borderId="50" xfId="0" applyNumberFormat="1" applyFont="1" applyFill="1" applyBorder="1" applyAlignment="1">
      <x:alignment horizontal="right"/>
    </x:xf>
    <x:xf numFmtId="174" fontId="17" fillId="0" borderId="50" xfId="0" applyNumberFormat="1" applyFont="1" applyFill="1" applyBorder="1"/>
    <x:xf numFmtId="175" fontId="0" fillId="0" borderId="21" xfId="0" applyNumberFormat="1" applyFont="1" applyFill="1" applyBorder="1"/>
    <x:xf numFmtId="37" fontId="0" fillId="0" borderId="40" xfId="0" applyNumberFormat="1" applyFont="1" applyFill="1" applyBorder="1"/>
    <x:xf numFmtId="0" fontId="15" fillId="0" borderId="56" xfId="0" applyNumberFormat="1" applyFont="1" applyFill="1" applyBorder="1"/>
    <x:xf numFmtId="175" fontId="15" fillId="0" borderId="7" xfId="0" applyNumberFormat="1" applyFont="1" applyFill="1" applyBorder="1"/>
    <x:xf numFmtId="175" fontId="15" fillId="0" borderId="22" xfId="0" applyNumberFormat="1" applyFont="1" applyFill="1" applyBorder="1"/>
    <x:xf numFmtId="175" fontId="15" fillId="0" borderId="21" xfId="0" applyNumberFormat="1" applyFont="1" applyFill="1" applyBorder="1"/>
    <x:xf numFmtId="0" fontId="9" fillId="0" borderId="41" xfId="0" applyNumberFormat="1" applyFont="1" applyFill="1" applyBorder="1"/>
    <x:xf numFmtId="175" fontId="0" fillId="0" borderId="42" xfId="0" applyNumberFormat="1" applyFont="1" applyFill="1" applyBorder="1"/>
    <x:xf numFmtId="175" fontId="0" fillId="0" borderId="54" xfId="0" applyNumberFormat="1" applyFont="1" applyFill="1" applyBorder="1"/>
    <x:xf numFmtId="174" fontId="0" fillId="0" borderId="0" xfId="0" applyNumberFormat="1" applyFont="1" applyFill="1" applyBorder="1"/>
    <x:xf numFmtId="174" fontId="0" fillId="0" borderId="21" xfId="0" applyNumberFormat="1" applyFont="1" applyFill="1" applyBorder="1"/>
    <x:xf numFmtId="175" fontId="17" fillId="0" borderId="0" xfId="0" applyNumberFormat="1" applyFont="1" applyFill="1" applyBorder="1"/>
    <x:xf numFmtId="175" fontId="17" fillId="0" borderId="40" xfId="0" applyNumberFormat="1" applyFont="1" applyFill="1" applyBorder="1"/>
    <x:xf numFmtId="175" fontId="33" fillId="0" borderId="40" xfId="0" applyNumberFormat="1" applyFont="1" applyFill="1" applyBorder="1"/>
    <x:xf numFmtId="175" fontId="22" fillId="0" borderId="0" xfId="0" applyNumberFormat="1" applyFont="1" applyFill="1" applyBorder="1"/>
    <x:xf numFmtId="175" fontId="10" fillId="0" borderId="21" xfId="0" applyNumberFormat="1" applyFont="1" applyFill="1" applyBorder="1"/>
    <x:xf numFmtId="175" fontId="23" fillId="0" borderId="0" xfId="0" applyNumberFormat="1" applyFont="1" applyFill="1" applyBorder="1"/>
    <x:xf numFmtId="0" fontId="15" fillId="0" borderId="41" xfId="0" applyNumberFormat="1" applyFont="1" applyFill="1" applyBorder="1"/>
    <x:xf numFmtId="175" fontId="15" fillId="0" borderId="42" xfId="0" applyNumberFormat="1" applyFont="1" applyFill="1" applyBorder="1"/>
    <x:xf numFmtId="175" fontId="15" fillId="0" borderId="54" xfId="0" applyNumberFormat="1" applyFont="1" applyFill="1" applyBorder="1"/>
    <x:xf numFmtId="175" fontId="15" fillId="0" borderId="43" xfId="0" applyNumberFormat="1" applyFont="1" applyFill="1" applyBorder="1"/>
    <x:xf numFmtId="175" fontId="17" fillId="0" borderId="50" xfId="0" applyNumberFormat="1" applyFont="1" applyFill="1" applyBorder="1"/>
    <x:xf numFmtId="0" fontId="0" fillId="0" borderId="10" xfId="0" applyNumberFormat="1" applyFont="1" applyFill="1" applyBorder="1"/>
    <x:xf numFmtId="175" fontId="0" fillId="6" borderId="0" xfId="0" applyNumberFormat="1" applyFont="1" applyFill="1" applyBorder="1"/>
    <x:xf numFmtId="174" fontId="0" fillId="0" borderId="10" xfId="0" applyNumberFormat="1" applyFont="1" applyFill="1" applyBorder="1"/>
    <x:xf numFmtId="174" fontId="0" fillId="0" borderId="40" xfId="0" applyNumberFormat="1" applyFont="1" applyFill="1" applyBorder="1"/>
    <x:xf numFmtId="169" fontId="0" fillId="0" borderId="0" xfId="0" applyNumberFormat="1" applyFont="1" applyFill="1" applyBorder="1"/>
    <x:xf numFmtId="169" fontId="0" fillId="0" borderId="10" xfId="0" applyNumberFormat="1" applyFont="1" applyFill="1" applyBorder="1"/>
    <x:xf numFmtId="169" fontId="35" fillId="0" borderId="0" xfId="0" applyNumberFormat="1" applyFont="1" applyFill="1" applyBorder="1"/>
    <x:xf numFmtId="169" fontId="35" fillId="0" borderId="40" xfId="0" applyNumberFormat="1" applyFont="1" applyFill="1" applyBorder="1"/>
    <x:xf numFmtId="37" fontId="0" fillId="0" borderId="10" xfId="0" applyNumberFormat="1" applyFont="1" applyFill="1" applyBorder="1"/>
    <x:xf numFmtId="174" fontId="17" fillId="0" borderId="0" xfId="0" applyNumberFormat="1" applyFont="1" applyFill="1" applyBorder="1"/>
    <x:xf numFmtId="174" fontId="17" fillId="0" borderId="10" xfId="0" applyNumberFormat="1" applyFont="1" applyFill="1" applyBorder="1"/>
    <x:xf numFmtId="174" fontId="17" fillId="0" borderId="40" xfId="0" applyNumberFormat="1" applyFont="1" applyFill="1" applyBorder="1"/>
    <x:xf numFmtId="177" fontId="0" fillId="6" borderId="0" xfId="0" applyNumberFormat="1" applyFont="1" applyFill="1" applyBorder="1"/>
    <x:xf numFmtId="177" fontId="0" fillId="0" borderId="0" xfId="0" applyNumberFormat="1" applyFont="1" applyFill="1" applyBorder="1"/>
    <x:xf numFmtId="177" fontId="0" fillId="0" borderId="10" xfId="0" applyNumberFormat="1" applyFont="1" applyFill="1" applyBorder="1"/>
    <x:xf numFmtId="177" fontId="35" fillId="0" borderId="0" xfId="0" applyNumberFormat="1" applyFont="1" applyFill="1" applyBorder="1"/>
    <x:xf numFmtId="177" fontId="35" fillId="0" borderId="40" xfId="0" applyNumberFormat="1" applyFont="1" applyFill="1" applyBorder="1"/>
    <x:xf numFmtId="0" fontId="15" fillId="0" borderId="41" xfId="0" applyNumberFormat="1" applyFont="1" applyFill="1" applyBorder="1" applyAlignment="1">
      <x:alignment horizontal="left"/>
    </x:xf>
    <x:xf numFmtId="175" fontId="15" fillId="0" borderId="46" xfId="0" applyNumberFormat="1" applyFont="1" applyFill="1" applyBorder="1"/>
    <x:xf numFmtId="0" fontId="0" fillId="4" borderId="57" xfId="0" applyNumberFormat="1" applyFont="1" applyFill="1" applyBorder="1" applyAlignment="1">
      <x:alignment horizontal="center" vertical="center"/>
    </x:xf>
    <x:xf numFmtId="174" fontId="0" fillId="0" borderId="48" xfId="0" applyNumberFormat="1" applyFont="1" applyFill="1" applyBorder="1"/>
    <x:xf numFmtId="169" fontId="0" fillId="0" borderId="48" xfId="0" applyNumberFormat="1" applyFont="1" applyFill="1" applyBorder="1"/>
    <x:xf numFmtId="177" fontId="0" fillId="0" borderId="48" xfId="0" applyNumberFormat="1" applyFont="1" applyFill="1" applyBorder="1"/>
    <x:xf numFmtId="169" fontId="35" fillId="0" borderId="50" xfId="0" applyNumberFormat="1" applyFont="1" applyFill="1" applyBorder="1"/>
    <x:xf numFmtId="177" fontId="35" fillId="0" borderId="50" xfId="0" applyNumberFormat="1" applyFont="1" applyFill="1" applyBorder="1"/>
    <x:xf numFmtId="175" fontId="0" fillId="0" borderId="46" xfId="0" applyNumberFormat="1" applyFont="1" applyFill="1" applyBorder="1"/>
    <x:xf numFmtId="175" fontId="0" fillId="0" borderId="43" xfId="0" applyNumberFormat="1" applyFont="1" applyFill="1" applyBorder="1"/>
    <x:xf numFmtId="175" fontId="33" fillId="0" borderId="10" xfId="0" applyNumberFormat="1" applyFont="1" applyFill="1" applyBorder="1"/>
    <x:xf numFmtId="175" fontId="15" fillId="0" borderId="0" xfId="0" applyNumberFormat="1" applyFont="1" applyFill="1" applyBorder="1" applyAlignment="1">
      <x:alignment horizontal="right"/>
    </x:xf>
    <x:xf numFmtId="175" fontId="15" fillId="0" borderId="40" xfId="0" applyNumberFormat="1" applyFont="1" applyFill="1" applyBorder="1" applyAlignment="1">
      <x:alignment horizontal="right"/>
    </x:xf>
    <x:xf numFmtId="175" fontId="17" fillId="0" borderId="10" xfId="0" applyNumberFormat="1" applyFont="1" applyFill="1" applyBorder="1"/>
    <x:xf numFmtId="175" fontId="33" fillId="0" borderId="21" xfId="0" applyNumberFormat="1" applyFont="1" applyFill="1" applyBorder="1"/>
    <x:xf numFmtId="175" fontId="33" fillId="0" borderId="0" xfId="0" applyNumberFormat="1" applyFont="1" applyFill="1" applyBorder="1" applyAlignment="1">
      <x:alignment horizontal="right"/>
    </x:xf>
    <x:xf numFmtId="175" fontId="33" fillId="0" borderId="40" xfId="0" applyNumberFormat="1" applyFont="1" applyFill="1" applyBorder="1" applyAlignment="1">
      <x:alignment horizontal="right"/>
    </x:xf>
    <x:xf numFmtId="182" fontId="33" fillId="0" borderId="0" xfId="0" applyNumberFormat="1" applyFont="1" applyFill="1" applyBorder="1"/>
    <x:xf numFmtId="182" fontId="33" fillId="3" borderId="0" xfId="0" applyNumberFormat="1" applyFont="1" applyFill="1" applyBorder="1"/>
    <x:xf numFmtId="166" fontId="0" fillId="0" borderId="39" xfId="0" applyNumberFormat="1" applyFont="1" applyFill="1" applyBorder="1" applyAlignment="1">
      <x:alignment horizontal="left"/>
    </x:xf>
    <x:xf numFmtId="175" fontId="33" fillId="0" borderId="48" xfId="0" applyNumberFormat="1" applyFont="1" applyFill="1" applyBorder="1"/>
    <x:xf numFmtId="175" fontId="17" fillId="0" borderId="48" xfId="0" applyNumberFormat="1" applyFont="1" applyFill="1" applyBorder="1"/>
    <x:xf numFmtId="182" fontId="33" fillId="3" borderId="48" xfId="0" applyNumberFormat="1" applyFont="1" applyFill="1" applyBorder="1"/>
    <x:xf numFmtId="175" fontId="15" fillId="0" borderId="50" xfId="0" applyNumberFormat="1" applyFont="1" applyFill="1" applyBorder="1" applyAlignment="1">
      <x:alignment horizontal="right"/>
    </x:xf>
    <x:xf numFmtId="175" fontId="33" fillId="0" borderId="50" xfId="0" applyNumberFormat="1" applyFont="1" applyFill="1" applyBorder="1" applyAlignment="1">
      <x:alignment horizontal="right"/>
    </x:xf>
    <x:xf numFmtId="175" fontId="0" fillId="0" borderId="55" xfId="0" applyNumberFormat="1" applyFont="1" applyFill="1" applyBorder="1"/>
    <x:xf numFmtId="0" fontId="22" fillId="0" borderId="35" xfId="0" applyNumberFormat="1" applyFont="1" applyFill="1" applyBorder="1"/>
    <x:xf numFmtId="0" fontId="22" fillId="0" borderId="0" xfId="0" applyNumberFormat="1" applyFont="1" applyFill="1" applyBorder="1"/>
    <x:xf numFmtId="0" fontId="22" fillId="0" borderId="40" xfId="0" applyNumberFormat="1" applyFont="1" applyFill="1" applyBorder="1"/>
    <x:xf numFmtId="175" fontId="0" fillId="6" borderId="10" xfId="0" applyNumberFormat="1" applyFont="1" applyFill="1" applyBorder="1"/>
    <x:xf numFmtId="0" fontId="22" fillId="0" borderId="42" xfId="0" applyNumberFormat="1" applyFont="1" applyFill="1" applyBorder="1"/>
    <x:xf numFmtId="174" fontId="17" fillId="0" borderId="43" xfId="0" applyNumberFormat="1" applyFont="1" applyFill="1" applyBorder="1"/>
    <x:xf numFmtId="0" fontId="0" fillId="6" borderId="10" xfId="0" applyNumberFormat="1" applyFont="1" applyFill="1" applyBorder="1"/>
    <x:xf numFmtId="180" fontId="33" fillId="0" borderId="0" xfId="0" applyNumberFormat="1" applyFont="1" applyFill="1" applyBorder="1"/>
    <x:xf numFmtId="180" fontId="17" fillId="0" borderId="0" xfId="0" applyNumberFormat="1" applyFont="1" applyFill="1" applyBorder="1"/>
    <x:xf numFmtId="180" fontId="17" fillId="0" borderId="40" xfId="0" applyNumberFormat="1" applyFont="1" applyFill="1" applyBorder="1"/>
    <x:xf numFmtId="179" fontId="33" fillId="0" borderId="0" xfId="0" applyNumberFormat="1" applyFont="1" applyFill="1" applyBorder="1"/>
    <x:xf numFmtId="179" fontId="17" fillId="0" borderId="0" xfId="0" applyNumberFormat="1" applyFont="1" applyFill="1" applyBorder="1"/>
    <x:xf numFmtId="179" fontId="17" fillId="0" borderId="40" xfId="0" applyNumberFormat="1" applyFont="1" applyFill="1" applyBorder="1"/>
    <x:xf numFmtId="37" fontId="0" fillId="6" borderId="0" xfId="0" applyNumberFormat="1" applyFont="1" applyFill="1" applyBorder="1"/>
    <x:xf numFmtId="0" fontId="0" fillId="0" borderId="58" xfId="0" applyNumberFormat="1" applyFont="1" applyFill="1" applyBorder="1" applyAlignment="1">
      <x:alignment horizontal="left"/>
    </x:xf>
    <x:xf numFmtId="175" fontId="33" fillId="0" borderId="25" xfId="0" applyNumberFormat="1" applyFont="1" applyFill="1" applyBorder="1"/>
    <x:xf numFmtId="175" fontId="33" fillId="0" borderId="33" xfId="0" applyNumberFormat="1" applyFont="1" applyFill="1" applyBorder="1"/>
    <x:xf numFmtId="175" fontId="17" fillId="0" borderId="25" xfId="0" applyNumberFormat="1" applyFont="1" applyFill="1" applyBorder="1"/>
    <x:xf numFmtId="175" fontId="40" fillId="0" borderId="59" xfId="0" applyNumberFormat="1" applyFont="1" applyFill="1" applyBorder="1"/>
    <x:xf numFmtId="0" fontId="0" fillId="0" borderId="60" xfId="0" applyNumberFormat="1" applyFont="1" applyFill="1" applyBorder="1"/>
    <x:xf numFmtId="175" fontId="17" fillId="0" borderId="12" xfId="0" applyNumberFormat="1" applyFont="1" applyFill="1" applyBorder="1"/>
    <x:xf numFmtId="175" fontId="17" fillId="0" borderId="20" xfId="0" applyNumberFormat="1" applyFont="1" applyFill="1" applyBorder="1"/>
    <x:xf numFmtId="175" fontId="17" fillId="0" borderId="61" xfId="0" applyNumberFormat="1" applyFont="1" applyFill="1" applyBorder="1"/>
    <x:xf numFmtId="175" fontId="15" fillId="6" borderId="0" xfId="0" applyNumberFormat="1" applyFont="1" applyFill="1" applyBorder="1"/>
    <x:xf numFmtId="174" fontId="33" fillId="6" borderId="0" xfId="0" applyNumberFormat="1" applyFont="1" applyFill="1" applyBorder="1"/>
    <x:xf numFmtId="174" fontId="33" fillId="6" borderId="10" xfId="0" applyNumberFormat="1" applyFont="1" applyFill="1" applyBorder="1"/>
    <x:xf numFmtId="37" fontId="15" fillId="6" borderId="0" xfId="0" applyNumberFormat="1" applyFont="1" applyFill="1" applyBorder="1"/>
    <x:xf numFmtId="174" fontId="0" fillId="6" borderId="10" xfId="0" applyNumberFormat="1" applyFont="1" applyFill="1" applyBorder="1"/>
    <x:xf numFmtId="175" fontId="15" fillId="6" borderId="42" xfId="0" applyNumberFormat="1" applyFont="1" applyFill="1" applyBorder="1"/>
    <x:xf numFmtId="175" fontId="36" fillId="6" borderId="42" xfId="0" applyNumberFormat="1" applyFont="1" applyFill="1" applyBorder="1"/>
    <x:xf numFmtId="175" fontId="36" fillId="6" borderId="46" xfId="0" applyNumberFormat="1" applyFont="1" applyFill="1" applyBorder="1"/>
    <x:xf numFmtId="175" fontId="33" fillId="0" borderId="62" xfId="0" applyNumberFormat="1" applyFont="1" applyFill="1" applyBorder="1"/>
    <x:xf numFmtId="175" fontId="0" fillId="0" borderId="63" xfId="0" applyNumberFormat="1" applyFont="1" applyFill="1" applyBorder="1"/>
    <x:xf numFmtId="180" fontId="33" fillId="0" borderId="50" xfId="0" applyNumberFormat="1" applyFont="1" applyFill="1" applyBorder="1"/>
    <x:xf numFmtId="180" fontId="17" fillId="0" borderId="50" xfId="0" applyNumberFormat="1" applyFont="1" applyFill="1" applyBorder="1"/>
    <x:xf numFmtId="179" fontId="33" fillId="0" borderId="50" xfId="0" applyNumberFormat="1" applyFont="1" applyFill="1" applyBorder="1"/>
    <x:xf numFmtId="179" fontId="17" fillId="0" borderId="50" xfId="0" applyNumberFormat="1" applyFont="1" applyFill="1" applyBorder="1"/>
    <x:xf numFmtId="174" fontId="33" fillId="0" borderId="50" xfId="0" applyNumberFormat="1" applyFont="1" applyFill="1" applyBorder="1"/>
    <x:xf numFmtId="175" fontId="17" fillId="0" borderId="64" xfId="0" applyNumberFormat="1" applyFont="1" applyFill="1" applyBorder="1"/>
    <x:xf numFmtId="175" fontId="40" fillId="0" borderId="64" xfId="0" applyNumberFormat="1" applyFont="1" applyFill="1" applyBorder="1"/>
    <x:xf numFmtId="167" fontId="17" fillId="0" borderId="0" xfId="0" applyNumberFormat="1" applyFont="1" applyFill="1" applyBorder="1"/>
    <x:xf numFmtId="167" fontId="17" fillId="0" borderId="40" xfId="0" applyNumberFormat="1" applyFont="1" applyFill="1" applyBorder="1"/>
    <x:xf numFmtId="167" fontId="0" fillId="0" borderId="0" xfId="0" applyNumberFormat="1" applyFont="1" applyFill="1" applyBorder="1"/>
    <x:xf numFmtId="175" fontId="36" fillId="0" borderId="21" xfId="0" applyNumberFormat="1" applyFont="1" applyFill="1" applyBorder="1"/>
    <x:xf numFmtId="174" fontId="17" fillId="0" borderId="21" xfId="0" applyNumberFormat="1" applyFont="1" applyFill="1" applyBorder="1"/>
    <x:xf numFmtId="174" fontId="0" fillId="6" borderId="21" xfId="0" applyNumberFormat="1" applyFont="1" applyFill="1" applyBorder="1"/>
    <x:xf numFmtId="37" fontId="0" fillId="0" borderId="21" xfId="0" applyNumberFormat="1" applyFont="1" applyFill="1" applyBorder="1"/>
    <x:xf numFmtId="0" fontId="22" fillId="0" borderId="39" xfId="0" applyNumberFormat="1" applyFont="1" applyFill="1" applyBorder="1"/>
    <x:xf numFmtId="0" fontId="22" fillId="0" borderId="21" xfId="0" applyNumberFormat="1" applyFont="1" applyFill="1" applyBorder="1"/>
    <x:xf numFmtId="175" fontId="0" fillId="6" borderId="21" xfId="0" applyNumberFormat="1" applyFont="1" applyFill="1" applyBorder="1"/>
    <x:xf numFmtId="167" fontId="0" fillId="0" borderId="48" xfId="0" applyNumberFormat="1" applyFont="1" applyFill="1" applyBorder="1"/>
    <x:xf numFmtId="167" fontId="17" fillId="0" borderId="50" xfId="0" applyNumberFormat="1" applyFont="1" applyFill="1" applyBorder="1"/>
    <x:xf numFmtId="0" fontId="7" fillId="0" borderId="35" xfId="0" applyNumberFormat="1" applyFont="1" applyFill="1" applyBorder="1"/>
    <x:xf numFmtId="0" fontId="9" fillId="0" borderId="2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left"/>
    </x:xf>
    <x:xf numFmtId="175" fontId="17" fillId="0" borderId="0" xfId="0" applyNumberFormat="1" applyFont="1" applyFill="1" applyBorder="1" applyAlignment="1">
      <x:alignment horizontal="right"/>
    </x:xf>
    <x:xf numFmtId="179" fontId="35" fillId="0" borderId="0" xfId="0" applyNumberFormat="1" applyFont="1" applyFill="1" applyBorder="1" applyAlignment="1">
      <x:alignment horizontal="right"/>
    </x:xf>
    <x:xf numFmtId="0" fontId="13" fillId="2" borderId="35" xfId="0" applyNumberFormat="1" applyFont="1" applyFill="1" applyBorder="1"/>
    <x:xf numFmtId="0" fontId="13" fillId="2" borderId="0" xfId="0" applyNumberFormat="1" applyFont="1" applyFill="1" applyBorder="1"/>
    <x:xf numFmtId="175" fontId="35" fillId="0" borderId="0" xfId="0" applyNumberFormat="1" applyFont="1" applyFill="1" applyBorder="1"/>
    <x:xf numFmtId="175" fontId="35" fillId="0" borderId="10" xfId="0" applyNumberFormat="1" applyFont="1" applyFill="1" applyBorder="1"/>
    <x:xf numFmtId="174" fontId="25" fillId="6" borderId="0" xfId="0" applyNumberFormat="1" applyFont="1" applyFill="1" applyBorder="1"/>
    <x:xf numFmtId="0" fontId="9" fillId="0" borderId="0" xfId="0" applyNumberFormat="1" applyFont="1" applyFill="1" applyBorder="1"/>
    <x:xf numFmtId="174" fontId="17" fillId="5" borderId="40" xfId="0" applyNumberFormat="1" applyFont="1" applyFill="1" applyBorder="1" applyAlignment="1">
      <x:alignment horizontal="center"/>
    </x:xf>
    <x:xf numFmtId="174" fontId="38" fillId="0" borderId="0" xfId="0" applyNumberFormat="1" applyFont="1" applyFill="1" applyBorder="1"/>
    <x:xf numFmtId="174" fontId="38" fillId="0" borderId="10" xfId="0" applyNumberFormat="1" applyFont="1" applyFill="1" applyBorder="1"/>
    <x:xf numFmtId="0" fontId="15" fillId="0" borderId="0" xfId="0" applyNumberFormat="1" applyFont="1" applyFill="1" applyBorder="1"/>
    <x:xf numFmtId="0" fontId="15" fillId="0" borderId="42" xfId="0" applyNumberFormat="1" applyFont="1" applyFill="1" applyBorder="1"/>
    <x:xf numFmtId="174" fontId="17" fillId="5" borderId="43" xfId="0" applyNumberFormat="1" applyFont="1" applyFill="1" applyBorder="1" applyAlignment="1">
      <x:alignment horizontal="center"/>
    </x:xf>
    <x:xf numFmtId="175" fontId="35" fillId="0" borderId="48" xfId="0" applyNumberFormat="1" applyFont="1" applyFill="1" applyBorder="1"/>
    <x:xf numFmtId="174" fontId="38" fillId="0" borderId="48" xfId="0" applyNumberFormat="1" applyFont="1" applyFill="1" applyBorder="1"/>
    <x:xf numFmtId="175" fontId="35" fillId="0" borderId="50" xfId="0" applyNumberFormat="1" applyFont="1" applyFill="1" applyBorder="1"/>
    <x:xf numFmtId="174" fontId="17" fillId="5" borderId="55" xfId="0" applyNumberFormat="1" applyFont="1" applyFill="1" applyBorder="1" applyAlignment="1">
      <x:alignment horizontal="center"/>
    </x:xf>
    <x:xf numFmtId="174" fontId="38" fillId="0" borderId="50" xfId="0" applyNumberFormat="1" applyFont="1" applyFill="1" applyBorder="1"/>
    <x:xf numFmtId="175" fontId="35" fillId="0" borderId="40" xfId="0" applyNumberFormat="1" applyFont="1" applyFill="1" applyBorder="1"/>
    <x:xf numFmtId="0" fontId="13" fillId="2" borderId="39" xfId="0" applyNumberFormat="1" applyFont="1" applyFill="1" applyBorder="1" applyAlignment="1">
      <x:alignment horizontal="left"/>
    </x:xf>
    <x:xf numFmtId="0" fontId="13" fillId="2" borderId="0" xfId="0" applyNumberFormat="1" applyFont="1" applyFill="1" applyBorder="1" applyAlignment="1">
      <x:alignment horizontal="left"/>
    </x:xf>
    <x:xf numFmtId="170" fontId="13" fillId="2" borderId="0" xfId="0" applyNumberFormat="1" applyFont="1" applyFill="1" applyBorder="1" applyAlignment="1">
      <x:alignment horizontal="center"/>
    </x:xf>
    <x:xf numFmtId="170" fontId="13" fillId="2" borderId="4" xfId="0" applyNumberFormat="1" applyFont="1" applyFill="1" applyBorder="1" applyAlignment="1">
      <x:alignment horizontal="center"/>
    </x:xf>
    <x:xf numFmtId="166" fontId="13" fillId="2" borderId="0" xfId="0" applyNumberFormat="1" applyFont="1" applyFill="1" applyBorder="1" applyAlignment="1">
      <x:alignment horizontal="center"/>
    </x:xf>
    <x:xf numFmtId="15" fontId="13" fillId="2" borderId="4" xfId="0" applyNumberFormat="1" applyFont="1" applyFill="1" applyBorder="1" applyAlignment="1">
      <x:alignment horizontal="center"/>
    </x:xf>
    <x:xf numFmtId="15" fontId="13" fillId="2" borderId="45" xfId="0" applyNumberFormat="1" applyFont="1" applyFill="1" applyBorder="1" applyAlignment="1">
      <x:alignment horizontal="center"/>
    </x:xf>
    <x:xf numFmtId="14" fontId="0" fillId="0" borderId="0" xfId="0" applyNumberFormat="1" applyFont="1" applyFill="1" applyBorder="1"/>
    <x:xf numFmtId="37" fontId="0" fillId="6" borderId="10" xfId="0" applyNumberFormat="1" applyFont="1" applyFill="1" applyBorder="1"/>
    <x:xf numFmtId="178" fontId="9" fillId="0" borderId="0" xfId="0" applyNumberFormat="1" applyFont="1" applyFill="1" applyBorder="1"/>
    <x:xf numFmtId="178" fontId="9" fillId="0" borderId="40" xfId="0" applyNumberFormat="1" applyFont="1" applyFill="1" applyBorder="1"/>
    <x:xf numFmtId="4" fontId="9" fillId="0" borderId="0" xfId="0" applyNumberFormat="1" applyFont="1" applyFill="1" applyBorder="1"/>
    <x:xf numFmtId="39" fontId="9" fillId="0" borderId="0" xfId="0" applyNumberFormat="1" applyFont="1" applyFill="1" applyBorder="1"/>
    <x:xf numFmtId="39" fontId="9" fillId="0" borderId="40" xfId="0" applyNumberFormat="1" applyFont="1" applyFill="1" applyBorder="1"/>
    <x:xf numFmtId="37" fontId="15" fillId="6" borderId="10" xfId="0" applyNumberFormat="1" applyFont="1" applyFill="1" applyBorder="1"/>
    <x:xf numFmtId="37" fontId="15" fillId="6" borderId="42" xfId="0" applyNumberFormat="1" applyFont="1" applyFill="1" applyBorder="1"/>
    <x:xf numFmtId="37" fontId="15" fillId="6" borderId="46" xfId="0" applyNumberFormat="1" applyFont="1" applyFill="1" applyBorder="1"/>
    <x:xf numFmtId="0" fontId="13" fillId="2" borderId="36" xfId="0" applyNumberFormat="1" applyFont="1" applyFill="1" applyBorder="1"/>
    <x:xf numFmtId="0" fontId="13" fillId="2" borderId="40" xfId="0" applyNumberFormat="1" applyFont="1" applyFill="1" applyBorder="1" applyAlignment="1">
      <x:alignment horizontal="left"/>
    </x:xf>
    <x:xf numFmtId="170" fontId="13" fillId="2" borderId="40" xfId="0" applyNumberFormat="1" applyFont="1" applyFill="1" applyBorder="1" applyAlignment="1">
      <x:alignment horizontal="center"/>
    </x:xf>
    <x:xf numFmtId="0" fontId="15" fillId="7" borderId="56" xfId="0" applyNumberFormat="1" applyFont="1" applyFill="1" applyBorder="1"/>
    <x:xf numFmtId="0" fontId="0" fillId="7" borderId="7" xfId="0" applyNumberFormat="1" applyFont="1" applyFill="1" applyBorder="1"/>
    <x:xf numFmtId="0" fontId="15" fillId="7" borderId="7" xfId="0" applyNumberFormat="1" applyFont="1" applyFill="1" applyBorder="1"/>
    <x:xf numFmtId="0" fontId="0" fillId="7" borderId="65" xfId="0" applyNumberFormat="1" applyFont="1" applyFill="1" applyBorder="1"/>
    <x:xf numFmtId="0" fontId="17" fillId="0" borderId="39" xfId="0" applyNumberFormat="1" applyFont="1" applyFill="1" applyBorder="1"/>
    <x:xf numFmtId="0" fontId="28" fillId="0" borderId="0" xfId="0" applyNumberFormat="1" applyFont="1" applyFill="1" applyBorder="1"/>
    <x:xf numFmtId="176" fontId="33" fillId="3" borderId="8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174" fontId="33" fillId="3" borderId="66" xfId="0" applyNumberFormat="1" applyFont="1" applyFill="1" applyBorder="1" applyAlignment="1">
      <x:alignment horizontal="center"/>
    </x:xf>
    <x:xf numFmtId="0" fontId="9" fillId="0" borderId="39" xfId="0" applyNumberFormat="1" applyFont="1" applyFill="1" applyBorder="1"/>
    <x:xf numFmtId="43" fontId="0" fillId="0" borderId="0" xfId="0" applyNumberFormat="1" applyFont="1" applyFill="1" applyBorder="1"/>
    <x:xf numFmtId="176" fontId="0" fillId="0" borderId="40" xfId="0" applyNumberFormat="1" applyFont="1" applyFill="1" applyBorder="1"/>
    <x:xf numFmtId="0" fontId="28" fillId="0" borderId="39" xfId="0" applyNumberFormat="1" applyFont="1" applyFill="1" applyBorder="1"/>
    <x:xf numFmtId="0" fontId="28" fillId="0" borderId="40" xfId="0" applyNumberFormat="1" applyFont="1" applyFill="1" applyBorder="1"/>
    <x:xf numFmtId="0" fontId="17" fillId="0" borderId="39" xfId="0" applyNumberFormat="1" applyFont="1" applyFill="1" applyBorder="1" applyAlignment="1">
      <x:alignment horizontal="left"/>
    </x:xf>
    <x:xf numFmtId="0" fontId="17" fillId="0" borderId="56" xfId="0" applyNumberFormat="1" applyFont="1" applyFill="1" applyBorder="1" applyAlignment="1">
      <x:alignment horizontal="left"/>
    </x:xf>
    <x:xf numFmtId="0" fontId="28" fillId="0" borderId="7" xfId="0" applyNumberFormat="1" applyFont="1" applyFill="1" applyBorder="1"/>
    <x:xf numFmtId="175" fontId="17" fillId="0" borderId="7" xfId="0" applyNumberFormat="1" applyFont="1" applyFill="1" applyBorder="1"/>
    <x:xf numFmtId="0" fontId="17" fillId="0" borderId="7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/>
    <x:xf numFmtId="175" fontId="17" fillId="0" borderId="65" xfId="0" applyNumberFormat="1" applyFont="1" applyFill="1" applyBorder="1"/>
    <x:xf numFmtId="0" fontId="15" fillId="7" borderId="39" xfId="0" applyNumberFormat="1" applyFont="1" applyFill="1" applyBorder="1"/>
    <x:xf numFmtId="0" fontId="28" fillId="7" borderId="0" xfId="0" applyNumberFormat="1" applyFont="1" applyFill="1" applyBorder="1"/>
    <x:xf numFmtId="175" fontId="29" fillId="7" borderId="0" xfId="0" applyNumberFormat="1" applyFont="1" applyFill="1" applyBorder="1"/>
    <x:xf numFmtId="165" fontId="15" fillId="0" borderId="0" xfId="0" applyNumberFormat="1" applyFont="1" applyFill="1" applyBorder="1"/>
    <x:xf numFmtId="0" fontId="15" fillId="7" borderId="0" xfId="0" applyNumberFormat="1" applyFont="1" applyFill="1" applyBorder="1"/>
    <x:xf numFmtId="0" fontId="0" fillId="7" borderId="0" xfId="0" applyNumberFormat="1" applyFont="1" applyFill="1" applyBorder="1"/>
    <x:xf numFmtId="175" fontId="29" fillId="7" borderId="40" xfId="0" applyNumberFormat="1" applyFont="1" applyFill="1" applyBorder="1"/>
    <x:xf numFmtId="0" fontId="25" fillId="0" borderId="39" xfId="0" applyNumberFormat="1" applyFont="1" applyFill="1" applyBorder="1"/>
    <x:xf numFmtId="0" fontId="25" fillId="0" borderId="0" xfId="0" applyNumberFormat="1" applyFont="1" applyFill="1" applyBorder="1"/>
    <x:xf numFmtId="0" fontId="15" fillId="7" borderId="67" xfId="0" applyNumberFormat="1" applyFont="1" applyFill="1" applyBorder="1" applyAlignment="1">
      <x:alignment horizontal="left"/>
    </x:xf>
    <x:xf numFmtId="0" fontId="28" fillId="7" borderId="11" xfId="0" applyNumberFormat="1" applyFont="1" applyFill="1" applyBorder="1"/>
    <x:xf numFmtId="175" fontId="29" fillId="7" borderId="11" xfId="0" applyNumberFormat="1" applyFont="1" applyFill="1" applyBorder="1"/>
    <x:xf numFmtId="0" fontId="15" fillId="7" borderId="11" xfId="0" applyNumberFormat="1" applyFont="1" applyFill="1" applyBorder="1" applyAlignment="1">
      <x:alignment horizontal="left"/>
    </x:xf>
    <x:xf numFmtId="0" fontId="0" fillId="7" borderId="11" xfId="0" applyNumberFormat="1" applyFont="1" applyFill="1" applyBorder="1"/>
    <x:xf numFmtId="175" fontId="29" fillId="7" borderId="68" xfId="0" applyNumberFormat="1" applyFont="1" applyFill="1" applyBorder="1"/>
    <x:xf numFmtId="0" fontId="15" fillId="3" borderId="67" xfId="0" applyNumberFormat="1" applyFont="1" applyFill="1" applyBorder="1"/>
    <x:xf numFmtId="0" fontId="15" fillId="3" borderId="11" xfId="0" applyNumberFormat="1" applyFont="1" applyFill="1" applyBorder="1"/>
    <x:xf numFmtId="173" fontId="15" fillId="3" borderId="15" xfId="0" applyNumberFormat="1" applyFont="1" applyFill="1" applyBorder="1"/>
    <x:xf numFmtId="0" fontId="15" fillId="3" borderId="14" xfId="0" applyNumberFormat="1" applyFont="1" applyFill="1" applyBorder="1"/>
    <x:xf numFmtId="173" fontId="15" fillId="3" borderId="68" xfId="0" applyNumberFormat="1" applyFont="1" applyFill="1" applyBorder="1"/>
    <x:xf numFmtId="0" fontId="15" fillId="3" borderId="56" xfId="0" applyNumberFormat="1" applyFont="1" applyFill="1" applyBorder="1"/>
    <x:xf numFmtId="0" fontId="15" fillId="3" borderId="7" xfId="0" applyNumberFormat="1" applyFont="1" applyFill="1" applyBorder="1"/>
    <x:xf numFmtId="174" fontId="15" fillId="3" borderId="17" xfId="0" applyNumberFormat="1" applyFont="1" applyFill="1" applyBorder="1"/>
    <x:xf numFmtId="164" fontId="0" fillId="0" borderId="0" xfId="0" applyNumberFormat="1" applyFont="1" applyFill="1" applyBorder="1"/>
    <x:xf numFmtId="0" fontId="15" fillId="3" borderId="16" xfId="0" applyNumberFormat="1" applyFont="1" applyFill="1" applyBorder="1"/>
    <x:xf numFmtId="174" fontId="15" fillId="3" borderId="65" xfId="0" applyNumberFormat="1" applyFont="1" applyFill="1" applyBorder="1"/>
    <x:xf numFmtId="176" fontId="0" fillId="0" borderId="0" xfId="0" applyNumberFormat="1" applyFont="1" applyFill="1" applyBorder="1"/>
    <x:xf numFmtId="176" fontId="0" fillId="0" borderId="42" xfId="0" applyNumberFormat="1" applyFont="1" applyFill="1" applyBorder="1"/>
    <x:xf numFmtId="0" fontId="0" fillId="0" borderId="42" xfId="0" applyNumberFormat="1" applyFont="1" applyFill="1" applyBorder="1" applyAlignment="1">
      <x:alignment horizontal="left"/>
    </x:xf>
    <x:xf numFmtId="176" fontId="0" fillId="0" borderId="43" xfId="0" applyNumberFormat="1" applyFont="1" applyFill="1" applyBorder="1"/>
    <x:xf numFmtId="0" fontId="13" fillId="8" borderId="0" xfId="0" applyNumberFormat="1" applyFont="1" applyFill="1" applyBorder="1" applyAlignment="1">
      <x:alignment horizontal="left"/>
    </x:xf>
    <x:xf numFmtId="0" fontId="13" fillId="8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  <x:xf numFmtId="0" fontId="14" fillId="0" borderId="40" xfId="0" applyNumberFormat="1" applyFont="1" applyFill="1" applyBorder="1"/>
    <x:xf numFmtId="0" fontId="13" fillId="8" borderId="0" xfId="0" applyNumberFormat="1" applyFont="1" applyFill="1" applyBorder="1" applyAlignment="1">
      <x:alignment horizontal="center" vertical="center" wrapText="1"/>
    </x:xf>
    <x:xf numFmtId="173" fontId="30" fillId="2" borderId="14" xfId="0" applyNumberFormat="1" applyFont="1" applyFill="1" applyBorder="1"/>
    <x:xf numFmtId="176" fontId="13" fillId="2" borderId="18" xfId="0" applyNumberFormat="1" applyFont="1" applyFill="1" applyBorder="1"/>
    <x:xf numFmtId="176" fontId="13" fillId="2" borderId="69" xfId="0" applyNumberFormat="1" applyFont="1" applyFill="1" applyBorder="1"/>
    <x:xf numFmtId="174" fontId="13" fillId="2" borderId="19" xfId="0" applyNumberFormat="1" applyFont="1" applyFill="1" applyBorder="1"/>
    <x:xf numFmtId="178" fontId="0" fillId="0" borderId="0" xfId="0" applyNumberFormat="1" applyFont="1" applyFill="1" applyBorder="1"/>
    <x:xf numFmtId="178" fontId="0" fillId="0" borderId="40" xfId="0" applyNumberFormat="1" applyFont="1" applyFill="1" applyBorder="1"/>
    <x:xf numFmtId="174" fontId="13" fillId="2" borderId="18" xfId="0" applyNumberFormat="1" applyFont="1" applyFill="1" applyBorder="1"/>
    <x:xf numFmtId="174" fontId="13" fillId="2" borderId="69" xfId="0" applyNumberFormat="1" applyFont="1" applyFill="1" applyBorder="1"/>
    <x:xf numFmtId="0" fontId="14" fillId="0" borderId="42" xfId="0" applyNumberFormat="1" applyFont="1" applyFill="1" applyBorder="1"/>
    <x:xf numFmtId="174" fontId="13" fillId="2" borderId="70" xfId="0" applyNumberFormat="1" applyFont="1" applyFill="1" applyBorder="1"/>
    <x:xf numFmtId="178" fontId="0" fillId="0" borderId="42" xfId="0" applyNumberFormat="1" applyFont="1" applyFill="1" applyBorder="1"/>
    <x:xf numFmtId="178" fontId="0" fillId="0" borderId="43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175" fontId="35" fillId="0" borderId="0" xfId="0" applyNumberFormat="1" applyFont="1" applyFill="1" applyBorder="1" applyAlignment="1">
      <x:alignment horizontal="right"/>
    </x:xf>
    <x:xf numFmtId="167" fontId="0" fillId="0" borderId="0" xfId="0" applyNumberFormat="1" applyFont="1" applyFill="1" applyBorder="1" applyAlignment="1">
      <x:alignment horizontal="center"/>
    </x:xf>
    <x:xf numFmtId="175" fontId="41" fillId="0" borderId="40" xfId="0" applyNumberFormat="1" applyFont="1" applyFill="1" applyBorder="1"/>
    <x:xf numFmtId="179" fontId="0" fillId="0" borderId="40" xfId="0" applyNumberFormat="1" applyFont="1" applyFill="1" applyBorder="1" applyAlignment="1">
      <x:alignment horizontal="right"/>
    </x:xf>
    <x:xf numFmtId="179" fontId="35" fillId="0" borderId="40" xfId="0" applyNumberFormat="1" applyFont="1" applyFill="1" applyBorder="1" applyAlignment="1">
      <x:alignment horizontal="right"/>
    </x:xf>
    <x:xf numFmtId="179" fontId="15" fillId="0" borderId="43" xfId="0" applyNumberFormat="1" applyFont="1" applyFill="1" applyBorder="1" applyAlignment="1">
      <x:alignment horizontal="right"/>
    </x:xf>
    <x:xf numFmtId="0" fontId="13" fillId="2" borderId="35" xfId="0" applyNumberFormat="1" applyFont="1" applyFill="1" applyBorder="1" applyAlignment="1">
      <x:alignment horizontal="left"/>
    </x:xf>
    <x:xf numFmtId="0" fontId="13" fillId="2" borderId="36" xfId="0" applyNumberFormat="1" applyFont="1" applyFill="1" applyBorder="1" applyAlignment="1">
      <x:alignment horizontal="left"/>
    </x:xf>
    <x:xf numFmtId="0" fontId="31" fillId="0" borderId="39" xfId="0" applyNumberFormat="1" applyFont="1" applyFill="1" applyBorder="1" applyAlignment="1">
      <x:alignment horizontal="center"/>
    </x:xf>
    <x:xf numFmtId="0" fontId="31" fillId="0" borderId="0" xfId="0" applyNumberFormat="1" applyFont="1" applyFill="1" applyBorder="1" applyAlignment="1">
      <x:alignment horizontal="center"/>
    </x:xf>
    <x:xf numFmtId="0" fontId="31" fillId="0" borderId="40" xfId="0" applyNumberFormat="1" applyFont="1" applyFill="1" applyBorder="1" applyAlignment="1">
      <x:alignment horizontal="center"/>
    </x:xf>
    <x:xf numFmtId="14" fontId="33" fillId="0" borderId="39" xfId="0" applyNumberFormat="1" applyFont="1" applyFill="1" applyBorder="1"/>
    <x:xf numFmtId="178" fontId="33" fillId="0" borderId="0" xfId="0" applyNumberFormat="1" applyFont="1" applyFill="1" applyBorder="1"/>
    <x:xf numFmtId="10" fontId="0" fillId="6" borderId="0" xfId="0" applyNumberFormat="1" applyFont="1" applyFill="1" applyBorder="1"/>
    <x:xf numFmtId="14" fontId="33" fillId="0" borderId="0" xfId="0" applyNumberFormat="1" applyFont="1" applyFill="1" applyBorder="1"/>
    <x:xf numFmtId="10" fontId="0" fillId="6" borderId="40" xfId="0" applyNumberFormat="1" applyFont="1" applyFill="1" applyBorder="1"/>
    <x:xf numFmtId="179" fontId="0" fillId="0" borderId="0" xfId="0" applyNumberFormat="1" applyFont="1" applyFill="1" applyBorder="1"/>
    <x:xf numFmtId="179" fontId="0" fillId="0" borderId="40" xfId="0" applyNumberFormat="1" applyFont="1" applyFill="1" applyBorder="1"/>
    <x:xf numFmtId="0" fontId="15" fillId="7" borderId="41" xfId="0" applyNumberFormat="1" applyFont="1" applyFill="1" applyBorder="1"/>
    <x:xf numFmtId="0" fontId="15" fillId="7" borderId="42" xfId="0" applyNumberFormat="1" applyFont="1" applyFill="1" applyBorder="1"/>
    <x:xf numFmtId="0" fontId="15" fillId="7" borderId="42" xfId="0" applyNumberFormat="1" applyFont="1" applyFill="1" applyBorder="1" applyAlignment="1">
      <x:alignment horizontal="right"/>
    </x:xf>
    <x:xf numFmtId="178" fontId="15" fillId="7" borderId="43" xfId="0" applyNumberFormat="1" applyFont="1" applyFill="1" applyBorder="1"/>
    <x:xf numFmtId="179" fontId="33" fillId="3" borderId="71" xfId="0" applyNumberFormat="1" applyFont="1" applyFill="1" applyBorder="1" applyAlignment="1">
      <x:alignment horizontal="right"/>
    </x:xf>
    <x:xf numFmtId="178" fontId="17" fillId="0" borderId="40" xfId="0" applyNumberFormat="1" applyFont="1" applyFill="1" applyBorder="1"/>
    <x:xf numFmtId="0" fontId="9" fillId="0" borderId="40" xfId="0" applyNumberFormat="1" applyFont="1" applyFill="1" applyBorder="1"/>
    <x:xf numFmtId="0" fontId="0" fillId="11" borderId="0" xfId="0" applyNumberFormat="1" applyFont="1" applyFill="1" applyBorder="1"/>
    <x:xf numFmtId="0" fontId="43" fillId="11" borderId="0" xfId="0" applyNumberFormat="1" applyFont="1" applyFill="1" applyBorder="1"/>
    <x:xf numFmtId="0" fontId="43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4" fillId="12" borderId="0" xfId="0" applyNumberFormat="1" applyFont="1" applyFill="1" applyBorder="1"/>
    <x:xf numFmtId="0" fontId="44" fillId="12" borderId="0" xfId="0" applyNumberFormat="1" applyFont="1" applyFill="1" applyBorder="1" applyAlignment="1">
      <x:alignment wrapText="1"/>
    </x:xf>
    <x:xf numFmtId="0" fontId="44" fillId="1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45" fillId="0" borderId="72" xfId="0" applyNumberFormat="1" applyFont="1" applyFill="1" applyBorder="1"/>
    <x:xf numFmtId="0" fontId="0" fillId="0" borderId="73" xfId="0" applyNumberFormat="1" applyFont="1" applyFill="1" applyBorder="1"/>
    <x:xf numFmtId="0" fontId="0" fillId="0" borderId="74" xfId="0" applyNumberFormat="1" applyFont="1" applyFill="1" applyBorder="1"/>
    <x:xf numFmtId="0" fontId="0" fillId="0" borderId="48" xfId="0" applyNumberFormat="1" applyFont="1" applyFill="1" applyBorder="1"/>
    <x:xf numFmtId="0" fontId="0" fillId="0" borderId="50" xfId="0" applyNumberFormat="1" applyFont="1" applyFill="1" applyBorder="1"/>
    <x:xf numFmtId="0" fontId="0" fillId="13" borderId="0" xfId="0" applyNumberFormat="1" applyFont="1" applyFill="1" applyBorder="1"/>
    <x:xf numFmtId="0" fontId="46" fillId="13" borderId="0" xfId="0" applyNumberFormat="1" applyFont="1" applyFill="1" applyBorder="1"/>
    <x:xf numFmtId="0" fontId="46" fillId="13" borderId="75" xfId="0" applyNumberFormat="1" applyFont="1" applyFill="1" applyBorder="1"/>
    <x:xf numFmtId="0" fontId="46" fillId="13" borderId="75" xfId="0" applyNumberFormat="1" applyFont="1" applyFill="1" applyBorder="1" applyAlignment="1">
      <x:alignment horizontal="center"/>
    </x:xf>
    <x:xf numFmtId="0" fontId="46" fillId="13" borderId="75" xfId="0" applyNumberFormat="1" applyFont="1" applyFill="1" applyBorder="1" applyAlignment="1">
      <x:alignment horizontal="center" vertical="center"/>
    </x:xf>
    <x:xf numFmtId="0" fontId="0" fillId="0" borderId="7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72" xfId="0" applyNumberFormat="1" applyFont="1" applyFill="1" applyBorder="1" applyAlignment="1">
      <x:alignment vertical="top"/>
    </x:xf>
    <x:xf numFmtId="0" fontId="47" fillId="0" borderId="0" xfId="0" applyNumberFormat="1" applyFont="1" applyFill="1" applyBorder="1" applyAlignment="1">
      <x:alignment vertical="top"/>
    </x:xf>
    <x:xf numFmtId="0" fontId="47" fillId="0" borderId="72" xfId="0" applyNumberFormat="1" applyFont="1" applyFill="1" applyBorder="1" applyAlignment="1">
      <x:alignment vertical="top"/>
    </x:xf>
    <x:xf numFmtId="0" fontId="47" fillId="0" borderId="0" xfId="0" applyNumberFormat="1" applyFont="1" applyFill="1" applyBorder="1" applyAlignment="1">
      <x:alignment horizontal="center" vertical="top"/>
    </x:xf>
    <x:xf numFmtId="0" fontId="47" fillId="0" borderId="72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72" xfId="0" applyNumberFormat="1" applyFont="1" applyFill="1" applyBorder="1" applyAlignment="1">
      <x:alignment vertical="top"/>
    </x:xf>
    <x:xf numFmtId="0" fontId="47" fillId="14" borderId="0" xfId="0" applyNumberFormat="1" applyFont="1" applyFill="1" applyBorder="1" applyAlignment="1">
      <x:alignment horizontal="center" vertical="top"/>
    </x:xf>
    <x:xf numFmtId="0" fontId="0" fillId="14" borderId="0" xfId="0" applyNumberFormat="1" applyFont="1" applyFill="1" applyBorder="1" applyAlignment="1">
      <x:alignment vertical="top"/>
    </x:xf>
    <x:xf numFmtId="200" fontId="0" fillId="14" borderId="0" xfId="0" applyNumberFormat="1" applyFont="1" applyFill="1" applyBorder="1" applyAlignment="1">
      <x:alignment vertical="top"/>
    </x:xf>
    <x:xf numFmtId="0" fontId="43" fillId="11" borderId="0" xfId="0" applyNumberFormat="1" applyFont="1" applyFill="1" applyBorder="1" applyAlignment="1">
      <x:alignment vertical="center" wrapText="0"/>
    </x:xf>
    <x:xf numFmtId="0" fontId="44" fillId="1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45" fillId="0" borderId="72" xfId="0" applyNumberFormat="1" applyFont="1" applyFill="1" applyBorder="1" applyAlignment="1">
      <x:alignment wrapText="0"/>
    </x:xf>
    <x:xf numFmtId="0" fontId="0" fillId="0" borderId="73" xfId="0" applyNumberFormat="1" applyFont="1" applyFill="1" applyBorder="1" applyAlignment="1">
      <x:alignment wrapText="0"/>
    </x:xf>
    <x:xf numFmtId="0" fontId="0" fillId="0" borderId="74" xfId="0" applyNumberFormat="1" applyFont="1" applyFill="1" applyBorder="1" applyAlignment="1">
      <x:alignment wrapText="0"/>
    </x:xf>
    <x:xf numFmtId="0" fontId="0" fillId="0" borderId="48" xfId="0" applyNumberFormat="1" applyFont="1" applyFill="1" applyBorder="1" applyAlignment="1">
      <x:alignment wrapText="0"/>
    </x:xf>
    <x:xf numFmtId="0" fontId="0" fillId="0" borderId="50" xfId="0" applyNumberFormat="1" applyFont="1" applyFill="1" applyBorder="1" applyAlignment="1">
      <x:alignment wrapText="0"/>
    </x:xf>
    <x:xf numFmtId="0" fontId="46" fillId="13" borderId="75" xfId="0" applyNumberFormat="1" applyFont="1" applyFill="1" applyBorder="1" applyAlignment="1">
      <x:alignment horizontal="center" vertical="center" wrapText="0"/>
    </x:xf>
    <x:xf numFmtId="0" fontId="47" fillId="14" borderId="0" xfId="0" applyNumberFormat="1" applyFont="1" applyFill="1" applyBorder="1" applyAlignment="1">
      <x:alignment horizontal="center" vertical="top" wrapText="0"/>
    </x:xf>
    <x:xf numFmtId="0" fontId="0" fillId="14" borderId="0" xfId="0" applyNumberFormat="1" applyFont="1" applyFill="1" applyBorder="1" applyAlignment="1">
      <x:alignment vertical="top" wrapText="0"/>
    </x:xf>
    <x:xf numFmtId="200" fontId="0" fillId="14" borderId="0" xfId="0" applyNumberFormat="1" applyFont="1" applyFill="1" applyBorder="1" applyAlignment="1">
      <x:alignment vertical="top" wrapText="0"/>
    </x:xf>
    <x:xf numFmtId="0" fontId="47" fillId="0" borderId="0" xfId="0" applyNumberFormat="1" applyFont="1" applyFill="1" applyBorder="1" applyAlignment="1">
      <x:alignment horizontal="center" vertical="top" wrapText="0"/>
    </x:xf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0" fontId="47" fillId="0" borderId="72" xfId="0" applyNumberFormat="1" applyFont="1" applyFill="1" applyBorder="1" applyAlignment="1">
      <x:alignment horizontal="center" vertical="top" wrapText="0"/>
    </x:xf>
    <x:xf numFmtId="0" fontId="0" fillId="0" borderId="72" xfId="0" applyNumberFormat="1" applyFont="1" applyFill="1" applyBorder="1" applyAlignment="1">
      <x:alignment vertical="top" wrapText="0"/>
    </x:xf>
    <x:xf numFmtId="200" fontId="0" fillId="0" borderId="72" xfId="0" applyNumberFormat="1" applyFont="1" applyFill="1" applyBorder="1" applyAlignment="1">
      <x:alignment vertical="top" wrapText="0"/>
    </x:xf>
    <x:xf numFmtId="0" fontId="0" fillId="1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72" xfId="0" applyNumberFormat="1" applyFont="1" applyFill="1" applyBorder="1" applyAlignment="1">
      <x:alignment vertical="top" wrapText="1"/>
    </x:xf>
    <x:xf numFmtId="166" fontId="13" fillId="2" borderId="76" xfId="0" applyNumberFormat="1" applyFont="1" applyFill="1" applyBorder="1" applyAlignment="1">
      <x:alignment horizontal="center"/>
    </x:xf>
    <x:xf numFmtId="175" fontId="15" fillId="0" borderId="55" xfId="0" applyNumberFormat="1" applyFont="1" applyFill="1" applyBorder="1"/>
    <x:xf numFmtId="175" fontId="17" fillId="0" borderId="55" xfId="0" applyNumberFormat="1" applyFont="1" applyFill="1" applyBorder="1"/>
    <x:xf numFmtId="175" fontId="33" fillId="0" borderId="55" xfId="0" applyNumberFormat="1" applyFont="1" applyFill="1" applyBorder="1"/>
    <x:xf numFmtId="174" fontId="0" fillId="0" borderId="55" xfId="0" applyNumberFormat="1" applyFont="1" applyFill="1" applyBorder="1"/>
    <x:xf numFmtId="169" fontId="35" fillId="0" borderId="55" xfId="0" applyNumberFormat="1" applyFont="1" applyFill="1" applyBorder="1"/>
    <x:xf numFmtId="174" fontId="17" fillId="0" borderId="55" xfId="0" applyNumberFormat="1" applyFont="1" applyFill="1" applyBorder="1"/>
    <x:xf numFmtId="177" fontId="35" fillId="0" borderId="55" xfId="0" applyNumberFormat="1" applyFont="1" applyFill="1" applyBorder="1"/>
    <x:xf numFmtId="175" fontId="15" fillId="0" borderId="55" xfId="0" applyNumberFormat="1" applyFont="1" applyFill="1" applyBorder="1" applyAlignment="1">
      <x:alignment horizontal="right"/>
    </x:xf>
    <x:xf numFmtId="175" fontId="33" fillId="0" borderId="55" xfId="0" applyNumberFormat="1" applyFont="1" applyFill="1" applyBorder="1" applyAlignment="1">
      <x:alignment horizontal="right"/>
    </x:xf>
    <x:xf numFmtId="180" fontId="17" fillId="0" borderId="55" xfId="0" applyNumberFormat="1" applyFont="1" applyFill="1" applyBorder="1"/>
    <x:xf numFmtId="179" fontId="17" fillId="0" borderId="55" xfId="0" applyNumberFormat="1" applyFont="1" applyFill="1" applyBorder="1"/>
    <x:xf numFmtId="175" fontId="40" fillId="0" borderId="77" xfId="0" applyNumberFormat="1" applyFont="1" applyFill="1" applyBorder="1"/>
    <x:xf numFmtId="174" fontId="33" fillId="3" borderId="55" xfId="0" applyNumberFormat="1" applyFont="1" applyFill="1" applyBorder="1"/>
    <x:xf numFmtId="167" fontId="17" fillId="0" borderId="55" xfId="0" applyNumberFormat="1" applyFont="1" applyFill="1" applyBorder="1"/>
    <x:xf numFmtId="175" fontId="35" fillId="0" borderId="55" xfId="0" applyNumberFormat="1" applyFont="1" applyFill="1" applyBorder="1"/>
    <x:xf numFmtId="175" fontId="29" fillId="0" borderId="55" xfId="0" applyNumberFormat="1" applyFont="1" applyFill="1" applyBorder="1"/>
    <x:xf numFmtId="174" fontId="25" fillId="0" borderId="55" xfId="0" applyNumberFormat="1" applyFont="1" applyFill="1" applyBorder="1"/>
    <x:xf numFmtId="171" fontId="33" fillId="3" borderId="55" xfId="0" applyNumberFormat="1" applyFont="1" applyFill="1" applyBorder="1"/>
    <x:xf numFmtId="177" fontId="33" fillId="3" borderId="55" xfId="0" applyNumberFormat="1" applyFont="1" applyFill="1" applyBorder="1"/>
    <x:xf numFmtId="174" fontId="33" fillId="3" borderId="78" xfId="0" applyNumberFormat="1" applyFont="1" applyFill="1" applyBorder="1"/>
  </x:cellXfs>
  <x:cellStyles count="7">
    <x:cellStyle name="Comma" xfId="3"/>
    <x:cellStyle name="Comma 2" xfId="5"/>
    <x:cellStyle name="Normal" xfId="0"/>
    <x:cellStyle name="Normal 2" xfId="1"/>
    <x:cellStyle name="Normal 2 2" xfId="6"/>
    <x:cellStyle name="Normal 3" xfId="4"/>
    <x:cellStyle name="Percent" xfId="2"/>
  </x:cellStyles>
  <x:dxfs count="2"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f1c0b79464ee8" /><Relationship Type="http://schemas.openxmlformats.org/officeDocument/2006/relationships/theme" Target="/xl/theme/theme1.xml" Id="R3cee28ee582341bc" /><Relationship Type="http://schemas.openxmlformats.org/officeDocument/2006/relationships/sharedStrings" Target="/xl/sharedStrings.xml" Id="Re2f374e590694531" /><Relationship Type="http://schemas.openxmlformats.org/officeDocument/2006/relationships/worksheet" Target="/xl/worksheets/sheet1.xml" Id="Rd77b55e3baba486f" /><Relationship Type="http://schemas.openxmlformats.org/officeDocument/2006/relationships/worksheet" Target="/xl/worksheets/sheet2.xml" Id="R052a3f078dec4afe" /><Relationship Type="http://schemas.openxmlformats.org/officeDocument/2006/relationships/worksheet" Target="/xl/worksheets/sheet3.xml" Id="Rcc0b669fe6274260" /><Relationship Type="http://schemas.openxmlformats.org/officeDocument/2006/relationships/worksheet" Target="/xl/worksheets/sheet4.xml" Id="Refa66d55b09e4de7" /><Relationship Type="http://schemas.openxmlformats.org/officeDocument/2006/relationships/worksheet" Target="/xl/worksheets/sheet5.xml" Id="R2ff2f29a5ee64766" /><Relationship Type="http://schemas.microsoft.com/office/2017/10/relationships/person" Target="/xl/persons/person.xml" Id="Rb59aaab0b3f347ea" /></Relationships>
</file>

<file path=xl/persons/person.xml><?xml version="1.0" encoding="utf-8"?>
<xltc:personList xmlns:xltc="http://schemas.microsoft.com/office/spreadsheetml/2018/threadedcomments">
  <xltc:person displayName="User" id="{52E8F16C-10FD-4B78-B872-0723389E7524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" dT="2026-08-08T05:07:07.155" personId="{52E8F16C-10FD-4B78-B872-0723389E7524}" id="{FF7C3349-F571-67EC-7E26-FC10B4E8C3F1}">
    <xltc:text>S001: Revenue Build &amp; Growth Drivers For TopBuild Corp.
Machine ID: topbuild:revenue-build-growth-drivers:section:1
Component: C2:K9
Base cells: 72
Historical cells: 0
Projected cells: 0</xltc:text>
  </xltc:threadedComment>
  <xltc:threadedComment ref="C11" dT="2026-08-08T05:07:07.156" personId="{52E8F16C-10FD-4B78-B872-0723389E7524}" id="{6F5FD1A6-C73D-3BD8-822C-5F8DDCD613FF}">
    <xltc:text>S002: Revenue Projection
Machine ID: topbuild:revenue-build-growth-drivers:section:2
Component: C11:K15
Base cells: 45
Historical cells: 8
Projected cells: 15</xltc:text>
  </xltc:threadedComment>
  <xltc:threadedComment ref="C17" dT="2026-08-08T05:07:07.156" personId="{52E8F16C-10FD-4B78-B872-0723389E7524}" id="{0D19B8C7-CA0B-D6FC-05B6-2D448258057E}">
    <xltc:text>S003: Segmental Revenue Schedule
Machine ID: topbuild:revenue-build-growth-drivers:section:3
Component: C17:K27
Base cells: 99
Historical cells: 19
Projected cells: 35</xltc:text>
  </xltc:threadedComment>
  <xltc:threadedComment ref="C31" dT="2026-08-08T05:07:07.158" personId="{52E8F16C-10FD-4B78-B872-0723389E7524}" id="{B6C0555C-8A2F-8FCC-E05A-D8A9E096D66B}">
    <xltc:text>S004: Segment Revenue Growth Drivers
Machine ID: topbuild:revenue-build-growth-drivers:section:4
Component: C31:K41
Base cells: 99
Historical cells: 15
Projected cells: 35</xltc:text>
  </xltc:threadedComment>
  <xltc:threadedComment ref="C43" dT="2026-08-08T05:07:07.159" personId="{52E8F16C-10FD-4B78-B872-0723389E7524}" id="{CC6821DF-3EDC-957C-5221-188AA06FC4F9}">
    <xltc:text>S005: General Growth Drivers
Machine ID: topbuild:revenue-build-growth-drivers:section:5
Component: C43:K56
Base cells: 126
Historical cells: 20
Projected cells: 50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2" dT="2026-08-08T05:07:07.161" personId="{52E8F16C-10FD-4B78-B872-0723389E7524}" id="{A93FDC12-FDAE-9231-192E-FBC167631001}">
    <xltc:text>S006: Financial Statement Model For TopBuild Corp.
Machine ID: topbuild:financial-statement-model:section:1
Component: C2:M9
Base cells: 88
Historical cells: 0
Projected cells: 0</xltc:text>
  </xltc:threadedComment>
  <xltc:threadedComment ref="C11" dT="2026-08-08T05:07:07.163" personId="{52E8F16C-10FD-4B78-B872-0723389E7524}" id="{EF6CD316-EA63-3D32-B210-686F7AEAEE17}">
    <xltc:text>S007: Income Statement
Machine ID: topbuild:financial-statement-model:section:2
Component: C11:M41
Base cells: 341
Historical cells: 73
Projected cells: 131</xltc:text>
  </xltc:threadedComment>
  <xltc:threadedComment ref="C43" dT="2026-08-08T05:07:07.166" personId="{52E8F16C-10FD-4B78-B872-0723389E7524}" id="{E33E7AE3-29B5-9BAC-0BF8-219E26A4CEB0}">
    <xltc:text>S008: Balance Sheet
Machine ID: topbuild:financial-statement-model:section:3
Component: C43:M75
Base cells: 363
Historical cells: 78
Projected cells: 131</xltc:text>
  </xltc:threadedComment>
  <xltc:threadedComment ref="C77" dT="2026-08-08T05:07:07.17" personId="{52E8F16C-10FD-4B78-B872-0723389E7524}" id="{2A83D4C0-9665-7D7B-AA62-F8C8A65078AC}">
    <xltc:text>S009: Cash Flow Statement
Machine ID: topbuild:financial-statement-model:section:4
Component: C77:K103
Base cells: 243
Historical cells: 63
Projected cells: 105</xltc:text>
  </xltc:threadedComment>
  <xltc:threadedComment ref="C107" dT="2026-08-08T05:07:07.172" personId="{52E8F16C-10FD-4B78-B872-0723389E7524}" id="{84D777EE-9257-4921-49BF-E1740A589BDA}">
    <xltc:text>S010: Current Assets Schedule
Machine ID: topbuild:financial-statement-model:section:5
Component: C107:K132
Base cells: 234
Historical cells: 37
Projected cells: 70</xltc:text>
  </xltc:threadedComment>
  <xltc:threadedComment ref="C134" dT="2026-08-08T05:07:07.174" personId="{52E8F16C-10FD-4B78-B872-0723389E7524}" id="{DE0B5426-2913-82D1-715B-D8DCD9962BBF}">
    <xltc:text>S011: Current Liabilities Schedule
Machine ID: topbuild:financial-statement-model:section:6
Component: C134:K146
Base cells: 117
Historical cells: 19
Projected cells: 35</xltc:text>
  </xltc:threadedComment>
  <xltc:threadedComment ref="C148" dT="2026-08-08T05:07:07.176" personId="{52E8F16C-10FD-4B78-B872-0723389E7524}" id="{964AF737-72A8-7964-AEC7-32BACB57C941}">
    <xltc:text>S012: Intangibles Schedule
Machine ID: topbuild:financial-statement-model:section:7
Component: C148:K174
Base cells: 243
Historical cells: 34
Projected cells: 70</xltc:text>
  </xltc:threadedComment>
  <xltc:threadedComment ref="C176" dT="2026-08-08T05:07:07.179" personId="{52E8F16C-10FD-4B78-B872-0723389E7524}" id="{15DB5E5C-C8A5-7603-BF6E-DFA5E6E3458E}">
    <xltc:text>S013: PP&amp;E and Depreciation Schedule
Machine ID: topbuild:financial-statement-model:section:8
Component: C176:M208
Base cells: 363
Historical cells: 23
Projected cells: 76</xltc:text>
  </xltc:threadedComment>
  <xltc:threadedComment ref="C210" dT="2026-08-08T05:07:07.181" personId="{52E8F16C-10FD-4B78-B872-0723389E7524}" id="{44DFA441-99A3-79B8-E012-D60FCA04CBA0}">
    <xltc:text>S014: Retained Earnings Schedule
Machine ID: topbuild:financial-statement-model:section:9
Component: C210:K219
Base cells: 90
Historical cells: 21
Projected cells: 35</xltc:text>
  </xltc:threadedComment>
  <xltc:threadedComment ref="C221" dT="2026-08-08T05:07:07.182" personId="{52E8F16C-10FD-4B78-B872-0723389E7524}" id="{E997A228-6B34-AF0B-D448-66BF77200E5E}">
    <xltc:text>S015: Non-controlling Interest Schedule
Machine ID: topbuild:financial-statement-model:section:10
Component: C221:K229
Base cells: 81
Historical cells: 18
Projected cells: 30</xltc:text>
  </xltc:threadedComment>
  <xltc:threadedComment ref="C231" dT="2026-08-08T05:07:07.187" personId="{52E8F16C-10FD-4B78-B872-0723389E7524}" id="{953A21D1-E4BB-114A-BF0B-AD9DD789120C}">
    <xltc:text>S016: Debt &amp; Interest Schedule (ex. Leases)
Machine ID: topbuild:financial-statement-model:section:11
Component: C231:K279
Base cells: 441
Historical cells: 40
Projected cells: 160</xltc:text>
  </xltc:threadedComment>
  <xltc:threadedComment ref="C281" dT="2026-08-08T05:07:07.192" personId="{52E8F16C-10FD-4B78-B872-0723389E7524}" id="{872562F4-8993-F3C2-A124-8955970F7F5E}">
    <xltc:text>S017: Lease Schedule
Machine ID: topbuild:financial-statement-model:section:12
Component: C281:K334
Base cells: 486
Historical cells: 66
Projected cells: 185</xltc:text>
  </xltc:threadedComment>
  <xltc:threadedComment ref="C336" dT="2026-08-08T05:07:07.195" personId="{52E8F16C-10FD-4B78-B872-0723389E7524}" id="{FE973548-2A3F-F622-099C-4D0815463006}">
    <xltc:text>S018: Acquisition Schedule
Machine ID: topbuild:financial-statement-model:section:13
Component: C336:K346
Base cells: 99
Historical cells: 3
Projected cells: 35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2" dT="2026-08-08T05:07:07.196" personId="{52E8F16C-10FD-4B78-B872-0723389E7524}" id="{8024D2F4-A1BE-C52D-C8F3-77BD5C595E82}">
    <xltc:text>S019: Discounted Cash Flow Model For TopBuild Corp.
Machine ID: topbuild:integrated-dcf-model:section:1
Component: C2:N9
Base cells: 96
Historical cells: 0
Projected cells: 0</xltc:text>
  </xltc:threadedComment>
  <xltc:threadedComment ref="C11" dT="2026-08-08T05:07:07.198" personId="{52E8F16C-10FD-4B78-B872-0723389E7524}" id="{8E42BC4F-D68E-0E34-BFA3-81370C0939FE}">
    <xltc:text>S020: Unlevered Free Cash Flow
Machine ID: topbuild:integrated-dcf-model:section:2
Component: C11:N36
Base cells: 312
Historical cells: 45
Projected cells: 87</xltc:text>
  </xltc:threadedComment>
  <xltc:threadedComment ref="C38" dT="2026-08-08T05:07:07.201" personId="{52E8F16C-10FD-4B78-B872-0723389E7524}" id="{6BC74404-4C1C-E651-3DC6-C859A78235F5}">
    <xltc:text>S021: Net Working Capital Schedule
Machine ID: topbuild:integrated-dcf-model:section:3
Component: C38:L52
Base cells: 150
Historical cells: 29
Projected cells: 50</xltc:text>
  </xltc:threadedComment>
  <xltc:threadedComment ref="C54" dT="2026-08-08T05:07:07.202" personId="{52E8F16C-10FD-4B78-B872-0723389E7524}" id="{58FBB857-946D-7938-6739-90A7D342330D}">
    <xltc:text>S022: Present Value of UFCFs as of Apr 12, 2024
Machine ID: topbuild:integrated-dcf-model:section:4
Component: C54:L61
Base cells: 80
Historical cells: 0
Projected cells: 0</xltc:text>
  </xltc:threadedComment>
  <xltc:threadedComment ref="C63" dT="2026-08-08T05:07:07.202" personId="{52E8F16C-10FD-4B78-B872-0723389E7524}" id="{63E40FFE-F6CD-70EB-D4E3-6DF61871666F}">
    <xltc:text>S023: Basic to Fully Diluted Shares Bridge (in 000s)
Machine ID: topbuild:integrated-dcf-model:section:5
Component: C63:D71
Base cells: 18
Historical cells: 0
Projected cells: 0</xltc:text>
  </xltc:threadedComment>
  <xltc:threadedComment ref="C73" dT="2026-08-08T05:07:07.204" personId="{52E8F16C-10FD-4B78-B872-0723389E7524}" id="{D436EE46-A13B-4CAC-1295-54131369E0B9}">
    <xltc:text>S024: Terminal Value and Equity Value Bridge
Machine ID: topbuild:integrated-dcf-model:section:6
Component: C73:L101
Base cells: 290
Historical cells: 0
Projected cells: 0</xltc:text>
  </xltc:threadedComment>
  <xltc:threadedComment ref="C103" dT="2026-08-08T05:07:07.205" personId="{52E8F16C-10FD-4B78-B872-0723389E7524}" id="{005CD531-7B85-7206-E3DB-932F29516FCA}">
    <xltc:text>S025: Data Tables and Football Field
Machine ID: topbuild:integrated-dcf-model:section:7
Component: C103:L124
Base cells: 220
Historical cells: 0
Projected cells: 0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C2" dT="2026-08-08T05:07:07.206" personId="{52E8F16C-10FD-4B78-B872-0723389E7524}" id="{14C5BAF3-FE2E-25BD-2348-FF1299A95F1A}">
    <xltc:text>S026: WACC Build For TopBuild Corp.
Machine ID: topbuild:wacc-build:section:1
Component: C2:L9
Base cells: 80
Historical cells: 0
Projected cells: 0</xltc:text>
  </xltc:threadedComment>
  <xltc:threadedComment ref="C11" dT="2026-08-08T05:07:07.206" personId="{52E8F16C-10FD-4B78-B872-0723389E7524}" id="{DABE67D8-DDCD-9C22-2CD0-19296524A706}">
    <xltc:text>S027: Cost of Debt Calculation
Machine ID: topbuild:wacc-build:section:2
Component: C11:D24
Base cells: 28
Historical cells: 0
Projected cells: 0</xltc:text>
  </xltc:threadedComment>
  <xltc:threadedComment ref="F11" dT="2026-08-08T05:07:07.208" personId="{52E8F16C-10FD-4B78-B872-0723389E7524}" id="{112B26C1-996B-39DA-0C01-030946527BC1}">
    <xltc:text>S028: Beta (β) Calculator
Machine ID: topbuild:wacc-build:section:3
Component: F11:L52
Base cells: 294
Historical cells: 0
Projected cells: 0</xltc:text>
  </xltc:threadedComment>
  <xltc:threadedComment ref="C26" dT="2026-08-08T05:07:07.208" personId="{52E8F16C-10FD-4B78-B872-0723389E7524}" id="{FE174555-EC8D-B6D2-C7CF-B1A53B533B5D}">
    <xltc:text>S029: Cost of Equity Calculation
Machine ID: topbuild:wacc-build:section:4
Component: C26:D33
Base cells: 16
Historical cells: 0
Projected cells: 0</xltc:text>
  </xltc:threadedComment>
  <xltc:threadedComment ref="C35" dT="2026-08-08T05:07:07.208" personId="{52E8F16C-10FD-4B78-B872-0723389E7524}" id="{83383047-BA05-34BA-7F25-0E885955070A}">
    <xltc:text>S030: Capital Structure and WACC
Machine ID: topbuild:wacc-build:section:5
Component: C35:D43
Base cells: 18
Historical cells: 0
Projected cells: 0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34330ef944438f" /><Relationship Type="http://schemas.openxmlformats.org/officeDocument/2006/relationships/vmlDrawing" Target="/xl/drawings/vmldrawing.vml" Id="Rba7edab5f1f84791" /><Relationship Type="http://schemas.microsoft.com/office/2017/10/relationships/threadedComment" Target="/xl/threadedcomments/threadedcomment.xml" Id="Rbcf389e1c98344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23936476d2e4af6" /><Relationship Type="http://schemas.openxmlformats.org/officeDocument/2006/relationships/vmlDrawing" Target="/xl/drawings/vmldrawing2.vml" Id="Rbe497bd1cb92421d" /><Relationship Type="http://schemas.microsoft.com/office/2017/10/relationships/threadedComment" Target="/xl/threadedcomments/threadedcomment2.xml" Id="R7a9361cec8e5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b7cafb4a9805488d" /><Relationship Type="http://schemas.openxmlformats.org/officeDocument/2006/relationships/vmlDrawing" Target="/xl/drawings/vmldrawing3.vml" Id="R252c6acfc4ee4e88" /><Relationship Type="http://schemas.microsoft.com/office/2017/10/relationships/threadedComment" Target="/xl/threadedcomments/threadedcomment3.xml" Id="R277e5e4bed41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7899c556e7c44877" /><Relationship Type="http://schemas.openxmlformats.org/officeDocument/2006/relationships/vmlDrawing" Target="/xl/drawings/vmldrawing4.vml" Id="R5c7978f835994f8c" /><Relationship Type="http://schemas.microsoft.com/office/2017/10/relationships/threadedComment" Target="/xl/threadedcomments/threadedcomment4.xml" Id="Rc654a4e23dfe42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29" customWidth="1"/>
    <x:col min="2" max="2" width="2.6640625" style="29" customWidth="1"/>
    <x:col min="3" max="3" width="45.6640625" style="29" customWidth="1"/>
    <x:col min="4" max="11" width="12.5546875" style="29" customWidth="1"/>
    <x:col min="12" max="12" width="2.6640625" style="29" customWidth="1"/>
    <x:col min="13" max="13" width="8.6640625" style="29" customWidth="1"/>
    <x:col min="14" max="18" width="11.33203125" style="29" customWidth="1"/>
    <x:col min="19" max="23" width="8.6640625" style="29" customWidth="1"/>
    <x:col min="24" max="16384" width="14.44140625" style="29" customWidth="0"/>
  </x:cols>
  <x:sheetData>
    <x:row r="1" ht="14.399999618530273" customHeight="1"/>
    <x:row r="2" ht="18" customHeight="1">
      <x:c r="C2" s="417" t="str">
        <x:f>"Revenue Build &amp; Growth Drivers For "&amp;D5</x:f>
        <x:v>Revenue Build &amp; Growth Drivers For TopBuild Corp.</x:v>
      </x:c>
      <x:c r="D2" s="418"/>
      <x:c r="E2" s="418"/>
      <x:c r="F2" s="418"/>
      <x:c r="G2" s="418"/>
      <x:c r="H2" s="418"/>
      <x:c r="I2" s="418"/>
      <x:c r="J2" s="418"/>
      <x:c r="K2" s="419"/>
    </x:row>
    <x:row r="3" ht="14.399999618530273" customHeight="1">
      <x:c r="C3" s="420" t="s">
        <x:v>0</x:v>
      </x:c>
      <x:c r="D3" s="421"/>
      <x:c r="E3" s="421"/>
      <x:c r="F3" s="421"/>
      <x:c r="G3" s="421"/>
      <x:c r="H3" s="421"/>
      <x:c r="I3" s="421"/>
      <x:c r="J3" s="421"/>
      <x:c r="K3" s="422"/>
    </x:row>
    <x:row r="4" ht="14.399999618530273" customHeight="1">
      <x:c r="C4" s="423"/>
      <x:c r="D4" s="424"/>
      <x:c r="E4" s="424"/>
      <x:c r="F4" s="424"/>
      <x:c r="G4" s="424"/>
      <x:c r="H4" s="424"/>
      <x:c r="I4" s="424"/>
      <x:c r="J4" s="424"/>
      <x:c r="K4" s="425"/>
    </x:row>
    <x:row r="5" ht="14.399999618530273" customHeight="1">
      <x:c r="C5" s="426" t="s">
        <x:v>1</x:v>
      </x:c>
      <x:c r="D5" s="427" t="s">
        <x:v>2</x:v>
      </x:c>
      <x:c r="E5" s="424"/>
      <x:c r="F5" s="424"/>
      <x:c r="G5" s="424"/>
      <x:c r="H5" s="424"/>
      <x:c r="I5" s="424"/>
      <x:c r="J5" s="424"/>
      <x:c r="K5" s="425"/>
    </x:row>
    <x:row r="6" ht="14.399999618530273" customHeight="1">
      <x:c r="C6" s="426" t="s">
        <x:v>3</x:v>
      </x:c>
      <x:c r="D6" s="428" t="s">
        <x:v>4</x:v>
      </x:c>
      <x:c r="E6" s="424"/>
      <x:c r="F6" s="427"/>
      <x:c r="G6" s="424"/>
      <x:c r="H6" s="424"/>
      <x:c r="I6" s="424"/>
      <x:c r="J6" s="424"/>
      <x:c r="K6" s="425"/>
    </x:row>
    <x:row r="7" ht="14.399999618530273" customHeight="1">
      <x:c r="C7" s="426" t="s">
        <x:v>5</x:v>
      </x:c>
      <x:c r="D7" s="429">
        <x:v>45394</x:v>
      </x:c>
      <x:c r="E7" s="424"/>
      <x:c r="F7" s="430"/>
      <x:c r="G7" s="424"/>
      <x:c r="H7" s="424"/>
      <x:c r="I7" s="424"/>
      <x:c r="J7" s="424"/>
      <x:c r="K7" s="425"/>
    </x:row>
    <x:row r="8" ht="14.399999618530273" customHeight="1">
      <x:c r="C8" s="426" t="s">
        <x:v>6</x:v>
      </x:c>
      <x:c r="D8" s="429">
        <x:v>45393</x:v>
      </x:c>
      <x:c r="E8" s="424"/>
      <x:c r="F8" s="431"/>
      <x:c r="G8" s="424"/>
      <x:c r="H8" s="424"/>
      <x:c r="I8" s="424"/>
      <x:c r="J8" s="424"/>
      <x:c r="K8" s="425"/>
    </x:row>
    <x:row r="9" ht="14.399999618530273" customHeight="1">
      <x:c r="C9" s="432" t="s">
        <x:v>7</x:v>
      </x:c>
      <x:c r="D9" s="433">
        <x:v>421.45</x:v>
      </x:c>
      <x:c r="E9" s="434"/>
      <x:c r="F9" s="434"/>
      <x:c r="G9" s="434"/>
      <x:c r="H9" s="434"/>
      <x:c r="I9" s="434"/>
      <x:c r="J9" s="434"/>
      <x:c r="K9" s="435"/>
    </x:row>
    <x:row r="11" ht="14.399999618530273" customHeight="1">
      <x:c r="C11" s="436" t="s">
        <x:v>8</x:v>
      </x:c>
      <x:c r="D11" s="437" t="s">
        <x:v>9</x:v>
      </x:c>
      <x:c r="E11" s="438"/>
      <x:c r="F11" s="439"/>
      <x:c r="G11" s="437" t="s">
        <x:v>10</x:v>
      </x:c>
      <x:c r="H11" s="438"/>
      <x:c r="I11" s="438"/>
      <x:c r="J11" s="438"/>
      <x:c r="K11" s="440"/>
    </x:row>
    <x:row r="12" ht="14.399999618530273" customHeight="1">
      <x:c r="C12" s="441"/>
      <x:c r="D12" s="453" t="n">
        <x:f>'Financial Statement Model'!D12</x:f>
        <x:v>44561</x:v>
      </x:c>
      <x:c r="E12" s="453" t="n">
        <x:f>'Financial Statement Model'!E12</x:f>
        <x:v>44926</x:v>
      </x:c>
      <x:c r="F12" s="453" t="n">
        <x:f>'Financial Statement Model'!F12</x:f>
        <x:v>45291</x:v>
      </x:c>
      <x:c r="G12" s="456" t="n">
        <x:f>'Financial Statement Model'!G12</x:f>
        <x:v>45657</x:v>
      </x:c>
      <x:c r="H12" s="456" t="n">
        <x:f>'Financial Statement Model'!H12</x:f>
        <x:v>46022</x:v>
      </x:c>
      <x:c r="I12" s="456" t="n">
        <x:f>'Financial Statement Model'!I12</x:f>
        <x:v>46387</x:v>
      </x:c>
      <x:c r="J12" s="456" t="n">
        <x:f>'Financial Statement Model'!J12</x:f>
        <x:v>46752</x:v>
      </x:c>
      <x:c r="K12" s="865" t="n">
        <x:f>'Financial Statement Model'!K12</x:f>
        <x:v>47118</x:v>
      </x:c>
    </x:row>
    <x:row r="13">
      <x:c r="C13" s="443"/>
      <x:c r="D13" s="424"/>
      <x:c r="E13" s="424"/>
      <x:c r="F13" s="424"/>
      <x:c r="G13" s="424"/>
      <x:c r="H13" s="424"/>
      <x:c r="I13" s="424"/>
      <x:c r="J13" s="424"/>
      <x:c r="K13" s="425"/>
    </x:row>
    <x:row r="14" ht="14.399999618530273" customHeight="1">
      <x:c r="C14" s="444" t="s">
        <x:v>11</x:v>
      </x:c>
      <x:c r="D14" s="454" t="n">
        <x:f>+D20+D23-D26</x:f>
        <x:v>3486207</x:v>
      </x:c>
      <x:c r="E14" s="454" t="n">
        <x:f t="shared" ref="E14:K14" si="0">+E20+E23-E26</x:f>
        <x:v>5008744</x:v>
      </x:c>
      <x:c r="F14" s="454">
        <x:f t="shared" si="0"/>
        <x:v>5194694</x:v>
      </x:c>
      <x:c r="G14" s="457">
        <x:f t="shared" si="0"/>
        <x:v>5387941.1661529616</x:v>
      </x:c>
      <x:c r="H14" s="457">
        <x:f t="shared" si="0"/>
        <x:v>5546043.0735262986</x:v>
      </x:c>
      <x:c r="I14" s="457">
        <x:f t="shared" si="0"/>
        <x:v>5726018.4417750696</x:v>
      </x:c>
      <x:c r="J14" s="457">
        <x:f t="shared" si="0"/>
        <x:v>5949773.4497745363</x:v>
      </x:c>
      <x:c r="K14" s="881">
        <x:f t="shared" si="0"/>
        <x:v>6205869.8315617442</x:v>
      </x:c>
    </x:row>
    <x:row r="15" ht="14.399999618530273" customHeight="1">
      <x:c r="C15" s="448" t="s">
        <x:v>12</x:v>
      </x:c>
      <x:c r="D15" s="449"/>
      <x:c r="E15" s="450" t="n">
        <x:f>+E14/D14-1</x:f>
        <x:v>0.4367316685440652</x:v>
      </x:c>
      <x:c r="F15" s="450" t="n">
        <x:f t="shared" ref="F15:K15" si="1">+F14/E14-1</x:f>
        <x:v>0.037125075667672425</x:v>
      </x:c>
      <x:c r="G15" s="450">
        <x:f t="shared" si="1"/>
        <x:v>3.7200875769190844E-2</x:v>
      </x:c>
      <x:c r="H15" s="450">
        <x:f t="shared" si="1"/>
        <x:v>2.9343658829560582E-2</x:v>
      </x:c>
      <x:c r="I15" s="450">
        <x:f t="shared" si="1"/>
        <x:v>3.2451130628226244E-2</x:v>
      </x:c>
      <x:c r="J15" s="450">
        <x:f t="shared" si="1"/>
        <x:v>3.9076892656689122E-2</x:v>
      </x:c>
      <x:c r="K15" s="452">
        <x:f t="shared" si="1"/>
        <x:v>4.3043047596528661E-2</x:v>
      </x:c>
    </x:row>
    <x:row r="16" ht="14.399999618530273" customHeight="1">
      <x:c r="C16" s="34"/>
      <x:c r="E16" s="43"/>
      <x:c r="F16" s="43"/>
      <x:c r="G16" s="340"/>
      <x:c r="H16" s="340"/>
      <x:c r="I16" s="340"/>
      <x:c r="J16" s="340"/>
      <x:c r="K16" s="43"/>
    </x:row>
    <x:row r="17" ht="14.399999618530273" customHeight="1">
      <x:c r="C17" s="436" t="s">
        <x:v>13</x:v>
      </x:c>
      <x:c r="D17" s="437" t="s">
        <x:v>9</x:v>
      </x:c>
      <x:c r="E17" s="438"/>
      <x:c r="F17" s="439"/>
      <x:c r="G17" s="437" t="s">
        <x:v>10</x:v>
      </x:c>
      <x:c r="H17" s="438"/>
      <x:c r="I17" s="438"/>
      <x:c r="J17" s="438"/>
      <x:c r="K17" s="440"/>
    </x:row>
    <x:row r="18" ht="14.399999618530273" customHeight="1">
      <x:c r="C18" s="441"/>
      <x:c r="D18" s="453" t="n">
        <x:f>'Financial Statement Model'!D12</x:f>
        <x:v>44561</x:v>
      </x:c>
      <x:c r="E18" s="453" t="n">
        <x:f>'Financial Statement Model'!E12</x:f>
        <x:v>44926</x:v>
      </x:c>
      <x:c r="F18" s="453" t="n">
        <x:f>'Financial Statement Model'!F12</x:f>
        <x:v>45291</x:v>
      </x:c>
      <x:c r="G18" s="456" t="n">
        <x:f>'Financial Statement Model'!G12</x:f>
        <x:v>45657</x:v>
      </x:c>
      <x:c r="H18" s="456" t="n">
        <x:f>'Financial Statement Model'!H12</x:f>
        <x:v>46022</x:v>
      </x:c>
      <x:c r="I18" s="456" t="n">
        <x:f>'Financial Statement Model'!I12</x:f>
        <x:v>46387</x:v>
      </x:c>
      <x:c r="J18" s="456" t="n">
        <x:f>'Financial Statement Model'!J12</x:f>
        <x:v>46752</x:v>
      </x:c>
      <x:c r="K18" s="865" t="n">
        <x:f>'Financial Statement Model'!K12</x:f>
        <x:v>47118</x:v>
      </x:c>
    </x:row>
    <x:row r="19">
      <x:c r="C19" s="443"/>
      <x:c r="D19" s="424"/>
      <x:c r="E19" s="424"/>
      <x:c r="F19" s="424"/>
      <x:c r="G19" s="424"/>
      <x:c r="H19" s="424"/>
      <x:c r="I19" s="424"/>
      <x:c r="J19" s="424"/>
      <x:c r="K19" s="425"/>
    </x:row>
    <x:row r="20" ht="14.399999618530273" customHeight="1">
      <x:c r="C20" s="459" t="s">
        <x:v>14</x:v>
      </x:c>
      <x:c r="D20" s="479">
        <x:v>2378401</x:v>
      </x:c>
      <x:c r="E20" s="479">
        <x:v>2969978</x:v>
      </x:c>
      <x:c r="F20" s="479">
        <x:v>3188232</x:v>
      </x:c>
      <x:c r="G20" s="481" t="n">
        <x:f>+F20*(1+G21)</x:f>
        <x:v>3331702.44</x:v>
      </x:c>
      <x:c r="H20" s="481" t="n">
        <x:f t="shared" ref="H20:K20" si="2">+G20*(1+H21)</x:f>
        <x:v>3448312.0253999997</x:v>
      </x:c>
      <x:c r="I20" s="481">
        <x:f t="shared" si="2"/>
        <x:v>3569002.9462889996</x:v>
      </x:c>
      <x:c r="J20" s="481">
        <x:f t="shared" si="2"/>
        <x:v>3729608.0788720045</x:v>
      </x:c>
      <x:c r="K20" s="866">
        <x:f t="shared" si="2"/>
        <x:v>3897440.4424212445</x:v>
      </x:c>
    </x:row>
    <x:row r="21" ht="14.399999618530273" customHeight="1">
      <x:c r="C21" s="423" t="s">
        <x:v>12</x:v>
      </x:c>
      <x:c r="D21" s="464"/>
      <x:c r="E21" s="455" t="n">
        <x:f>+E20/D20-1</x:f>
        <x:v>0.24872887288560674</x:v>
      </x:c>
      <x:c r="F21" s="455" t="n">
        <x:f>+F20/E20-1</x:f>
        <x:v>0.07348673963241481</x:v>
      </x:c>
      <x:c r="G21" s="458" t="n">
        <x:f>+SUM(G34:G36)</x:f>
        <x:v>0.045</x:v>
      </x:c>
      <x:c r="H21" s="458" t="n">
        <x:f t="shared" ref="H21:K21" si="3">+SUM(H34:H36)</x:f>
        <x:v>0.035</x:v>
      </x:c>
      <x:c r="I21" s="458">
        <x:f t="shared" si="3"/>
        <x:v>3.4999999999999996E-2</x:v>
      </x:c>
      <x:c r="J21" s="458">
        <x:f t="shared" si="3"/>
        <x:v>4.4999999999999998E-2</x:v>
      </x:c>
      <x:c r="K21" s="882">
        <x:f t="shared" si="3"/>
        <x:v>4.4999999999999998E-2</x:v>
      </x:c>
    </x:row>
    <x:row r="22" ht="14.399999618530273" customHeight="1">
      <x:c r="C22" s="423"/>
      <x:c r="D22" s="424"/>
      <x:c r="E22" s="468"/>
      <x:c r="F22" s="469"/>
      <x:c r="G22" s="468"/>
      <x:c r="H22" s="468"/>
      <x:c r="I22" s="468"/>
      <x:c r="J22" s="468"/>
      <x:c r="K22" s="470"/>
    </x:row>
    <x:row r="23" ht="14.399999618530273" customHeight="1">
      <x:c r="C23" s="471" t="s">
        <x:v>15</x:v>
      </x:c>
      <x:c r="D23" s="479">
        <x:v>1287176</x:v>
      </x:c>
      <x:c r="E23" s="479">
        <x:v>2278261</x:v>
      </x:c>
      <x:c r="F23" s="479">
        <x:v>2268339</x:v>
      </x:c>
      <x:c r="G23" s="481" t="n">
        <x:f>+F23*(1+G24)</x:f>
        <x:v>2325047.4749999996</x:v>
      </x:c>
      <x:c r="H23" s="481" t="n">
        <x:f t="shared" ref="H23" si="4">+G23*(1+H24)</x:f>
        <x:v>2371548.4244999997</x:v>
      </x:c>
      <x:c r="I23" s="481" t="n">
        <x:f t="shared" ref="I23" si="5">+H23*(1+I24)</x:f>
        <x:v>2442694.8772349996</x:v>
      </x:c>
      <x:c r="J23" s="481" t="n">
        <x:f t="shared" ref="J23" si="6">+I23*(1+J24)</x:f>
        <x:v>2515975.7235520496</x:v>
      </x:c>
      <x:c r="K23" s="866" t="n">
        <x:f t="shared" ref="K23" si="7">+J23*(1+K24)</x:f>
        <x:v>2616614.7524941317</x:v>
      </x:c>
    </x:row>
    <x:row r="24" ht="14.399999618530273" customHeight="1">
      <x:c r="C24" s="423" t="s">
        <x:v>12</x:v>
      </x:c>
      <x:c r="D24" s="464"/>
      <x:c r="E24" s="455" t="n">
        <x:f>+E23/D23-1</x:f>
        <x:v>0.7699685202334412</x:v>
      </x:c>
      <x:c r="F24" s="455" t="n">
        <x:f>+F23/E23-1</x:f>
        <x:v>-0.0043550760865413984</x:v>
      </x:c>
      <x:c r="G24" s="458" t="n">
        <x:f>+SUM(G39:G41)</x:f>
        <x:v>0.024999999999999998</x:v>
      </x:c>
      <x:c r="H24" s="458" t="n">
        <x:f t="shared" ref="H24:K24" si="8">+SUM(H39:H41)</x:f>
        <x:v>0.02</x:v>
      </x:c>
      <x:c r="I24" s="458">
        <x:f t="shared" si="8"/>
        <x:v>0.03</x:v>
      </x:c>
      <x:c r="J24" s="458">
        <x:f t="shared" si="8"/>
        <x:v>0.03</x:v>
      </x:c>
      <x:c r="K24" s="882">
        <x:f t="shared" si="8"/>
        <x:v>0.04</x:v>
      </x:c>
    </x:row>
    <x:row r="25" ht="14.399999618530273" customHeight="1">
      <x:c r="C25" s="423"/>
      <x:c r="D25" s="424"/>
      <x:c r="E25" s="468"/>
      <x:c r="F25" s="469"/>
      <x:c r="G25" s="468"/>
      <x:c r="H25" s="468"/>
      <x:c r="I25" s="468"/>
      <x:c r="J25" s="468"/>
      <x:c r="K25" s="470"/>
    </x:row>
    <x:row r="26" ht="14.399999618530273" customHeight="1">
      <x:c r="C26" s="472" t="s">
        <x:v>16</x:v>
      </x:c>
      <x:c r="D26" s="479">
        <x:v>179370</x:v>
      </x:c>
      <x:c r="E26" s="479">
        <x:v>239495</x:v>
      </x:c>
      <x:c r="F26" s="479">
        <x:v>261877</x:v>
      </x:c>
      <x:c r="G26" s="482" t="n">
        <x:f>+G27*(G23+G20)</x:f>
        <x:v>268808.7488470375</x:v>
      </x:c>
      <x:c r="H26" s="482" t="n">
        <x:f>+H27*(H23+H20)</x:f>
        <x:v>273817.3763737005</x:v>
      </x:c>
      <x:c r="I26" s="482" t="n">
        <x:f>+I27*(I23+I20)</x:f>
        <x:v>285679.3817489296</x:v>
      </x:c>
      <x:c r="J26" s="482" t="n">
        <x:f>+J27*(J23+J20)</x:f>
        <x:v>295810.35264951794</x:v>
      </x:c>
      <x:c r="K26" s="623" t="n">
        <x:f>+K27*(K23+K20)</x:f>
        <x:v>308185.36335363274</x:v>
      </x:c>
    </x:row>
    <x:row r="27" ht="14.399999618530273" customHeight="1">
      <x:c r="C27" s="432" t="s">
        <x:v>17</x:v>
      </x:c>
      <x:c r="D27" s="475" t="n">
        <x:f>+D26/(D23+D20)</x:f>
        <x:v>0.04893363309514437</x:v>
      </x:c>
      <x:c r="E27" s="475" t="n">
        <x:f>+E26/(E23+E20)</x:f>
        <x:v>0.04563340198493247</x:v>
      </x:c>
      <x:c r="F27" s="475" t="n">
        <x:f>+F26/(F23+F20)</x:f>
        <x:v>0.04799296114721131</x:v>
      </x:c>
      <x:c r="G27" s="477" t="n">
        <x:f>+AVERAGE(D27:F27)</x:f>
        <x:v>0.04751999874242938</x:v>
      </x:c>
      <x:c r="H27" s="477" t="n">
        <x:f t="shared" ref="H27:K27" si="9">+AVERAGE(E27:G27)</x:f>
        <x:v>0.04704878729152439</x:v>
      </x:c>
      <x:c r="I27" s="477">
        <x:f t="shared" si="9"/>
        <x:v>4.75205823937217E-2</x:v>
      </x:c>
      <x:c r="J27" s="477">
        <x:f t="shared" si="9"/>
        <x:v>4.736312280922516E-2</x:v>
      </x:c>
      <x:c r="K27" s="478">
        <x:f t="shared" si="9"/>
        <x:v>4.7310830831490423E-2</x:v>
      </x:c>
    </x:row>
    <x:row r="28" ht="14.399999618530273" customHeight="1">
      <x:c r="C28" s="34"/>
      <x:c r="E28" s="43"/>
      <x:c r="F28" s="43"/>
      <x:c r="G28" s="43"/>
      <x:c r="H28" s="43"/>
      <x:c r="I28" s="43"/>
      <x:c r="J28" s="43"/>
      <x:c r="K28" s="43"/>
    </x:row>
    <x:row r="29" ht="14.399999618530273" customHeight="1">
      <x:c r="C29" s="45" t="s">
        <x:v>18</x:v>
      </x:c>
      <x:c r="D29" s="33"/>
      <x:c r="E29" s="33"/>
      <x:c r="F29" s="33"/>
      <x:c r="G29" s="33"/>
      <x:c r="H29" s="33"/>
      <x:c r="I29" s="33"/>
      <x:c r="J29" s="33"/>
      <x:c r="K29" s="33"/>
    </x:row>
    <x:row r="31" ht="14.399999618530273" customHeight="1">
      <x:c r="C31" s="484" t="s">
        <x:v>19</x:v>
      </x:c>
      <x:c r="D31" s="437" t="s">
        <x:v>9</x:v>
      </x:c>
      <x:c r="E31" s="438"/>
      <x:c r="F31" s="439"/>
      <x:c r="G31" s="437" t="s">
        <x:v>10</x:v>
      </x:c>
      <x:c r="H31" s="438"/>
      <x:c r="I31" s="438"/>
      <x:c r="J31" s="438"/>
      <x:c r="K31" s="440"/>
    </x:row>
    <x:row r="32" ht="14.399999618530273" customHeight="1">
      <x:c r="C32" s="485"/>
      <x:c r="D32" s="453" t="n">
        <x:f>'Financial Statement Model'!D12</x:f>
        <x:v>44561</x:v>
      </x:c>
      <x:c r="E32" s="453" t="n">
        <x:f>'Financial Statement Model'!E12</x:f>
        <x:v>44926</x:v>
      </x:c>
      <x:c r="F32" s="453" t="n">
        <x:f>'Financial Statement Model'!F12</x:f>
        <x:v>45291</x:v>
      </x:c>
      <x:c r="G32" s="456" t="n">
        <x:f>'Financial Statement Model'!G12</x:f>
        <x:v>45657</x:v>
      </x:c>
      <x:c r="H32" s="456" t="n">
        <x:f>'Financial Statement Model'!H12</x:f>
        <x:v>46022</x:v>
      </x:c>
      <x:c r="I32" s="456" t="n">
        <x:f>'Financial Statement Model'!I12</x:f>
        <x:v>46387</x:v>
      </x:c>
      <x:c r="J32" s="456" t="n">
        <x:f>'Financial Statement Model'!J12</x:f>
        <x:v>46752</x:v>
      </x:c>
      <x:c r="K32" s="865" t="n">
        <x:f>'Financial Statement Model'!K12</x:f>
        <x:v>47118</x:v>
      </x:c>
    </x:row>
    <x:row r="33" ht="14.399999618530273" customHeight="1">
      <x:c r="C33" s="426" t="s">
        <x:v>20</x:v>
      </x:c>
      <x:c r="D33" s="424"/>
      <x:c r="E33" s="424"/>
      <x:c r="F33" s="424"/>
      <x:c r="G33" s="424"/>
      <x:c r="H33" s="424"/>
      <x:c r="I33" s="424"/>
      <x:c r="J33" s="424"/>
      <x:c r="K33" s="425"/>
    </x:row>
    <x:row r="34" ht="14.399999618530273" customHeight="1">
      <x:c r="C34" s="426" t="s">
        <x:v>21</x:v>
      </x:c>
      <x:c r="D34" s="486"/>
      <x:c r="E34" s="502">
        <x:v>0.122</x:v>
      </x:c>
      <x:c r="F34" s="502">
        <x:v>3.5999999999999997E-2</x:v>
      </x:c>
      <x:c r="G34" s="503">
        <x:v>1.4999999999999999E-2</x:v>
      </x:c>
      <x:c r="H34" s="503">
        <x:v>5.0000000000000001E-3</x:v>
      </x:c>
      <x:c r="I34" s="503">
        <x:v>5.0000000000000001E-3</x:v>
      </x:c>
      <x:c r="J34" s="503">
        <x:v>5.0000000000000001E-3</x:v>
      </x:c>
      <x:c r="K34" s="878">
        <x:v>5.0000000000000001E-3</x:v>
      </x:c>
    </x:row>
    <x:row r="35" ht="14.399999618530273" customHeight="1">
      <x:c r="C35" s="426" t="s">
        <x:v>22</x:v>
      </x:c>
      <x:c r="D35" s="486"/>
      <x:c r="E35" s="502">
        <x:v>9.1999999999999998E-2</x:v>
      </x:c>
      <x:c r="F35" s="502">
        <x:v>0</x:v>
      </x:c>
      <x:c r="G35" s="503">
        <x:v>-5.0000000000000001E-3</x:v>
      </x:c>
      <x:c r="H35" s="503">
        <x:v>-5.0000000000000001E-3</x:v>
      </x:c>
      <x:c r="I35" s="503">
        <x:v>0</x:v>
      </x:c>
      <x:c r="J35" s="503">
        <x:v>0.01</x:v>
      </x:c>
      <x:c r="K35" s="878">
        <x:v>0.01</x:v>
      </x:c>
    </x:row>
    <x:row r="36" ht="14.399999618530273" customHeight="1">
      <x:c r="C36" s="426" t="s">
        <x:v>23</x:v>
      </x:c>
      <x:c r="D36" s="486"/>
      <x:c r="E36" s="502">
        <x:v>3.4000000000000002E-2</x:v>
      </x:c>
      <x:c r="F36" s="502">
        <x:v>3.5999999999999997E-2</x:v>
      </x:c>
      <x:c r="G36" s="503">
        <x:v>3.5000000000000003E-2</x:v>
      </x:c>
      <x:c r="H36" s="503">
        <x:v>3.5000000000000003E-2</x:v>
      </x:c>
      <x:c r="I36" s="503">
        <x:v>0.03</x:v>
      </x:c>
      <x:c r="J36" s="503">
        <x:v>0.03</x:v>
      </x:c>
      <x:c r="K36" s="878">
        <x:v>0.03</x:v>
      </x:c>
    </x:row>
    <x:row r="37" ht="14.399999618530273" customHeight="1">
      <x:c r="C37" s="426"/>
      <x:c r="D37" s="491"/>
      <x:c r="E37" s="492"/>
      <x:c r="F37" s="493"/>
      <x:c r="G37" s="494"/>
      <x:c r="H37" s="494"/>
      <x:c r="I37" s="494"/>
      <x:c r="J37" s="494"/>
      <x:c r="K37" s="495"/>
    </x:row>
    <x:row r="38" ht="14.399999618530273" customHeight="1">
      <x:c r="C38" s="426" t="s">
        <x:v>24</x:v>
      </x:c>
      <x:c r="D38" s="424"/>
      <x:c r="E38" s="496"/>
      <x:c r="F38" s="493"/>
      <x:c r="G38" s="424"/>
      <x:c r="H38" s="424"/>
      <x:c r="I38" s="424"/>
      <x:c r="J38" s="424"/>
      <x:c r="K38" s="425"/>
    </x:row>
    <x:row r="39" ht="14.399999618530273" customHeight="1">
      <x:c r="C39" s="426" t="s">
        <x:v>21</x:v>
      </x:c>
      <x:c r="D39" s="486"/>
      <x:c r="E39" s="502">
        <x:v>0.158</x:v>
      </x:c>
      <x:c r="F39" s="502">
        <x:v>1.0999999999999999E-2</x:v>
      </x:c>
      <x:c r="G39" s="503">
        <x:v>1.4999999999999999E-2</x:v>
      </x:c>
      <x:c r="H39" s="503">
        <x:v>5.0000000000000001E-3</x:v>
      </x:c>
      <x:c r="I39" s="503">
        <x:v>5.0000000000000001E-3</x:v>
      </x:c>
      <x:c r="J39" s="503">
        <x:v>5.0000000000000001E-3</x:v>
      </x:c>
      <x:c r="K39" s="878">
        <x:v>5.0000000000000001E-3</x:v>
      </x:c>
    </x:row>
    <x:row r="40" ht="14.399999618530273" customHeight="1">
      <x:c r="C40" s="426" t="s">
        <x:v>22</x:v>
      </x:c>
      <x:c r="D40" s="486"/>
      <x:c r="E40" s="502">
        <x:v>-6.0000000000000001E-3</x:v>
      </x:c>
      <x:c r="F40" s="502">
        <x:v>-1.6E-2</x:v>
      </x:c>
      <x:c r="G40" s="503">
        <x:v>-5.0000000000000001E-3</x:v>
      </x:c>
      <x:c r="H40" s="503">
        <x:v>0</x:v>
      </x:c>
      <x:c r="I40" s="503">
        <x:v>0.01</x:v>
      </x:c>
      <x:c r="J40" s="503">
        <x:v>0.01</x:v>
      </x:c>
      <x:c r="K40" s="878">
        <x:v>0.02</x:v>
      </x:c>
    </x:row>
    <x:row r="41" ht="14.399999618530273" customHeight="1">
      <x:c r="C41" s="432" t="s">
        <x:v>23</x:v>
      </x:c>
      <x:c r="D41" s="497"/>
      <x:c r="E41" s="498">
        <x:v>0.61799999999999999</x:v>
      </x:c>
      <x:c r="F41" s="498">
        <x:v>0</x:v>
      </x:c>
      <x:c r="G41" s="500">
        <x:v>1.4999999999999999E-2</x:v>
      </x:c>
      <x:c r="H41" s="500">
        <x:v>1.4999999999999999E-2</x:v>
      </x:c>
      <x:c r="I41" s="500">
        <x:v>1.4999999999999999E-2</x:v>
      </x:c>
      <x:c r="J41" s="500">
        <x:v>1.4999999999999999E-2</x:v>
      </x:c>
      <x:c r="K41" s="501">
        <x:v>1.4999999999999999E-2</x:v>
      </x:c>
    </x:row>
    <x:row r="43" ht="14.399999618530273" customHeight="1">
      <x:c r="C43" s="484" t="s">
        <x:v>25</x:v>
      </x:c>
      <x:c r="D43" s="437" t="s">
        <x:v>9</x:v>
      </x:c>
      <x:c r="E43" s="438"/>
      <x:c r="F43" s="439"/>
      <x:c r="G43" s="504" t="s">
        <x:v>10</x:v>
      </x:c>
      <x:c r="H43" s="505"/>
      <x:c r="I43" s="505"/>
      <x:c r="J43" s="505"/>
      <x:c r="K43" s="506"/>
    </x:row>
    <x:row r="44" ht="14.399999618530273" customHeight="1">
      <x:c r="C44" s="485"/>
      <x:c r="D44" s="453" t="n">
        <x:f>'Financial Statement Model'!D12</x:f>
        <x:v>44561</x:v>
      </x:c>
      <x:c r="E44" s="453" t="n">
        <x:f>'Financial Statement Model'!E12</x:f>
        <x:v>44926</x:v>
      </x:c>
      <x:c r="F44" s="453" t="n">
        <x:f>'Financial Statement Model'!F12</x:f>
        <x:v>45291</x:v>
      </x:c>
      <x:c r="G44" s="456" t="n">
        <x:f>'Financial Statement Model'!G12</x:f>
        <x:v>45657</x:v>
      </x:c>
      <x:c r="H44" s="456" t="n">
        <x:f>'Financial Statement Model'!H12</x:f>
        <x:v>46022</x:v>
      </x:c>
      <x:c r="I44" s="456" t="n">
        <x:f>'Financial Statement Model'!I12</x:f>
        <x:v>46387</x:v>
      </x:c>
      <x:c r="J44" s="456" t="n">
        <x:f>'Financial Statement Model'!J12</x:f>
        <x:v>46752</x:v>
      </x:c>
      <x:c r="K44" s="865" t="n">
        <x:f>'Financial Statement Model'!K12</x:f>
        <x:v>47118</x:v>
      </x:c>
    </x:row>
    <x:row r="45" ht="14.399999618530273" customHeight="1">
      <x:c r="C45" s="443" t="s">
        <x:v>26</x:v>
      </x:c>
      <x:c r="D45" s="424"/>
      <x:c r="E45" s="424"/>
      <x:c r="F45" s="424"/>
      <x:c r="G45" s="424"/>
      <x:c r="H45" s="424"/>
      <x:c r="I45" s="424"/>
      <x:c r="J45" s="424"/>
      <x:c r="K45" s="425"/>
    </x:row>
    <x:row r="46" ht="14.399999618530273" customHeight="1">
      <x:c r="C46" s="426" t="s">
        <x:v>27</x:v>
      </x:c>
      <x:c r="D46" s="523" t="n">
        <x:f>'Financial Statement Model'!D35</x:f>
        <x:v>0.2794983200940162</x:v>
      </x:c>
      <x:c r="E46" s="523" t="n">
        <x:f>'Financial Statement Model'!E35</x:f>
        <x:v>0.296824712942007</x:v>
      </x:c>
      <x:c r="F46" s="523" t="n">
        <x:f>'Financial Statement Model'!F35</x:f>
        <x:v>0.3087419586216243</x:v>
      </x:c>
      <x:c r="G46" s="503">
        <x:v>0.31</x:v>
      </x:c>
      <x:c r="H46" s="503">
        <x:v>0.315</x:v>
      </x:c>
      <x:c r="I46" s="503">
        <x:v>0.317</x:v>
      </x:c>
      <x:c r="J46" s="503">
        <x:v>0.31900000000000001</x:v>
      </x:c>
      <x:c r="K46" s="878">
        <x:v>0.32100000000000001</x:v>
      </x:c>
    </x:row>
    <x:row r="47" ht="14.399999618530273" customHeight="1">
      <x:c r="C47" s="426" t="s">
        <x:v>28</x:v>
      </x:c>
      <x:c r="D47" s="523" t="n">
        <x:f>'Financial Statement Model'!D36</x:f>
        <x:v>0.13828696919029765</x:v>
      </x:c>
      <x:c r="E47" s="523" t="n">
        <x:f>'Financial Statement Model'!E36</x:f>
        <x:v>0.13741069617452997</x:v>
      </x:c>
      <x:c r="F47" s="523" t="n">
        <x:f>'Financial Statement Model'!F36</x:f>
        <x:v>0.13644595812573368</x:v>
      </x:c>
      <x:c r="G47" s="503">
        <x:v>0.13500000000000001</x:v>
      </x:c>
      <x:c r="H47" s="503">
        <x:v>0.13500000000000001</x:v>
      </x:c>
      <x:c r="I47" s="503">
        <x:v>0.13500000000000001</x:v>
      </x:c>
      <x:c r="J47" s="503">
        <x:v>0.13500000000000001</x:v>
      </x:c>
      <x:c r="K47" s="878">
        <x:v>0.13500000000000001</x:v>
      </x:c>
    </x:row>
    <x:row r="48" ht="14.399999618530273" customHeight="1">
      <x:c r="C48" s="426" t="s">
        <x:v>29</x:v>
      </x:c>
      <x:c r="D48" s="523" t="n">
        <x:f>'Financial Statement Model'!D37</x:f>
        <x:v>0</x:v>
      </x:c>
      <x:c r="E48" s="523" t="n">
        <x:f>'Financial Statement Model'!E37</x:f>
        <x:v>0</x:v>
      </x:c>
      <x:c r="F48" s="523" t="n">
        <x:f>'Financial Statement Model'!F37</x:f>
        <x:v>0</x:v>
      </x:c>
      <x:c r="G48" s="503">
        <x:v>0</x:v>
      </x:c>
      <x:c r="H48" s="503">
        <x:v>0</x:v>
      </x:c>
      <x:c r="I48" s="503">
        <x:v>0</x:v>
      </x:c>
      <x:c r="J48" s="503">
        <x:v>0</x:v>
      </x:c>
      <x:c r="K48" s="878">
        <x:v>0</x:v>
      </x:c>
    </x:row>
    <x:row r="49" ht="14.399999618530273" customHeight="1">
      <x:c r="C49" s="443" t="s">
        <x:v>30</x:v>
      </x:c>
      <x:c r="D49" s="524" t="n">
        <x:f>'Financial Statement Model'!D118</x:f>
        <x:v>69.98234327451009</x:v>
      </x:c>
      <x:c r="E49" s="524" t="n">
        <x:f>'Financial Statement Model'!E118</x:f>
        <x:v>60.92663450158363</x:v>
      </x:c>
      <x:c r="F49" s="524" t="n">
        <x:f>'Financial Statement Model'!F118</x:f>
        <x:v>56.14157157283952</x:v>
      </x:c>
      <x:c r="G49" s="526">
        <x:v>55</x:v>
      </x:c>
      <x:c r="H49" s="526">
        <x:v>55</x:v>
      </x:c>
      <x:c r="I49" s="526">
        <x:v>55</x:v>
      </x:c>
      <x:c r="J49" s="526">
        <x:v>55</x:v>
      </x:c>
      <x:c r="K49" s="883">
        <x:v>55</x:v>
      </x:c>
    </x:row>
    <x:row r="50" ht="14.399999618530273" customHeight="1">
      <x:c r="C50" s="443" t="s">
        <x:v>31</x:v>
      </x:c>
      <x:c r="D50" s="512"/>
      <x:c r="E50" s="525" t="n">
        <x:f>'Financial Statement Model'!E129</x:f>
        <x:v>8.029347261104677</x:v>
      </x:c>
      <x:c r="F50" s="525" t="n">
        <x:f>'Financial Statement Model'!F129</x:f>
        <x:v>9.845266785658472</x:v>
      </x:c>
      <x:c r="G50" s="527">
        <x:v>10</x:v>
      </x:c>
      <x:c r="H50" s="527">
        <x:v>10</x:v>
      </x:c>
      <x:c r="I50" s="527">
        <x:v>10</x:v>
      </x:c>
      <x:c r="J50" s="527">
        <x:v>10</x:v>
      </x:c>
      <x:c r="K50" s="884">
        <x:v>10</x:v>
      </x:c>
    </x:row>
    <x:row r="51" ht="14.399999618530273" customHeight="1">
      <x:c r="C51" s="443" t="s">
        <x:v>32</x:v>
      </x:c>
      <x:c r="D51" s="524" t="n">
        <x:f>+'Financial Statement Model'!D145</x:f>
        <x:v>67.12258013916613</x:v>
      </x:c>
      <x:c r="E51" s="524" t="n">
        <x:f>+'Financial Statement Model'!E145</x:f>
        <x:v>50.48135944520553</x:v>
      </x:c>
      <x:c r="F51" s="524" t="n">
        <x:f>+'Financial Statement Model'!F145</x:f>
        <x:v>47.731701251561596</x:v>
      </x:c>
      <x:c r="G51" s="526">
        <x:v>50</x:v>
      </x:c>
      <x:c r="H51" s="526">
        <x:v>50</x:v>
      </x:c>
      <x:c r="I51" s="526">
        <x:v>50</x:v>
      </x:c>
      <x:c r="J51" s="526">
        <x:v>50</x:v>
      </x:c>
      <x:c r="K51" s="883">
        <x:v>50</x:v>
      </x:c>
    </x:row>
    <x:row r="52" ht="14.399999618530273" customHeight="1">
      <x:c r="C52" s="443"/>
      <x:c r="D52" s="424"/>
      <x:c r="E52" s="424"/>
      <x:c r="F52" s="517"/>
      <x:c r="G52" s="424"/>
      <x:c r="H52" s="424"/>
      <x:c r="I52" s="424"/>
      <x:c r="J52" s="424"/>
      <x:c r="K52" s="425"/>
    </x:row>
    <x:row r="53" ht="14.399999618530273" customHeight="1">
      <x:c r="C53" s="443" t="s">
        <x:v>33</x:v>
      </x:c>
      <x:c r="D53" s="424"/>
      <x:c r="E53" s="424"/>
      <x:c r="F53" s="517"/>
      <x:c r="G53" s="424"/>
      <x:c r="H53" s="424"/>
      <x:c r="I53" s="424"/>
      <x:c r="J53" s="424"/>
      <x:c r="K53" s="425"/>
    </x:row>
    <x:row r="54" ht="14.399999618530273" customHeight="1">
      <x:c r="C54" s="443" t="s">
        <x:v>34</x:v>
      </x:c>
      <x:c r="D54" s="518"/>
      <x:c r="E54" s="518"/>
      <x:c r="F54" s="519"/>
      <x:c r="G54" s="503">
        <x:v>0.5</x:v>
      </x:c>
      <x:c r="H54" s="503">
        <x:v>0.5</x:v>
      </x:c>
      <x:c r="I54" s="503">
        <x:v>0.5</x:v>
      </x:c>
      <x:c r="J54" s="503">
        <x:v>0.5</x:v>
      </x:c>
      <x:c r="K54" s="878">
        <x:v>0.5</x:v>
      </x:c>
    </x:row>
    <x:row r="55" ht="14.399999618530273" customHeight="1">
      <x:c r="C55" s="443" t="s">
        <x:v>35</x:v>
      </x:c>
      <x:c r="D55" s="518"/>
      <x:c r="E55" s="518"/>
      <x:c r="F55" s="519"/>
      <x:c r="G55" s="503">
        <x:v>0.3</x:v>
      </x:c>
      <x:c r="H55" s="503">
        <x:v>0.3</x:v>
      </x:c>
      <x:c r="I55" s="503">
        <x:v>0.3</x:v>
      </x:c>
      <x:c r="J55" s="503">
        <x:v>0.3</x:v>
      </x:c>
      <x:c r="K55" s="878">
        <x:v>0.3</x:v>
      </x:c>
    </x:row>
    <x:row r="56" ht="14.399999618530273" customHeight="1">
      <x:c r="C56" s="520" t="s">
        <x:v>36</x:v>
      </x:c>
      <x:c r="D56" s="521"/>
      <x:c r="E56" s="521"/>
      <x:c r="F56" s="522"/>
      <x:c r="G56" s="500">
        <x:v>0.2</x:v>
      </x:c>
      <x:c r="H56" s="500">
        <x:v>0.2</x:v>
      </x:c>
      <x:c r="I56" s="500">
        <x:v>0.2</x:v>
      </x:c>
      <x:c r="J56" s="500">
        <x:v>0.2</x:v>
      </x:c>
      <x:c r="K56" s="885">
        <x:v>0.2</x:v>
      </x:c>
    </x:row>
  </x:sheetData>
  <x:mergeCells>
    <x:mergeCell ref="D43:F43"/>
    <x:mergeCell ref="G43:K43"/>
    <x:mergeCell ref="D11:F11"/>
    <x:mergeCell ref="G11:K11"/>
    <x:mergeCell ref="D17:F17"/>
    <x:mergeCell ref="G17:K17"/>
    <x:mergeCell ref="D31:F31"/>
    <x:mergeCell ref="G31:K31"/>
  </x:mergeCells>
  <x:pageMargins left="0.7" right="0.7" top="0.75" bottom="0.75" header="0.3" footer="0.3"/>
  <x:legacyDrawing xmlns:r="http://schemas.openxmlformats.org/officeDocument/2006/relationships" r:id="Rba7edab5f1f847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customWidth="1"/>
    <x:col min="2" max="2" width="2.6640625" customWidth="1"/>
    <x:col min="3" max="3" width="45.6640625" customWidth="1"/>
    <x:col min="4" max="11" width="12.5546875" customWidth="1"/>
    <x:col min="12" max="12" width="2.6640625" customWidth="1"/>
    <x:col min="13" max="13" width="12.5546875" customWidth="1"/>
    <x:col min="14" max="14" width="2.6640625" customWidth="1"/>
    <x:col min="15" max="25" width="8.6640625" customWidth="1"/>
  </x:cols>
  <x:sheetData>
    <x:row r="1" ht="14.399999618530273" customHeight="1"/>
    <x:row r="2" ht="18" customHeight="1">
      <x:c r="C2" s="417" t="str">
        <x:f>"Financial Statement Model For "&amp;D5</x:f>
        <x:v>Financial Statement Model For TopBuild Corp.</x:v>
      </x:c>
      <x:c r="D2" s="418"/>
      <x:c r="E2" s="418"/>
      <x:c r="F2" s="418"/>
      <x:c r="G2" s="418"/>
      <x:c r="H2" s="418"/>
      <x:c r="I2" s="418"/>
      <x:c r="J2" s="418"/>
      <x:c r="K2" s="418"/>
      <x:c r="L2" s="418"/>
      <x:c r="M2" s="419"/>
    </x:row>
    <x:row r="3" ht="14.399999618530273" customHeight="1">
      <x:c r="C3" s="420" t="s">
        <x:v>37</x:v>
      </x:c>
      <x:c r="D3" s="421"/>
      <x:c r="E3" s="421"/>
      <x:c r="F3" s="421"/>
      <x:c r="G3" s="421"/>
      <x:c r="H3" s="421"/>
      <x:c r="I3" s="421"/>
      <x:c r="J3" s="421"/>
      <x:c r="K3" s="421"/>
      <x:c r="L3" s="421"/>
      <x:c r="M3" s="422"/>
    </x:row>
    <x:row r="4" ht="14.399999618530273" customHeight="1">
      <x:c r="C4" s="423"/>
      <x:c r="D4" s="424"/>
      <x:c r="E4" s="424"/>
      <x:c r="F4" s="424"/>
      <x:c r="G4" s="424"/>
      <x:c r="H4" s="424"/>
      <x:c r="I4" s="424"/>
      <x:c r="J4" s="424"/>
      <x:c r="K4" s="424"/>
      <x:c r="L4" s="424"/>
      <x:c r="M4" s="425"/>
    </x:row>
    <x:row r="5" ht="14.399999618530273" customHeight="1">
      <x:c r="C5" s="426" t="s">
        <x:v>1</x:v>
      </x:c>
      <x:c r="D5" s="528" t="str">
        <x:f>'Revenue Build &amp; Growth Drivers'!D5</x:f>
        <x:v>TopBuild Corp.</x:v>
      </x:c>
      <x:c r="E5" s="424"/>
      <x:c r="F5" s="424"/>
      <x:c r="G5" s="427" t="s">
        <x:v>38</x:v>
      </x:c>
      <x:c r="H5" s="427"/>
      <x:c r="I5" s="424"/>
      <x:c r="J5" s="529">
        <x:v>1</x:v>
      </x:c>
      <x:c r="K5" s="424"/>
      <x:c r="L5" s="424"/>
      <x:c r="M5" s="425"/>
      <x:c r="O5" s="378"/>
      <x:c r="P5" s="379"/>
      <x:c r="Q5" s="379"/>
      <x:c r="R5" s="379"/>
      <x:c r="S5" s="379"/>
      <x:c r="T5" s="379"/>
      <x:c r="U5" s="379"/>
      <x:c r="V5" s="379"/>
      <x:c r="W5" s="379"/>
    </x:row>
    <x:row r="6" ht="14.399999618530273" customHeight="1">
      <x:c r="C6" s="426" t="s">
        <x:v>3</x:v>
      </x:c>
      <x:c r="D6" s="530" t="str">
        <x:f>'Revenue Build &amp; Growth Drivers'!D6</x:f>
        <x:v>BLD</x:v>
      </x:c>
      <x:c r="E6" s="424"/>
      <x:c r="F6" s="424"/>
      <x:c r="G6" s="424"/>
      <x:c r="H6" s="424"/>
      <x:c r="I6" s="424"/>
      <x:c r="J6" s="424"/>
      <x:c r="K6" s="424"/>
      <x:c r="L6" s="424"/>
      <x:c r="M6" s="425"/>
      <x:c r="O6" s="378"/>
      <x:c r="P6" s="379"/>
      <x:c r="Q6" s="379"/>
      <x:c r="R6" s="379"/>
      <x:c r="S6" s="379"/>
      <x:c r="T6" s="379"/>
      <x:c r="U6" s="379"/>
      <x:c r="V6" s="379"/>
      <x:c r="W6" s="379"/>
    </x:row>
    <x:row r="7" ht="14.399999618530273" customHeight="1">
      <x:c r="C7" s="426" t="s">
        <x:v>5</x:v>
      </x:c>
      <x:c r="D7" s="531" t="n">
        <x:f>'Revenue Build &amp; Growth Drivers'!D7</x:f>
        <x:v>45394</x:v>
      </x:c>
      <x:c r="E7" s="424"/>
      <x:c r="F7" s="431" t="s">
        <x:v>39</x:v>
      </x:c>
      <x:c r="G7" s="424"/>
      <x:c r="H7" s="424"/>
      <x:c r="I7" s="424"/>
      <x:c r="J7" s="424"/>
      <x:c r="K7" s="424"/>
      <x:c r="L7" s="424"/>
      <x:c r="M7" s="425"/>
    </x:row>
    <x:row r="8" ht="14.399999618530273" customHeight="1">
      <x:c r="C8" s="426" t="s">
        <x:v>6</x:v>
      </x:c>
      <x:c r="D8" s="531" t="n">
        <x:f>'Revenue Build &amp; Growth Drivers'!D8</x:f>
        <x:v>45393</x:v>
      </x:c>
      <x:c r="E8" s="424"/>
      <x:c r="F8" s="532"/>
      <x:c r="G8" s="424"/>
      <x:c r="H8" s="424"/>
      <x:c r="I8" s="424"/>
      <x:c r="J8" s="424"/>
      <x:c r="K8" s="424"/>
      <x:c r="L8" s="424"/>
      <x:c r="M8" s="425"/>
    </x:row>
    <x:row r="9" ht="14.399999618530273" customHeight="1">
      <x:c r="C9" s="432" t="s">
        <x:v>7</x:v>
      </x:c>
      <x:c r="D9" s="533" t="n">
        <x:f>'Revenue Build &amp; Growth Drivers'!D9</x:f>
        <x:v>421.45</x:v>
      </x:c>
      <x:c r="E9" s="434"/>
      <x:c r="F9" s="534"/>
      <x:c r="G9" s="434"/>
      <x:c r="H9" s="434"/>
      <x:c r="I9" s="434"/>
      <x:c r="J9" s="434"/>
      <x:c r="K9" s="434"/>
      <x:c r="L9" s="434"/>
      <x:c r="M9" s="435"/>
    </x:row>
    <x:row r="11" ht="14.399999618530273" customHeight="1">
      <x:c r="C11" s="436" t="s">
        <x:v>40</x:v>
      </x:c>
      <x:c r="D11" s="437" t="s">
        <x:v>9</x:v>
      </x:c>
      <x:c r="E11" s="438"/>
      <x:c r="F11" s="439"/>
      <x:c r="G11" s="437" t="s">
        <x:v>10</x:v>
      </x:c>
      <x:c r="H11" s="438"/>
      <x:c r="I11" s="438"/>
      <x:c r="J11" s="438"/>
      <x:c r="K11" s="438"/>
      <x:c r="L11" s="418"/>
      <x:c r="M11" s="535" t="s">
        <x:v>41</x:v>
      </x:c>
    </x:row>
    <x:row r="12" ht="14.399999618530273" customHeight="1">
      <x:c r="C12" s="441"/>
      <x:c r="D12" s="10">
        <x:v>44561</x:v>
      </x:c>
      <x:c r="E12" s="453" t="n">
        <x:f t="shared" ref="E12:K12" si="0">EOMONTH(D12,12)</x:f>
        <x:v>44926</x:v>
      </x:c>
      <x:c r="F12" s="453">
        <x:f t="shared" si="0"/>
        <x:v>45291</x:v>
      </x:c>
      <x:c r="G12" s="456" t="n">
        <x:f>EOMONTH(F12,12)</x:f>
        <x:v>45657</x:v>
      </x:c>
      <x:c r="H12" s="456">
        <x:f t="shared" si="0"/>
        <x:v>46022</x:v>
      </x:c>
      <x:c r="I12" s="456">
        <x:f t="shared" si="0"/>
        <x:v>46387</x:v>
      </x:c>
      <x:c r="J12" s="456">
        <x:f t="shared" si="0"/>
        <x:v>46752</x:v>
      </x:c>
      <x:c r="K12" s="456">
        <x:f t="shared" si="0"/>
        <x:v>47118</x:v>
      </x:c>
      <x:c r="L12" s="424"/>
      <x:c r="M12" s="442" t="s">
        <x:v>42</x:v>
      </x:c>
      <x:c r="N12" s="380"/>
    </x:row>
    <x:row r="13" ht="14.399999618530273" customHeight="1">
      <x:c r="C13" s="443"/>
      <x:c r="D13" s="424"/>
      <x:c r="E13" s="424"/>
      <x:c r="F13" s="536"/>
      <x:c r="G13" s="424"/>
      <x:c r="H13" s="424"/>
      <x:c r="I13" s="424"/>
      <x:c r="J13" s="424"/>
      <x:c r="K13" s="424"/>
      <x:c r="L13" s="424"/>
      <x:c r="M13" s="425"/>
    </x:row>
    <x:row r="14" ht="14.399999618530273" customHeight="1">
      <x:c r="C14" s="443" t="s">
        <x:v>11</x:v>
      </x:c>
      <x:c r="D14" s="551">
        <x:v>3486207</x:v>
      </x:c>
      <x:c r="E14" s="551">
        <x:v>5008744</x:v>
      </x:c>
      <x:c r="F14" s="551">
        <x:v>5194694</x:v>
      </x:c>
      <x:c r="G14" s="482" t="n">
        <x:f>+F14*(1+G34)</x:f>
        <x:v>5387941.166152961</x:v>
      </x:c>
      <x:c r="H14" s="482" t="n">
        <x:f t="shared" ref="H14:K14" si="1">+G14*(1+H34)</x:f>
        <x:v>5546043.073526298</x:v>
      </x:c>
      <x:c r="I14" s="482">
        <x:f t="shared" si="1"/>
        <x:v>5726018.4417750686</x:v>
      </x:c>
      <x:c r="J14" s="482">
        <x:f t="shared" si="1"/>
        <x:v>5949773.4497745354</x:v>
      </x:c>
      <x:c r="K14" s="482">
        <x:f t="shared" si="1"/>
        <x:v>6205869.8315617433</x:v>
      </x:c>
      <x:c r="L14" s="424"/>
      <x:c r="M14" s="554" t="n">
        <x:f>+_xlfn.RRI(YEAR($K$12)-YEAR($F$12),F14,K14)</x:f>
        <x:v>0.036211811540533434</x:v>
      </x:c>
      <x:c r="N14" s="380"/>
    </x:row>
    <x:row r="15" ht="14.399999618530273" customHeight="1">
      <x:c r="C15" s="426" t="s">
        <x:v>43</x:v>
      </x:c>
      <x:c r="D15" s="551">
        <x:v>2511818</x:v>
      </x:c>
      <x:c r="E15" s="551">
        <x:v>3522025</x:v>
      </x:c>
      <x:c r="F15" s="551">
        <x:v>3590874</x:v>
      </x:c>
      <x:c r="G15" s="482" t="n">
        <x:f>+G14-G16</x:f>
        <x:v>3717679.4046455426</x:v>
      </x:c>
      <x:c r="H15" s="482" t="n">
        <x:f t="shared" ref="H15:K15" si="2">+H14-H16</x:f>
        <x:v>3799039.505365514</x:v>
      </x:c>
      <x:c r="I15" s="482">
        <x:f t="shared" si="2"/>
        <x:v>3910870.5957323718</x:v>
      </x:c>
      <x:c r="J15" s="482">
        <x:f t="shared" si="2"/>
        <x:v>4051795.7192964586</x:v>
      </x:c>
      <x:c r="K15" s="482">
        <x:f t="shared" si="2"/>
        <x:v>4213785.6156304237</x:v>
      </x:c>
      <x:c r="L15" s="424"/>
      <x:c r="M15" s="425"/>
      <x:c r="N15" s="380"/>
    </x:row>
    <x:row r="16" ht="14.399999618530273" customHeight="1">
      <x:c r="C16" s="459" t="s">
        <x:v>44</x:v>
      </x:c>
      <x:c r="D16" s="552">
        <x:v>974389</x:v>
      </x:c>
      <x:c r="E16" s="552">
        <x:v>1486719</x:v>
      </x:c>
      <x:c r="F16" s="552">
        <x:v>1603820</x:v>
      </x:c>
      <x:c r="G16" s="481" t="n">
        <x:f>+G14*G35</x:f>
        <x:v>1670261.7615074178</x:v>
      </x:c>
      <x:c r="H16" s="481" t="n">
        <x:f t="shared" ref="H16:K16" si="3">+H14*H35</x:f>
        <x:v>1747003.5681607837</x:v>
      </x:c>
      <x:c r="I16" s="481">
        <x:f t="shared" si="3"/>
        <x:v>1815147.8460426969</x:v>
      </x:c>
      <x:c r="J16" s="481">
        <x:f t="shared" si="3"/>
        <x:v>1897977.7304780767</x:v>
      </x:c>
      <x:c r="K16" s="481">
        <x:f t="shared" si="3"/>
        <x:v>1992084.2159313196</x:v>
      </x:c>
      <x:c r="L16" s="424"/>
      <x:c r="M16" s="554" t="n">
        <x:f>+_xlfn.RRI(YEAR($K$12)-YEAR($F$12),F16,K16)</x:f>
        <x:v>0.044312349783115934</x:v>
      </x:c>
      <x:c r="N16" s="380"/>
    </x:row>
    <x:row r="17" ht="14.399999618530273" customHeight="1">
      <x:c r="C17" s="443" t="s">
        <x:v>45</x:v>
      </x:c>
      <x:c r="D17" s="551">
        <x:v>482097</x:v>
      </x:c>
      <x:c r="E17" s="551">
        <x:v>688255</x:v>
      </x:c>
      <x:c r="F17" s="551">
        <x:v>708795</x:v>
      </x:c>
      <x:c r="G17" s="482" t="n">
        <x:f>+G14*G36</x:f>
        <x:v>727372.0574306498</x:v>
      </x:c>
      <x:c r="H17" s="482" t="n">
        <x:f t="shared" ref="H17:K17" si="4">+H14*H36</x:f>
        <x:v>748715.8149260503</x:v>
      </x:c>
      <x:c r="I17" s="482">
        <x:f t="shared" si="4"/>
        <x:v>773012.48963963427</x:v>
      </x:c>
      <x:c r="J17" s="482">
        <x:f t="shared" si="4"/>
        <x:v>803219.41571956233</x:v>
      </x:c>
      <x:c r="K17" s="482">
        <x:f t="shared" si="4"/>
        <x:v>837792.42726083542</x:v>
      </x:c>
      <x:c r="L17" s="540"/>
      <x:c r="M17" s="425"/>
    </x:row>
    <x:row r="18" ht="14.399999618530273" customHeight="1">
      <x:c r="C18" s="443" t="s">
        <x:v>46</x:v>
      </x:c>
      <x:c r="D18" s="551">
        <x:v>0</x:v>
      </x:c>
      <x:c r="E18" s="551">
        <x:v>0</x:v>
      </x:c>
      <x:c r="F18" s="551">
        <x:v>0</x:v>
      </x:c>
      <x:c r="G18" s="482" t="n">
        <x:f>+G37*G14</x:f>
        <x:v>0</x:v>
      </x:c>
      <x:c r="H18" s="482" t="n">
        <x:f t="shared" ref="H18:K18" si="5">+H37*H14</x:f>
        <x:v>0</x:v>
      </x:c>
      <x:c r="I18" s="482">
        <x:f t="shared" si="5"/>
        <x:v>0</x:v>
      </x:c>
      <x:c r="J18" s="482">
        <x:f t="shared" si="5"/>
        <x:v>0</x:v>
      </x:c>
      <x:c r="K18" s="482">
        <x:f t="shared" si="5"/>
        <x:v>0</x:v>
      </x:c>
      <x:c r="L18" s="540"/>
      <x:c r="M18" s="425"/>
    </x:row>
    <x:row r="19" ht="14.399999618530273" customHeight="1">
      <x:c r="C19" s="459" t="s">
        <x:v>47</x:v>
      </x:c>
      <x:c r="D19" s="552">
        <x:v>492292</x:v>
      </x:c>
      <x:c r="E19" s="552">
        <x:v>798464</x:v>
      </x:c>
      <x:c r="F19" s="552">
        <x:v>895025</x:v>
      </x:c>
      <x:c r="G19" s="481" t="n">
        <x:f>+G16-G17-G18</x:f>
        <x:v>942889.704076768</x:v>
      </x:c>
      <x:c r="H19" s="481" t="n">
        <x:f t="shared" ref="H19:K19" si="6">+H16-H17-H18</x:f>
        <x:v>998287.7532347335</x:v>
      </x:c>
      <x:c r="I19" s="481">
        <x:f t="shared" si="6"/>
        <x:v>1042135.3564030626</x:v>
      </x:c>
      <x:c r="J19" s="481">
        <x:f t="shared" si="6"/>
        <x:v>1094758.3147585145</x:v>
      </x:c>
      <x:c r="K19" s="481">
        <x:f t="shared" si="6"/>
        <x:v>1154291.7886704842</x:v>
      </x:c>
      <x:c r="L19" s="540"/>
      <x:c r="M19" s="554" t="n">
        <x:f>+_xlfn.RRI(YEAR($K$12)-YEAR($F$12),F19,K19)</x:f>
        <x:v>0.05219464694391851</x:v>
      </x:c>
    </x:row>
    <x:row r="20" ht="14.399999618530273" customHeight="1">
      <x:c r="C20" s="443" t="s">
        <x:v>48</x:v>
      </x:c>
      <x:c r="D20" s="551">
        <x:v>-1352</x:v>
      </x:c>
      <x:c r="E20" s="551">
        <x:v>1687</x:v>
      </x:c>
      <x:c r="F20" s="551">
        <x:v>21272</x:v>
      </x:c>
      <x:c r="G20" s="482" t="n">
        <x:f ca="1">G279</x:f>
        <x:v>32706.464914721462</x:v>
      </x:c>
      <x:c r="H20" s="482" t="n">
        <x:f t="shared" ref="H20:K20" ca="1" si="7">H279</x:f>
        <x:v>48004.03345967425</x:v>
      </x:c>
      <x:c r="I20" s="482">
        <x:f t="shared" ca="1" si="7"/>
        <x:v>59038.984121718939</x:v>
      </x:c>
      <x:c r="J20" s="482">
        <x:f t="shared" ca="1" si="7"/>
        <x:v>72381.695917862147</x:v>
      </x:c>
      <x:c r="K20" s="482">
        <x:f t="shared" ca="1" si="7"/>
        <x:v>93958.826828659207</x:v>
      </x:c>
      <x:c r="L20" s="424"/>
      <x:c r="M20" s="474"/>
      <x:c r="O20" s="380"/>
    </x:row>
    <x:row r="21" ht="14.399999618530273" customHeight="1">
      <x:c r="C21" s="443" t="s">
        <x:v>49</x:v>
      </x:c>
      <x:c r="D21" s="551">
        <x:v>29143</x:v>
      </x:c>
      <x:c r="E21" s="551">
        <x:v>56716</x:v>
      </x:c>
      <x:c r="F21" s="551">
        <x:v>74614</x:v>
      </x:c>
      <x:c r="G21" s="482">
        <x:f ca="1">G260+G274+G285</x:f>
        <x:v>71175.751328948361</x:v>
      </x:c>
      <x:c r="H21" s="482">
        <x:f ca="1">H260+H274+H285</x:f>
        <x:v>68116.689578329708</x:v>
      </x:c>
      <x:c r="I21" s="482" t="n">
        <x:f ca="1">I260+I274+I285</x:f>
        <x:v>52375.98705219822</x:v>
      </x:c>
      <x:c r="J21" s="482" t="n">
        <x:f ca="1">J260+J274+J285</x:f>
        <x:v>38210.986820775324</x:v>
      </x:c>
      <x:c r="K21" s="482" t="n">
        <x:f ca="1">K260+K274+K285</x:f>
        <x:v>38218.860650924726</x:v>
      </x:c>
      <x:c r="L21" s="424"/>
      <x:c r="M21" s="425"/>
    </x:row>
    <x:row r="22" ht="14.399999618530273" customHeight="1">
      <x:c r="C22" s="443" t="s">
        <x:v>50</x:v>
      </x:c>
      <x:c r="D22" s="551">
        <x:v>28354</x:v>
      </x:c>
      <x:c r="E22" s="551">
        <x:v>1300</x:v>
      </x:c>
      <x:c r="F22" s="551">
        <x:v>16200</x:v>
      </x:c>
      <x:c r="G22" s="555">
        <x:v>0</x:v>
      </x:c>
      <x:c r="H22" s="555">
        <x:v>0</x:v>
      </x:c>
      <x:c r="I22" s="555">
        <x:v>0</x:v>
      </x:c>
      <x:c r="J22" s="555">
        <x:v>0</x:v>
      </x:c>
      <x:c r="K22" s="555">
        <x:v>0</x:v>
      </x:c>
      <x:c r="L22" s="424"/>
      <x:c r="M22" s="425"/>
      <x:c r="O22" s="380"/>
    </x:row>
    <x:row r="23" ht="14.399999618530273" customHeight="1">
      <x:c r="C23" s="459" t="s">
        <x:v>51</x:v>
      </x:c>
      <x:c r="D23" s="552">
        <x:v>433443</x:v>
      </x:c>
      <x:c r="E23" s="552">
        <x:v>742135</x:v>
      </x:c>
      <x:c r="F23" s="552">
        <x:v>825483</x:v>
      </x:c>
      <x:c r="G23" s="481">
        <x:f ca="1">+G19+G20-G21-G22</x:f>
        <x:v>904420.41766254115</x:v>
      </x:c>
      <x:c r="H23" s="481">
        <x:f t="shared" ref="H23:K23" ca="1" si="8">+H19+H20-H21-H22</x:f>
        <x:v>978175.09711607802</x:v>
      </x:c>
      <x:c r="I23" s="481">
        <x:f t="shared" ca="1" si="8"/>
        <x:v>1048798.3534725832</x:v>
      </x:c>
      <x:c r="J23" s="481">
        <x:f t="shared" ca="1" si="8"/>
        <x:v>1128929.0238556014</x:v>
      </x:c>
      <x:c r="K23" s="481">
        <x:f t="shared" ca="1" si="8"/>
        <x:v>1210031.7548482188</x:v>
      </x:c>
      <x:c r="L23" s="424"/>
      <x:c r="M23" s="554" t="n">
        <x:f ca="1">+_xlfn.RRI(YEAR($K$12)-YEAR($F$12),F23,K23)</x:f>
        <x:v>0.07948777095147475</x:v>
      </x:c>
    </x:row>
    <x:row r="24" ht="14.399999618530273" customHeight="1">
      <x:c r="C24" s="443" t="s">
        <x:v>52</x:v>
      </x:c>
      <x:c r="D24" s="551">
        <x:v>109427</x:v>
      </x:c>
      <x:c r="E24" s="551">
        <x:v>186146</x:v>
      </x:c>
      <x:c r="F24" s="551">
        <x:v>211229</x:v>
      </x:c>
      <x:c r="G24" s="482">
        <x:f ca="1">+G23*G41</x:f>
        <x:v>231427.92813715231</x:v>
      </x:c>
      <x:c r="H24" s="482">
        <x:f t="shared" ref="H24:K24" ca="1" si="9">+H23*H41</x:f>
        <x:v>250300.66953375423</x:v>
      </x:c>
      <x:c r="I24" s="482">
        <x:f t="shared" ca="1" si="9"/>
        <x:v>268372.12565935374</x:v>
      </x:c>
      <x:c r="J24" s="482">
        <x:f t="shared" ca="1" si="9"/>
        <x:v>288876.38967730996</x:v>
      </x:c>
      <x:c r="K24" s="482">
        <x:f t="shared" ca="1" si="9"/>
        <x:v>309629.38975706877</x:v>
      </x:c>
      <x:c r="L24" s="424"/>
      <x:c r="M24" s="425"/>
    </x:row>
    <x:row r="25" ht="14.399999618530273" customHeight="1">
      <x:c r="C25" s="443" t="s">
        <x:v>53</x:v>
      </x:c>
      <x:c r="D25" s="551">
        <x:v>0</x:v>
      </x:c>
      <x:c r="E25" s="551">
        <x:v>0</x:v>
      </x:c>
      <x:c r="F25" s="551">
        <x:v>0</x:v>
      </x:c>
      <x:c r="G25" s="482">
        <x:f t="shared" ref="G25:K25" ca="1" si="10">G225</x:f>
        <x:v>0</x:v>
      </x:c>
      <x:c r="H25" s="482">
        <x:f t="shared" ca="1" si="10"/>
        <x:v>0</x:v>
      </x:c>
      <x:c r="I25" s="482">
        <x:f t="shared" ca="1" si="10"/>
        <x:v>0</x:v>
      </x:c>
      <x:c r="J25" s="482">
        <x:f t="shared" ca="1" si="10"/>
        <x:v>0</x:v>
      </x:c>
      <x:c r="K25" s="482">
        <x:f t="shared" ca="1" si="10"/>
        <x:v>0</x:v>
      </x:c>
      <x:c r="L25" s="424"/>
      <x:c r="M25" s="425"/>
    </x:row>
    <x:row r="26" ht="14.399999618530273" customHeight="1">
      <x:c r="C26" s="459" t="s">
        <x:v>54</x:v>
      </x:c>
      <x:c r="D26" s="552">
        <x:v>324016</x:v>
      </x:c>
      <x:c r="E26" s="552">
        <x:v>555989</x:v>
      </x:c>
      <x:c r="F26" s="552">
        <x:v>614254</x:v>
      </x:c>
      <x:c r="G26" s="481">
        <x:f ca="1">+G23-G24-G25</x:f>
        <x:v>672992.48952538881</x:v>
      </x:c>
      <x:c r="H26" s="481">
        <x:f t="shared" ref="H26:K26" ca="1" si="11">+H23-H24-H25</x:f>
        <x:v>727874.42758232378</x:v>
      </x:c>
      <x:c r="I26" s="481">
        <x:f t="shared" ca="1" si="11"/>
        <x:v>780426.22781322943</x:v>
      </x:c>
      <x:c r="J26" s="481">
        <x:f t="shared" ca="1" si="11"/>
        <x:v>840052.63417829154</x:v>
      </x:c>
      <x:c r="K26" s="481">
        <x:f t="shared" ca="1" si="11"/>
        <x:v>900402.36509114993</x:v>
      </x:c>
      <x:c r="L26" s="424"/>
      <x:c r="M26" s="554" t="n">
        <x:f ca="1">+_xlfn.RRI(YEAR($K$12)-YEAR($F$12),F26,K26)</x:f>
        <x:v>0.07948777095147452</x:v>
      </x:c>
    </x:row>
    <x:row r="27" ht="14.399999618530273" customHeight="1">
      <x:c r="C27" s="459"/>
      <x:c r="D27" s="462"/>
      <x:c r="E27" s="462"/>
      <x:c r="F27" s="539"/>
      <x:c r="G27" s="473"/>
      <x:c r="H27" s="473"/>
      <x:c r="I27" s="473"/>
      <x:c r="J27" s="473"/>
      <x:c r="K27" s="473"/>
      <x:c r="L27" s="424"/>
      <x:c r="M27" s="425"/>
    </x:row>
    <x:row r="28" ht="14.399999618530273" customHeight="1">
      <x:c r="C28" s="443" t="s">
        <x:v>55</x:v>
      </x:c>
      <x:c r="D28" s="551">
        <x:v>79390</x:v>
      </x:c>
      <x:c r="E28" s="551">
        <x:v>123335</x:v>
      </x:c>
      <x:c r="F28" s="551">
        <x:v>132878</x:v>
      </x:c>
      <x:c r="G28" s="482" t="n">
        <x:f ca="1">+G183+G160+G302</x:f>
        <x:v>117580.7543250923</x:v>
      </x:c>
      <x:c r="H28" s="482" t="n">
        <x:f ca="1">+H183+H160+H302</x:f>
        <x:v>138036.5827688118</x:v>
      </x:c>
      <x:c r="I28" s="482" t="n">
        <x:f ca="1">+I183+I160+I302</x:f>
        <x:v>159617.5754971231</x:v>
      </x:c>
      <x:c r="J28" s="482" t="n">
        <x:f ca="1">+J183+J160+J302</x:f>
        <x:v>181671.0468745531</x:v>
      </x:c>
      <x:c r="K28" s="482" t="n">
        <x:f ca="1">+K183+K160+K302</x:f>
        <x:v>205964.7231215114</x:v>
      </x:c>
      <x:c r="L28" s="424"/>
      <x:c r="M28" s="425"/>
    </x:row>
    <x:row r="29" ht="14.399999618530273" customHeight="1">
      <x:c r="C29" s="459" t="s">
        <x:v>56</x:v>
      </x:c>
      <x:c r="D29" s="552">
        <x:v>571682</x:v>
      </x:c>
      <x:c r="E29" s="552">
        <x:v>921799</x:v>
      </x:c>
      <x:c r="F29" s="552">
        <x:v>1027903</x:v>
      </x:c>
      <x:c r="G29" s="481" t="n">
        <x:f ca="1">+G19+G28</x:f>
        <x:v>1060470.4584018602</x:v>
      </x:c>
      <x:c r="H29" s="481" t="n">
        <x:f t="shared" ref="H29:K29" ca="1" si="12">+H19+H28</x:f>
        <x:v>1136324.3360035452</x:v>
      </x:c>
      <x:c r="I29" s="481">
        <x:f t="shared" ca="1" si="12"/>
        <x:v>1201752.9319001858</x:v>
      </x:c>
      <x:c r="J29" s="481">
        <x:f t="shared" ca="1" si="12"/>
        <x:v>1276429.3616330677</x:v>
      </x:c>
      <x:c r="K29" s="481">
        <x:f t="shared" ca="1" si="12"/>
        <x:v>1360256.5117919957</x:v>
      </x:c>
      <x:c r="L29" s="424"/>
      <x:c r="M29" s="554" t="n">
        <x:f ca="1">+_xlfn.RRI(YEAR($K$12)-YEAR($F$12),F29,K29)</x:f>
        <x:v>0.05762993862485155</x:v>
      </x:c>
    </x:row>
    <x:row r="30" ht="14.399999618530273" customHeight="1">
      <x:c r="C30" s="459"/>
      <x:c r="D30" s="462"/>
      <x:c r="E30" s="462"/>
      <x:c r="F30" s="539"/>
      <x:c r="G30" s="462"/>
      <x:c r="H30" s="462"/>
      <x:c r="I30" s="462"/>
      <x:c r="J30" s="462"/>
      <x:c r="K30" s="462"/>
      <x:c r="L30" s="424"/>
      <x:c r="M30" s="425"/>
    </x:row>
    <x:row r="31" ht="14.399999618530273" customHeight="1">
      <x:c r="C31" s="459" t="s">
        <x:v>57</x:v>
      </x:c>
      <x:c r="D31" s="552">
        <x:v>11316</x:v>
      </x:c>
      <x:c r="E31" s="552">
        <x:v>12310</x:v>
      </x:c>
      <x:c r="F31" s="552">
        <x:v>15838</x:v>
      </x:c>
      <x:c r="G31" s="481" t="n">
        <x:f>+AVERAGE(D31:F31)</x:f>
        <x:v>13154.666666666666</x:v>
      </x:c>
      <x:c r="H31" s="481" t="n">
        <x:f t="shared" ref="H31:K31" si="13">+AVERAGE(E31:G31)</x:f>
        <x:v>13767.555555555555</x:v>
      </x:c>
      <x:c r="I31" s="481">
        <x:f t="shared" si="13"/>
        <x:v>14253.407407407407</x:v>
      </x:c>
      <x:c r="J31" s="481">
        <x:f t="shared" si="13"/>
        <x:v>13725.209876543209</x:v>
      </x:c>
      <x:c r="K31" s="481">
        <x:f t="shared" si="13"/>
        <x:v>13915.390946502057</x:v>
      </x:c>
      <x:c r="L31" s="424"/>
      <x:c r="M31" s="425"/>
      <x:c r="O31" s="368"/>
    </x:row>
    <x:row r="32" ht="14.399999618530273" customHeight="1">
      <x:c r="C32" s="459"/>
      <x:c r="D32" s="542"/>
      <x:c r="E32" s="542"/>
      <x:c r="F32" s="543"/>
      <x:c r="G32" s="542"/>
      <x:c r="H32" s="542"/>
      <x:c r="I32" s="542"/>
      <x:c r="J32" s="542"/>
      <x:c r="K32" s="542"/>
      <x:c r="L32" s="424"/>
      <x:c r="M32" s="425"/>
    </x:row>
    <x:row r="33" ht="14.399999618530273" customHeight="1">
      <x:c r="C33" s="443" t="s">
        <x:v>58</x:v>
      </x:c>
      <x:c r="D33" s="544"/>
      <x:c r="E33" s="544"/>
      <x:c r="F33" s="545"/>
      <x:c r="G33" s="424"/>
      <x:c r="H33" s="424"/>
      <x:c r="I33" s="424"/>
      <x:c r="J33" s="424"/>
      <x:c r="K33" s="424"/>
      <x:c r="L33" s="424"/>
      <x:c r="M33" s="425"/>
    </x:row>
    <x:row r="34" ht="14.399999618530273" customHeight="1">
      <x:c r="C34" s="426" t="s">
        <x:v>59</x:v>
      </x:c>
      <x:c r="D34" s="464"/>
      <x:c r="E34" s="553" t="n">
        <x:f>+E14/D14-1</x:f>
        <x:v>0.4367316685440652</x:v>
      </x:c>
      <x:c r="F34" s="553" t="n">
        <x:f>+F14/E14-1</x:f>
        <x:v>0.037125075667672425</x:v>
      </x:c>
      <x:c r="G34" s="556" t="n">
        <x:f>+'Revenue Build &amp; Growth Drivers'!G15</x:f>
        <x:v>0.037200875769190844</x:v>
      </x:c>
      <x:c r="H34" s="556" t="n">
        <x:f>+'Revenue Build &amp; Growth Drivers'!H15</x:f>
        <x:v>0.02934365882956058</x:v>
      </x:c>
      <x:c r="I34" s="556" t="n">
        <x:f>+'Revenue Build &amp; Growth Drivers'!I15</x:f>
        <x:v>0.032451130628226244</x:v>
      </x:c>
      <x:c r="J34" s="556" t="n">
        <x:f>+'Revenue Build &amp; Growth Drivers'!J15</x:f>
        <x:v>0.03907689265668912</x:v>
      </x:c>
      <x:c r="K34" s="556" t="n">
        <x:f>+'Revenue Build &amp; Growth Drivers'!K15</x:f>
        <x:v>0.04304304759652866</x:v>
      </x:c>
      <x:c r="L34" s="424"/>
      <x:c r="M34" s="425"/>
    </x:row>
    <x:row r="35" ht="14.399999618530273" customHeight="1">
      <x:c r="C35" s="426" t="s">
        <x:v>27</x:v>
      </x:c>
      <x:c r="D35" s="553" t="n">
        <x:f>+D16/D14</x:f>
        <x:v>0.2794983200940162</x:v>
      </x:c>
      <x:c r="E35" s="553" t="n">
        <x:f t="shared" ref="E35:F35" si="14">+E16/E14</x:f>
        <x:v>0.296824712942007</x:v>
      </x:c>
      <x:c r="F35" s="553">
        <x:f t="shared" si="14"/>
        <x:v>0.30874195862162429</x:v>
      </x:c>
      <x:c r="G35" s="556" t="n">
        <x:f>'Revenue Build &amp; Growth Drivers'!G46</x:f>
        <x:v>0.31</x:v>
      </x:c>
      <x:c r="H35" s="556" t="n">
        <x:f>'Revenue Build &amp; Growth Drivers'!H46</x:f>
        <x:v>0.315</x:v>
      </x:c>
      <x:c r="I35" s="556" t="n">
        <x:f>'Revenue Build &amp; Growth Drivers'!I46</x:f>
        <x:v>0.317</x:v>
      </x:c>
      <x:c r="J35" s="556" t="n">
        <x:f>'Revenue Build &amp; Growth Drivers'!J46</x:f>
        <x:v>0.319</x:v>
      </x:c>
      <x:c r="K35" s="556" t="n">
        <x:f>'Revenue Build &amp; Growth Drivers'!K46</x:f>
        <x:v>0.321</x:v>
      </x:c>
      <x:c r="L35" s="424"/>
      <x:c r="M35" s="425"/>
    </x:row>
    <x:row r="36" ht="14.399999618530273" customHeight="1">
      <x:c r="C36" s="426" t="s">
        <x:v>60</x:v>
      </x:c>
      <x:c r="D36" s="553" t="n">
        <x:f>+D17/D14</x:f>
        <x:v>0.13828696919029765</x:v>
      </x:c>
      <x:c r="E36" s="553" t="n">
        <x:f t="shared" ref="E36:F36" si="15">+E17/E14</x:f>
        <x:v>0.13741069617452997</x:v>
      </x:c>
      <x:c r="F36" s="553">
        <x:f t="shared" si="15"/>
        <x:v>0.13644595812573368</x:v>
      </x:c>
      <x:c r="G36" s="556" t="n">
        <x:f>'Revenue Build &amp; Growth Drivers'!G47</x:f>
        <x:v>0.135</x:v>
      </x:c>
      <x:c r="H36" s="556" t="n">
        <x:f>'Revenue Build &amp; Growth Drivers'!H47</x:f>
        <x:v>0.135</x:v>
      </x:c>
      <x:c r="I36" s="556" t="n">
        <x:f>'Revenue Build &amp; Growth Drivers'!I47</x:f>
        <x:v>0.135</x:v>
      </x:c>
      <x:c r="J36" s="556" t="n">
        <x:f>'Revenue Build &amp; Growth Drivers'!J47</x:f>
        <x:v>0.135</x:v>
      </x:c>
      <x:c r="K36" s="556" t="n">
        <x:f>'Revenue Build &amp; Growth Drivers'!K47</x:f>
        <x:v>0.135</x:v>
      </x:c>
      <x:c r="L36" s="424"/>
      <x:c r="M36" s="425"/>
    </x:row>
    <x:row r="37" ht="14.399999618530273" customHeight="1">
      <x:c r="C37" s="426" t="s">
        <x:v>29</x:v>
      </x:c>
      <x:c r="D37" s="553" t="n">
        <x:f>+D18/D14</x:f>
        <x:v>0</x:v>
      </x:c>
      <x:c r="E37" s="553" t="n">
        <x:f t="shared" ref="E37:F37" si="16">+E18/E14</x:f>
        <x:v>0</x:v>
      </x:c>
      <x:c r="F37" s="553">
        <x:f t="shared" si="16"/>
        <x:v>0</x:v>
      </x:c>
      <x:c r="G37" s="556" t="n">
        <x:f>'Revenue Build &amp; Growth Drivers'!G48</x:f>
        <x:v>0</x:v>
      </x:c>
      <x:c r="H37" s="556" t="n">
        <x:f>'Revenue Build &amp; Growth Drivers'!H48</x:f>
        <x:v>0</x:v>
      </x:c>
      <x:c r="I37" s="556" t="n">
        <x:f>'Revenue Build &amp; Growth Drivers'!I48</x:f>
        <x:v>0</x:v>
      </x:c>
      <x:c r="J37" s="556" t="n">
        <x:f>'Revenue Build &amp; Growth Drivers'!J48</x:f>
        <x:v>0</x:v>
      </x:c>
      <x:c r="K37" s="556" t="n">
        <x:f>'Revenue Build &amp; Growth Drivers'!K48</x:f>
        <x:v>0</x:v>
      </x:c>
      <x:c r="L37" s="424"/>
      <x:c r="M37" s="425"/>
    </x:row>
    <x:row r="38" ht="14.399999618530273" customHeight="1">
      <x:c r="C38" s="426" t="s">
        <x:v>61</x:v>
      </x:c>
      <x:c r="D38" s="553" t="n">
        <x:f>+D19/D14</x:f>
        <x:v>0.14121135090371856</x:v>
      </x:c>
      <x:c r="E38" s="553" t="n">
        <x:f t="shared" ref="E38:K38" si="17">+E19/E14</x:f>
        <x:v>0.15941401676747705</x:v>
      </x:c>
      <x:c r="F38" s="553">
        <x:f t="shared" si="17"/>
        <x:v>0.17229600049589061</x:v>
      </x:c>
      <x:c r="G38" s="557">
        <x:f t="shared" si="17"/>
        <x:v>0.17499999999999999</x:v>
      </x:c>
      <x:c r="H38" s="557">
        <x:f t="shared" si="17"/>
        <x:v>0.18</x:v>
      </x:c>
      <x:c r="I38" s="557">
        <x:f t="shared" si="17"/>
        <x:v>0.18200000000000002</x:v>
      </x:c>
      <x:c r="J38" s="557">
        <x:f t="shared" si="17"/>
        <x:v>0.184</x:v>
      </x:c>
      <x:c r="K38" s="557">
        <x:f t="shared" si="17"/>
        <x:v>0.186</x:v>
      </x:c>
      <x:c r="L38" s="424"/>
      <x:c r="M38" s="425"/>
    </x:row>
    <x:row r="39" ht="14.399999618530273" customHeight="1">
      <x:c r="C39" s="426" t="s">
        <x:v>62</x:v>
      </x:c>
      <x:c r="D39" s="553" t="n">
        <x:f>+D29/D14</x:f>
        <x:v>0.1639839516127413</x:v>
      </x:c>
      <x:c r="E39" s="553" t="n">
        <x:f t="shared" ref="E39:K39" si="18">+E29/E14</x:f>
        <x:v>0.18403795442530102</x:v>
      </x:c>
      <x:c r="F39" s="553">
        <x:f t="shared" si="18"/>
        <x:v>0.19787556302642659</x:v>
      </x:c>
      <x:c r="G39" s="557">
        <x:f t="shared" ca="1" si="18"/>
        <x:v>0.19682294696603858</x:v>
      </x:c>
      <x:c r="H39" s="557">
        <x:f t="shared" ca="1" si="18"/>
        <x:v>0.20488920135289265</x:v>
      </x:c>
      <x:c r="I39" s="557">
        <x:f t="shared" ca="1" si="18"/>
        <x:v>0.2098758402754361</x:v>
      </x:c>
      <x:c r="J39" s="557">
        <x:f t="shared" ca="1" si="18"/>
        <x:v>0.21453411166124947</x:v>
      </x:c>
      <x:c r="K39" s="557">
        <x:f t="shared" ca="1" si="18"/>
        <x:v>0.21918869533389476</x:v>
      </x:c>
      <x:c r="L39" s="424"/>
      <x:c r="M39" s="425"/>
    </x:row>
    <x:row r="40" ht="14.399999618530273" customHeight="1">
      <x:c r="C40" s="426" t="s">
        <x:v>63</x:v>
      </x:c>
      <x:c r="D40" s="553" t="n">
        <x:f>+D26/D14</x:f>
        <x:v>0.09294227221734108</x:v>
      </x:c>
      <x:c r="E40" s="553" t="n">
        <x:f t="shared" ref="E40:K40" si="19">+E26/E14</x:f>
        <x:v>0.11100367677006451</x:v>
      </x:c>
      <x:c r="F40" s="553">
        <x:f t="shared" si="19"/>
        <x:v>0.11824642606474992</x:v>
      </x:c>
      <x:c r="G40" s="557">
        <x:f t="shared" ca="1" si="19"/>
        <x:v>0.12490717117572232</x:v>
      </x:c>
      <x:c r="H40" s="557">
        <x:f t="shared" ca="1" si="19"/>
        <x:v>0.13124211585315457</x:v>
      </x:c>
      <x:c r="I40" s="557">
        <x:f t="shared" ca="1" si="19"/>
        <x:v>0.13629474577299772</x:v>
      </x:c>
      <x:c r="J40" s="557">
        <x:f t="shared" ca="1" si="19"/>
        <x:v>0.14119069259857703</x:v>
      </x:c>
      <x:c r="K40" s="557">
        <x:f t="shared" ca="1" si="19"/>
        <x:v>0.14508882550386307</x:v>
      </x:c>
      <x:c r="L40" s="424"/>
      <x:c r="M40" s="425"/>
    </x:row>
    <x:row r="41" ht="14.399999618530273" customHeight="1">
      <x:c r="C41" s="432" t="s">
        <x:v>64</x:v>
      </x:c>
      <x:c r="D41" s="549" t="n">
        <x:f>+D24/D23</x:f>
        <x:v>0.2524599543653952</x:v>
      </x:c>
      <x:c r="E41" s="549" t="n">
        <x:f t="shared" ref="E41:F41" si="20">+E24/E23</x:f>
        <x:v>0.2508249846726</x:v>
      </x:c>
      <x:c r="F41" s="549">
        <x:f t="shared" si="20"/>
        <x:v>0.25588534227839943</x:v>
      </x:c>
      <x:c r="G41" s="475" t="n">
        <x:f>+IF(F41&lt;0,AVERAGEIFS(D41:F41,D41:F41,"&gt;0"),F41)</x:f>
        <x:v>0.25588534227839943</x:v>
      </x:c>
      <x:c r="H41" s="475" t="n">
        <x:f>+G41</x:f>
        <x:v>0.25588534227839943</x:v>
      </x:c>
      <x:c r="I41" s="475" t="n">
        <x:f t="shared" ref="I41:K41" si="21">+H41</x:f>
        <x:v>0.25588534227839943</x:v>
      </x:c>
      <x:c r="J41" s="475">
        <x:f t="shared" si="21"/>
        <x:v>0.25588534227839943</x:v>
      </x:c>
      <x:c r="K41" s="475">
        <x:f t="shared" si="21"/>
        <x:v>0.25588534227839943</x:v>
      </x:c>
      <x:c r="L41" s="434"/>
      <x:c r="M41" s="435"/>
      <x:c r="O41" s="368"/>
    </x:row>
    <x:row r="42" ht="14.399999618530273" customHeight="1">
      <x:c r="C42" s="6"/>
      <x:c r="D42" s="17"/>
      <x:c r="E42" s="17"/>
      <x:c r="F42" s="17"/>
    </x:row>
    <x:row r="43" ht="14.399999618530273" customHeight="1">
      <x:c r="C43" s="436" t="s">
        <x:v>65</x:v>
      </x:c>
      <x:c r="D43" s="437" t="s">
        <x:v>9</x:v>
      </x:c>
      <x:c r="E43" s="438"/>
      <x:c r="F43" s="439"/>
      <x:c r="G43" s="437" t="s">
        <x:v>10</x:v>
      </x:c>
      <x:c r="H43" s="438"/>
      <x:c r="I43" s="438"/>
      <x:c r="J43" s="438"/>
      <x:c r="K43" s="438"/>
      <x:c r="L43" s="418"/>
      <x:c r="M43" s="535" t="s">
        <x:v>41</x:v>
      </x:c>
    </x:row>
    <x:row r="44" ht="14.399999618530273" customHeight="1">
      <x:c r="C44" s="441"/>
      <x:c r="D44" s="453" t="n">
        <x:f>+D$12</x:f>
        <x:v>44561</x:v>
      </x:c>
      <x:c r="E44" s="453" t="n">
        <x:f t="shared" ref="E44:K44" si="22">+E$12</x:f>
        <x:v>44926</x:v>
      </x:c>
      <x:c r="F44" s="453">
        <x:f t="shared" si="22"/>
        <x:v>45291</x:v>
      </x:c>
      <x:c r="G44" s="456">
        <x:f t="shared" si="22"/>
        <x:v>45657</x:v>
      </x:c>
      <x:c r="H44" s="456">
        <x:f t="shared" si="22"/>
        <x:v>46022</x:v>
      </x:c>
      <x:c r="I44" s="456">
        <x:f t="shared" si="22"/>
        <x:v>46387</x:v>
      </x:c>
      <x:c r="J44" s="456">
        <x:f t="shared" si="22"/>
        <x:v>46752</x:v>
      </x:c>
      <x:c r="K44" s="456">
        <x:f t="shared" si="22"/>
        <x:v>47118</x:v>
      </x:c>
      <x:c r="L44" s="424"/>
      <x:c r="M44" s="442" t="s">
        <x:v>42</x:v>
      </x:c>
    </x:row>
    <x:row r="45" ht="14.399999618530273" customHeight="1">
      <x:c r="C45" s="443"/>
      <x:c r="D45" s="473"/>
      <x:c r="E45" s="473"/>
      <x:c r="F45" s="473"/>
      <x:c r="G45" s="424"/>
      <x:c r="H45" s="424"/>
      <x:c r="I45" s="424"/>
      <x:c r="J45" s="424"/>
      <x:c r="K45" s="424"/>
      <x:c r="L45" s="424"/>
      <x:c r="M45" s="425"/>
    </x:row>
    <x:row r="46" ht="14.399999618530273" customHeight="1">
      <x:c r="C46" s="443" t="s">
        <x:v>66</x:v>
      </x:c>
      <x:c r="D46" s="551">
        <x:v>139779</x:v>
      </x:c>
      <x:c r="E46" s="551">
        <x:v>240069</x:v>
      </x:c>
      <x:c r="F46" s="551">
        <x:v>848565</x:v>
      </x:c>
      <x:c r="G46" s="482" t="n">
        <x:f ca="1">+F46+G103</x:f>
        <x:v>1331865.9943147642</x:v>
      </x:c>
      <x:c r="H46" s="482" t="n">
        <x:f t="shared" ref="H46:K46" ca="1" si="23">+G46+H103</x:f>
        <x:v>1868402.9029968525</x:v>
      </x:c>
      <x:c r="I46" s="482">
        <x:f t="shared" ca="1" si="23"/>
        <x:v>2067529.37178441</x:v>
      </x:c>
      <x:c r="J46" s="482">
        <x:f t="shared" ca="1" si="23"/>
        <x:v>2757917.0227397331</x:v>
      </x:c>
      <x:c r="K46" s="482">
        <x:f t="shared" ca="1" si="23"/>
        <x:v>3506004.7658375478</x:v>
      </x:c>
      <x:c r="L46" s="424"/>
      <x:c r="M46" s="554" t="n">
        <x:f ca="1">+_xlfn.RRI(YEAR($K$12)-YEAR($F$12),F46,K46)</x:f>
        <x:v>0.3280837946711146</x:v>
      </x:c>
    </x:row>
    <x:row r="47" ht="14.399999618530273" customHeight="1">
      <x:c r="C47" s="443" t="s">
        <x:v>67</x:v>
      </x:c>
      <x:c r="D47" s="551">
        <x:v>668419</x:v>
      </x:c>
      <x:c r="E47" s="551">
        <x:v>836071</x:v>
      </x:c>
      <x:c r="F47" s="551">
        <x:v>799009</x:v>
      </x:c>
      <x:c r="G47" s="482" t="n">
        <x:f t="shared" ref="G47" si="24">G113</x:f>
        <x:v>828732.8345474654</x:v>
      </x:c>
      <x:c r="H47" s="482" t="n">
        <x:f t="shared" ref="H47:K47" si="25">H113</x:f>
        <x:v>853050.8881052809</x:v>
      </x:c>
      <x:c r="I47" s="482">
        <x:f t="shared" si="25"/>
        <x:v>880733.35390770982</x:v>
      </x:c>
      <x:c r="J47" s="482">
        <x:f t="shared" si="25"/>
        <x:v>915149.67663752718</x:v>
      </x:c>
      <x:c r="K47" s="482">
        <x:f t="shared" si="25"/>
        <x:v>954540.5077269841</x:v>
      </x:c>
      <x:c r="L47" s="424"/>
      <x:c r="M47" s="425"/>
    </x:row>
    <x:row r="48" ht="14.399999618530273" customHeight="1">
      <x:c r="C48" s="443" t="s">
        <x:v>68</x:v>
      </x:c>
      <x:c r="D48" s="551">
        <x:v>352801</x:v>
      </x:c>
      <x:c r="E48" s="551">
        <x:v>438644</x:v>
      </x:c>
      <x:c r="F48" s="551">
        <x:v>364731</x:v>
      </x:c>
      <x:c r="G48" s="482" t="n">
        <x:f t="shared" ref="G48" si="26">G124</x:f>
        <x:v>377610.83428039344</x:v>
      </x:c>
      <x:c r="H48" s="482" t="n">
        <x:f t="shared" ref="H48:K48" si="27">H124</x:f>
        <x:v>385874.714019893</x:v>
      </x:c>
      <x:c r="I48" s="482">
        <x:f t="shared" si="27"/>
        <x:v>397233.58247938071</x:v>
      </x:c>
      <x:c r="J48" s="482">
        <x:f t="shared" si="27"/>
        <x:v>411547.57991918316</x:v>
      </x:c>
      <x:c r="K48" s="482">
        <x:f t="shared" si="27"/>
        <x:v>428001.1611029795</x:v>
      </x:c>
      <x:c r="L48" s="424"/>
      <x:c r="M48" s="425"/>
    </x:row>
    <x:row r="49" ht="14.399999618530273" customHeight="1">
      <x:c r="C49" s="443" t="s">
        <x:v>69</x:v>
      </x:c>
      <x:c r="D49" s="551">
        <x:v>26692</x:v>
      </x:c>
      <x:c r="E49" s="551">
        <x:v>34257</x:v>
      </x:c>
      <x:c r="F49" s="551">
        <x:v>36939</x:v>
      </x:c>
      <x:c r="G49" s="482" t="n">
        <x:f>+F49*(1+G34)</x:f>
        <x:v>38313.16315003814</x:v>
      </x:c>
      <x:c r="H49" s="482" t="n">
        <x:f t="shared" ref="H49:K49" si="28">+G49*(1+H34)</x:f>
        <x:v>39437.41153819415</x:v>
      </x:c>
      <x:c r="I49" s="482">
        <x:f t="shared" si="28"/>
        <x:v>40717.200131659207</x:v>
      </x:c>
      <x:c r="J49" s="482">
        <x:f t="shared" si="28"/>
        <x:v>42308.301790484984</x:v>
      </x:c>
      <x:c r="K49" s="482">
        <x:f t="shared" si="28"/>
        <x:v>44129.380038181131</x:v>
      </x:c>
      <x:c r="L49" s="424"/>
      <x:c r="M49" s="425"/>
      <x:c r="O49" s="368"/>
    </x:row>
    <x:row r="50" ht="14.399999618530273" customHeight="1">
      <x:c r="C50" s="443" t="s">
        <x:v>70</x:v>
      </x:c>
      <x:c r="D50" s="551">
        <x:v>1187691</x:v>
      </x:c>
      <x:c r="E50" s="551">
        <x:v>1549041</x:v>
      </x:c>
      <x:c r="F50" s="551">
        <x:v>2049244</x:v>
      </x:c>
      <x:c r="G50" s="482" t="n">
        <x:f ca="1">+SUM(G46:G49)</x:f>
        <x:v>2576522.826292661</x:v>
      </x:c>
      <x:c r="H50" s="482" t="n">
        <x:f t="shared" ref="H50:K50" ca="1" si="29">+SUM(H46:H49)</x:f>
        <x:v>3146765.916660221</x:v>
      </x:c>
      <x:c r="I50" s="482">
        <x:f t="shared" ca="1" si="29"/>
        <x:v>3386213.5083031598</x:v>
      </x:c>
      <x:c r="J50" s="482">
        <x:f t="shared" ca="1" si="29"/>
        <x:v>4126922.5810869285</x:v>
      </x:c>
      <x:c r="K50" s="482">
        <x:f t="shared" ca="1" si="29"/>
        <x:v>4932675.8147056932</x:v>
      </x:c>
      <x:c r="L50" s="424"/>
      <x:c r="M50" s="425"/>
    </x:row>
    <x:row r="51" ht="14.399999618530273" customHeight="1">
      <x:c r="C51" s="443" t="s">
        <x:v>71</x:v>
      </x:c>
      <x:c r="D51" s="551">
        <x:v>421751</x:v>
      </x:c>
      <x:c r="E51" s="551">
        <x:v>459376</x:v>
      </x:c>
      <x:c r="F51" s="551">
        <x:v>469116</x:v>
      </x:c>
      <x:c r="G51" s="482" t="n">
        <x:f ca="1">+G184+G308+G334</x:f>
        <x:v>521411.68663737585</x:v>
      </x:c>
      <x:c r="H51" s="482" t="n">
        <x:f ca="1">+H184+H308+H334</x:f>
        <x:v>562544.2620275004</x:v>
      </x:c>
      <x:c r="I51" s="482" t="n">
        <x:f ca="1">+I184+I308+I334</x:f>
        <x:v>594613.489338226</x:v>
      </x:c>
      <x:c r="J51" s="482" t="n">
        <x:f ca="1">+J184+J308+J334</x:f>
        <x:v>622620.3514382505</x:v>
      </x:c>
      <x:c r="K51" s="482" t="n">
        <x:f ca="1">+K184+K308+K334</x:f>
        <x:v>642566.8139845624</x:v>
      </x:c>
      <x:c r="L51" s="424"/>
      <x:c r="M51" s="560"/>
    </x:row>
    <x:row r="52" ht="14.399999618530273" customHeight="1">
      <x:c r="C52" s="443" t="s">
        <x:v>72</x:v>
      </x:c>
      <x:c r="D52" s="551">
        <x:v>0</x:v>
      </x:c>
      <x:c r="E52" s="551">
        <x:v>0</x:v>
      </x:c>
      <x:c r="F52" s="551">
        <x:v>0</x:v>
      </x:c>
      <x:c r="G52" s="482" t="n">
        <x:f>+F52*(1+G$34)</x:f>
        <x:v>0</x:v>
      </x:c>
      <x:c r="H52" s="482" t="n">
        <x:f t="shared" ref="H52:K52" si="30">+G52*(1+H$34)</x:f>
        <x:v>0</x:v>
      </x:c>
      <x:c r="I52" s="482">
        <x:f t="shared" si="30"/>
        <x:v>0</x:v>
      </x:c>
      <x:c r="J52" s="482">
        <x:f t="shared" si="30"/>
        <x:v>0</x:v>
      </x:c>
      <x:c r="K52" s="482">
        <x:f t="shared" si="30"/>
        <x:v>0</x:v>
      </x:c>
      <x:c r="L52" s="424"/>
      <x:c r="M52" s="560"/>
      <x:c r="O52" s="368"/>
    </x:row>
    <x:row r="53" ht="14.399999618530273" customHeight="1">
      <x:c r="C53" s="443" t="s">
        <x:v>73</x:v>
      </x:c>
      <x:c r="D53" s="551">
        <x:v>2633972</x:v>
      </x:c>
      <x:c r="E53" s="551">
        <x:v>2581961</x:v>
      </x:c>
      <x:c r="F53" s="551">
        <x:v>2633626</x:v>
      </x:c>
      <x:c r="G53" s="482" t="n">
        <x:f ca="1">+G155+G161</x:f>
        <x:v>2738628.08296171</x:v>
      </x:c>
      <x:c r="H53" s="482" t="n">
        <x:f t="shared" ref="H53:K53" ca="1" si="31">+H155+H161</x:f>
        <x:v>2854942.8889354216</x:v>
      </x:c>
      <x:c r="I53" s="482">
        <x:f t="shared" ca="1" si="31"/>
        <x:v>2981080.8890482681</x:v>
      </x:c>
      <x:c r="J53" s="482">
        <x:f t="shared" ca="1" si="31"/>
        <x:v>3117560.9603588586</x:v>
      </x:c>
      <x:c r="K53" s="482">
        <x:f t="shared" ca="1" si="31"/>
        <x:v>3264701.7293489901</x:v>
      </x:c>
      <x:c r="L53" s="424"/>
      <x:c r="M53" s="560"/>
    </x:row>
    <x:row r="54" ht="14.399999618530273" customHeight="1">
      <x:c r="C54" s="443" t="s">
        <x:v>74</x:v>
      </x:c>
      <x:c r="D54" s="551">
        <x:v>1905</x:v>
      </x:c>
      <x:c r="E54" s="551">
        <x:v>100744</x:v>
      </x:c>
      <x:c r="F54" s="551">
        <x:v>103663</x:v>
      </x:c>
      <x:c r="G54" s="482" t="n">
        <x:f>+F54*(1+G$34)</x:f>
        <x:v>107519.35438486162</x:v>
      </x:c>
      <x:c r="H54" s="482" t="n">
        <x:f t="shared" ref="H54:K55" si="32">+G54*(1+H$34)</x:f>
        <x:v>110674.36563750562</x:v>
      </x:c>
      <x:c r="I54" s="482">
        <x:f t="shared" si="32"/>
        <x:v>114265.87393400438</x:v>
      </x:c>
      <x:c r="J54" s="482">
        <x:f t="shared" si="32"/>
        <x:v>118731.02922404624</x:v>
      </x:c>
      <x:c r="K54" s="482">
        <x:f t="shared" si="32"/>
        <x:v>123841.57456612171</x:v>
      </x:c>
      <x:c r="L54" s="424"/>
      <x:c r="M54" s="560"/>
      <x:c r="O54" s="368"/>
    </x:row>
    <x:row r="55" ht="14.399999618530273" customHeight="1">
      <x:c r="C55" s="443" t="s">
        <x:v>75</x:v>
      </x:c>
      <x:c r="D55" s="551">
        <x:v>13211</x:v>
      </x:c>
      <x:c r="E55" s="551">
        <x:v>16453</x:v>
      </x:c>
      <x:c r="F55" s="551">
        <x:v>10865</x:v>
      </x:c>
      <x:c r="G55" s="482" t="n">
        <x:f>+F55*(1+G$34)</x:f>
        <x:v>11269.18751523226</x:v>
      </x:c>
      <x:c r="H55" s="482">
        <x:f t="shared" si="32"/>
        <x:v>11599.866708965577</x:v>
      </x:c>
      <x:c r="I55" s="482">
        <x:f t="shared" si="32"/>
        <x:v>11976.295498808233</x:v>
      </x:c>
      <x:c r="J55" s="482">
        <x:f t="shared" si="32"/>
        <x:v>12444.29191243995</x:v>
      </x:c>
      <x:c r="K55" s="482">
        <x:f t="shared" si="32"/>
        <x:v>12979.932161532201</x:v>
      </x:c>
      <x:c r="L55" s="424"/>
      <x:c r="M55" s="560"/>
      <x:c r="O55" s="368"/>
    </x:row>
    <x:row r="56" ht="14.399999618530273" customHeight="1">
      <x:c r="C56" s="561" t="s">
        <x:v>76</x:v>
      </x:c>
      <x:c r="D56" s="552">
        <x:v>4258530</x:v>
      </x:c>
      <x:c r="E56" s="552">
        <x:v>4707575</x:v>
      </x:c>
      <x:c r="F56" s="552">
        <x:v>5266514</x:v>
      </x:c>
      <x:c r="G56" s="481" t="n">
        <x:f ca="1">+SUM(G50:G55)</x:f>
        <x:v>5955351.137791842</x:v>
      </x:c>
      <x:c r="H56" s="481" t="n">
        <x:f ca="1">+SUM(H50:H55)</x:f>
        <x:v>6686527.2999696145</x:v>
      </x:c>
      <x:c r="I56" s="481" t="n">
        <x:f ca="1">+SUM(I50:I55)</x:f>
        <x:v>7088150.056122466</x:v>
      </x:c>
      <x:c r="J56" s="481" t="n">
        <x:f ca="1">+SUM(J50:J55)</x:f>
        <x:v>7998279.214020525</x:v>
      </x:c>
      <x:c r="K56" s="481" t="n">
        <x:f ca="1">+SUM(K50:K55)</x:f>
        <x:v>8976765.8647669</x:v>
      </x:c>
      <x:c r="L56" s="424"/>
      <x:c r="M56" s="425"/>
    </x:row>
    <x:row r="57" ht="14.399999618530273" customHeight="1">
      <x:c r="C57" s="443"/>
      <x:c r="D57" s="473"/>
      <x:c r="E57" s="473"/>
      <x:c r="F57" s="559"/>
      <x:c r="G57" s="473"/>
      <x:c r="H57" s="473"/>
      <x:c r="I57" s="473"/>
      <x:c r="J57" s="473"/>
      <x:c r="K57" s="473"/>
      <x:c r="L57" s="424"/>
      <x:c r="M57" s="425"/>
    </x:row>
    <x:row r="58" ht="14.399999618530273" customHeight="1">
      <x:c r="C58" s="443" t="s">
        <x:v>77</x:v>
      </x:c>
      <x:c r="D58" s="551">
        <x:v>95618</x:v>
      </x:c>
      <x:c r="E58" s="551">
        <x:v>103155</x:v>
      </x:c>
      <x:c r="F58" s="551">
        <x:v>114736</x:v>
      </x:c>
      <x:c r="G58" s="482" t="n">
        <x:f ca="1">+G271+G258+G297+G326</x:f>
        <x:v>118965.38768694691</x:v>
      </x:c>
      <x:c r="H58" s="482" t="n">
        <x:f ca="1">+H271+H258+H297+H326</x:f>
        <x:v>511025.764067818</x:v>
      </x:c>
      <x:c r="I58" s="482" t="n">
        <x:f ca="1">+I271+I258+I297+I326</x:f>
        <x:v>74621.19432883762</x:v>
      </x:c>
      <x:c r="J58" s="482" t="n">
        <x:f ca="1">+J271+J258+J297+J326</x:f>
        <x:v>77537.15872953954</x:v>
      </x:c>
      <x:c r="K58" s="482" t="n">
        <x:f ca="1">+K271+K258+K297+K326</x:f>
        <x:v>480874.5943432347</x:v>
      </x:c>
      <x:c r="L58" s="424"/>
      <x:c r="M58" s="425"/>
    </x:row>
    <x:row r="59" ht="14.399999618530273" customHeight="1">
      <x:c r="C59" s="443" t="s">
        <x:v>78</x:v>
      </x:c>
      <x:c r="D59" s="551">
        <x:v>461917</x:v>
      </x:c>
      <x:c r="E59" s="551">
        <x:v>487114</x:v>
      </x:c>
      <x:c r="F59" s="551">
        <x:v>469585</x:v>
      </x:c>
      <x:c r="G59" s="482" t="n">
        <x:f t="shared" ref="G59:K59" si="33">G140</x:f>
        <x:v>486167.56901814917</x:v>
      </x:c>
      <x:c r="H59" s="482">
        <x:f t="shared" si="33"/>
        <x:v>496807.17455612897</x:v>
      </x:c>
      <x:c r="I59" s="482">
        <x:f t="shared" si="33"/>
        <x:v>511431.52577812143</x:v>
      </x:c>
      <x:c r="J59" s="482">
        <x:f t="shared" si="33"/>
        <x:v>529860.55563236913</x:v>
      </x:c>
      <x:c r="K59" s="482">
        <x:f t="shared" si="33"/>
        <x:v>551044.26340657263</x:v>
      </x:c>
      <x:c r="L59" s="424"/>
      <x:c r="M59" s="425"/>
    </x:row>
    <x:row r="60" ht="14.399999618530273" customHeight="1">
      <x:c r="C60" s="443" t="s">
        <x:v>79</x:v>
      </x:c>
      <x:c r="D60" s="551">
        <x:v>0</x:v>
      </x:c>
      <x:c r="E60" s="551">
        <x:v>0</x:v>
      </x:c>
      <x:c r="F60" s="551">
        <x:v>0</x:v>
      </x:c>
      <x:c r="G60" s="555">
        <x:v>0</x:v>
      </x:c>
      <x:c r="H60" s="555">
        <x:v>0</x:v>
      </x:c>
      <x:c r="I60" s="555">
        <x:v>0</x:v>
      </x:c>
      <x:c r="J60" s="555">
        <x:v>0</x:v>
      </x:c>
      <x:c r="K60" s="555">
        <x:v>0</x:v>
      </x:c>
      <x:c r="L60" s="424"/>
      <x:c r="M60" s="425"/>
      <x:c r="O60" s="368"/>
    </x:row>
    <x:row r="61" ht="14.399999618530273" customHeight="1">
      <x:c r="C61" s="443" t="s">
        <x:v>80</x:v>
      </x:c>
      <x:c r="D61" s="551">
        <x:v>175891</x:v>
      </x:c>
      <x:c r="E61" s="551">
        <x:v>199370</x:v>
      </x:c>
      <x:c r="F61" s="551">
        <x:v>187217</x:v>
      </x:c>
      <x:c r="G61" s="482" t="n">
        <x:f>+F61*(1+G34)</x:f>
        <x:v>194181.6363588806</x:v>
      </x:c>
      <x:c r="H61" s="482" t="n">
        <x:f t="shared" ref="H61:K61" si="34">+G61*(1+H34)</x:f>
        <x:v>199879.6360471614</x:v>
      </x:c>
      <x:c r="I61" s="482">
        <x:f t="shared" si="34"/>
        <x:v>206365.95622645013</x:v>
      </x:c>
      <x:c r="J61" s="482">
        <x:f t="shared" si="34"/>
        <x:v>214430.09654590613</x:v>
      </x:c>
      <x:c r="K61" s="482">
        <x:f t="shared" si="34"/>
        <x:v>223659.82139765981</x:v>
      </x:c>
      <x:c r="L61" s="424"/>
      <x:c r="M61" s="425"/>
      <x:c r="O61" s="380"/>
    </x:row>
    <x:row r="62" ht="14.399999618530273" customHeight="1">
      <x:c r="C62" s="459" t="s">
        <x:v>81</x:v>
      </x:c>
      <x:c r="D62" s="552">
        <x:v>733426</x:v>
      </x:c>
      <x:c r="E62" s="552">
        <x:v>789639</x:v>
      </x:c>
      <x:c r="F62" s="552">
        <x:v>771538</x:v>
      </x:c>
      <x:c r="G62" s="481" t="n">
        <x:f ca="1">+SUM(G58:G61)</x:f>
        <x:v>799314.5930639766</x:v>
      </x:c>
      <x:c r="H62" s="481" t="n">
        <x:f t="shared" ref="H62:K62" ca="1" si="35">+SUM(H58:H61)</x:f>
        <x:v>1207712.5746711083</x:v>
      </x:c>
      <x:c r="I62" s="481">
        <x:f t="shared" ca="1" si="35"/>
        <x:v>792418.67633340927</x:v>
      </x:c>
      <x:c r="J62" s="481">
        <x:f t="shared" ca="1" si="35"/>
        <x:v>821827.81090781477</x:v>
      </x:c>
      <x:c r="K62" s="481">
        <x:f t="shared" ca="1" si="35"/>
        <x:v>1255578.6791474673</x:v>
      </x:c>
      <x:c r="L62" s="424"/>
      <x:c r="M62" s="425"/>
    </x:row>
    <x:row r="63" ht="14.399999618530273" customHeight="1">
      <x:c r="C63" s="443"/>
      <x:c r="D63" s="473"/>
      <x:c r="E63" s="473"/>
      <x:c r="F63" s="559"/>
      <x:c r="G63" s="473"/>
      <x:c r="H63" s="473"/>
      <x:c r="I63" s="473"/>
      <x:c r="J63" s="473"/>
      <x:c r="K63" s="473"/>
      <x:c r="L63" s="424"/>
      <x:c r="M63" s="425"/>
    </x:row>
    <x:row r="64" ht="14.399999618530273" customHeight="1">
      <x:c r="C64" s="443" t="s">
        <x:v>82</x:v>
      </x:c>
      <x:c r="D64" s="551">
        <x:v>1587592</x:v>
      </x:c>
      <x:c r="E64" s="551">
        <x:v>1573873</x:v>
      </x:c>
      <x:c r="F64" s="551">
        <x:v>1523391</x:v>
      </x:c>
      <x:c r="G64" s="482" t="n">
        <x:f>+G259+G300+G329</x:f>
        <x:v>1483129.0352832829</x:v>
      </x:c>
      <x:c r="H64" s="482" t="n">
        <x:f>+H259+H300+H329</x:f>
        <x:v>1051849.7735812417</x:v>
      </x:c>
      <x:c r="I64" s="482" t="n">
        <x:f>+I259+I300+I329</x:f>
        <x:v>1059953.650077064</x:v>
      </x:c>
      <x:c r="J64" s="482" t="n">
        <x:f>+J259+J300+J329</x:f>
        <x:v>1069324.7500073821</x:v>
      </x:c>
      <x:c r="K64" s="482" t="n">
        <x:f>+K259+K300+K329</x:f>
        <x:v>679631.9870781837</x:v>
      </x:c>
      <x:c r="L64" s="424"/>
      <x:c r="M64" s="560"/>
    </x:row>
    <x:row r="65" ht="14.399999618530273" customHeight="1">
      <x:c r="C65" s="443" t="s">
        <x:v>83</x:v>
      </x:c>
      <x:c r="D65" s="551">
        <x:v>51875</x:v>
      </x:c>
      <x:c r="E65" s="551">
        <x:v>59783</x:v>
      </x:c>
      <x:c r="F65" s="551">
        <x:v>58783</x:v>
      </x:c>
      <x:c r="G65" s="482" t="n">
        <x:f>+F65*(1+G34)</x:f>
        <x:v>60969.77908034035</x:v>
      </x:c>
      <x:c r="H65" s="482" t="n">
        <x:f t="shared" ref="H65:K65" si="36">+G65*(1+H34)</x:f>
        <x:v>62758.85547658754</x:v>
      </x:c>
      <x:c r="I65" s="482">
        <x:f t="shared" si="36"/>
        <x:v>64795.451293736252</x:v>
      </x:c>
      <x:c r="J65" s="482">
        <x:f t="shared" si="36"/>
        <x:v>67327.45618858331</x:v>
      </x:c>
      <x:c r="K65" s="482">
        <x:f t="shared" si="36"/>
        <x:v>70225.435089861698</x:v>
      </x:c>
      <x:c r="L65" s="424"/>
      <x:c r="M65" s="560"/>
      <x:c r="O65" s="380"/>
    </x:row>
    <x:row r="66" ht="14.399999618530273" customHeight="1">
      <x:c r="C66" s="443" t="s">
        <x:v>84</x:v>
      </x:c>
      <x:c r="D66" s="551">
        <x:v>248243</x:v>
      </x:c>
      <x:c r="E66" s="551">
        <x:v>352225</x:v>
      </x:c>
      <x:c r="F66" s="551">
        <x:v>347593</x:v>
      </x:c>
      <x:c r="G66" s="482" t="n">
        <x:f>+F66*(1+G34)</x:f>
        <x:v>360523.76401124033</x:v>
      </x:c>
      <x:c r="H66" s="482" t="n">
        <x:f t="shared" ref="H66:K66" si="37">+G66*(1+H34)</x:f>
        <x:v>371102.8503423352</x:v>
      </x:c>
      <x:c r="I66" s="482">
        <x:f t="shared" si="37"/>
        <x:v>383145.55741530139</x:v>
      </x:c>
      <x:c r="J66" s="482">
        <x:f t="shared" si="37"/>
        <x:v>398117.69523430645</x:v>
      </x:c>
      <x:c r="K66" s="482">
        <x:f t="shared" si="37"/>
        <x:v>415253.89413929702</x:v>
      </x:c>
      <x:c r="L66" s="424"/>
      <x:c r="M66" s="560"/>
      <x:c r="O66" s="380"/>
    </x:row>
    <x:row r="67" ht="14.399999618530273" customHeight="1">
      <x:c r="C67" s="443" t="s">
        <x:v>85</x:v>
      </x:c>
      <x:c r="D67" s="551">
        <x:v>960</x:v>
      </x:c>
      <x:c r="E67" s="551">
        <x:v>2349</x:v>
      </x:c>
      <x:c r="F67" s="551">
        <x:v>1554</x:v>
      </x:c>
      <x:c r="G67" s="482" t="n">
        <x:f>+F67*(1+G34)</x:f>
        <x:v>1611.8101609453227</x:v>
      </x:c>
      <x:c r="H67" s="482" t="n">
        <x:f t="shared" ref="H67:K67" si="38">+G67*(1+H34)</x:f>
        <x:v>1659.1065684061214</x:v>
      </x:c>
      <x:c r="I67" s="482">
        <x:f t="shared" si="38"/>
        <x:v>1712.9464523836166</x:v>
      </x:c>
      <x:c r="J67" s="482">
        <x:f t="shared" si="38"/>
        <x:v>1779.8830770300676</x:v>
      </x:c>
      <x:c r="K67" s="482">
        <x:f t="shared" si="38"/>
        <x:v>1856.4946690309287</x:v>
      </x:c>
      <x:c r="L67" s="424"/>
      <x:c r="M67" s="425"/>
      <x:c r="O67" s="380"/>
    </x:row>
    <x:row r="68" ht="14.399999618530273" customHeight="1">
      <x:c r="C68" s="459" t="s">
        <x:v>86</x:v>
      </x:c>
      <x:c r="D68" s="552">
        <x:v>2622096</x:v>
      </x:c>
      <x:c r="E68" s="552">
        <x:v>2777869</x:v>
      </x:c>
      <x:c r="F68" s="552">
        <x:v>2702859</x:v>
      </x:c>
      <x:c r="G68" s="481" t="n">
        <x:f ca="1">+SUM(G64:G67,G62)</x:f>
        <x:v>2705548.9815997854</x:v>
      </x:c>
      <x:c r="H68" s="481" t="n">
        <x:f t="shared" ref="H68:K68" ca="1" si="39">+SUM(H64:H67,H62)</x:f>
        <x:v>2695083.160639679</x:v>
      </x:c>
      <x:c r="I68" s="481">
        <x:f t="shared" ca="1" si="39"/>
        <x:v>2302026.2815718949</x:v>
      </x:c>
      <x:c r="J68" s="481">
        <x:f t="shared" ca="1" si="39"/>
        <x:v>2358377.5954151168</x:v>
      </x:c>
      <x:c r="K68" s="481">
        <x:f t="shared" ca="1" si="39"/>
        <x:v>2422546.4901238405</x:v>
      </x:c>
      <x:c r="L68" s="424"/>
      <x:c r="M68" s="425"/>
    </x:row>
    <x:row r="69" ht="14.399999618530273" customHeight="1">
      <x:c r="C69" s="443"/>
      <x:c r="D69" s="473"/>
      <x:c r="E69" s="473"/>
      <x:c r="F69" s="559"/>
      <x:c r="G69" s="473"/>
      <x:c r="H69" s="473"/>
      <x:c r="I69" s="473"/>
      <x:c r="J69" s="473"/>
      <x:c r="K69" s="473"/>
      <x:c r="L69" s="424"/>
      <x:c r="M69" s="425"/>
    </x:row>
    <x:row r="70" ht="14.399999618530273" customHeight="1">
      <x:c r="C70" s="459" t="s">
        <x:v>87</x:v>
      </x:c>
      <x:c r="D70" s="552">
        <x:v>1636434</x:v>
      </x:c>
      <x:c r="E70" s="552">
        <x:v>1929706</x:v>
      </x:c>
      <x:c r="F70" s="552">
        <x:v>2563655</x:v>
      </x:c>
      <x:c r="G70" s="481" t="n">
        <x:f ca="1">+F70+G31+G214-G215+G95</x:f>
        <x:v>3249802.1561920554</x:v>
      </x:c>
      <x:c r="H70" s="481" t="n">
        <x:f t="shared" ref="H70:K70" ca="1" si="40">+G70+H31+H214-H215+H95</x:f>
        <x:v>3991444.1393299345</x:v>
      </x:c>
      <x:c r="I70" s="481">
        <x:f t="shared" ca="1" si="40"/>
        <x:v>4786123.7745505711</x:v>
      </x:c>
      <x:c r="J70" s="481">
        <x:f t="shared" ca="1" si="40"/>
        <x:v>5639901.6186054051</x:v>
      </x:c>
      <x:c r="K70" s="481">
        <x:f t="shared" ca="1" si="40"/>
        <x:v>6554219.3746430567</x:v>
      </x:c>
      <x:c r="L70" s="424"/>
      <x:c r="M70" s="425"/>
      <x:c r="O70" s="380"/>
    </x:row>
    <x:row r="71" ht="14.399999618530273" customHeight="1">
      <x:c r="C71" s="459" t="s">
        <x:v>88</x:v>
      </x:c>
      <x:c r="D71" s="552">
        <x:v>1636434</x:v>
      </x:c>
      <x:c r="E71" s="552">
        <x:v>1929706</x:v>
      </x:c>
      <x:c r="F71" s="552">
        <x:v>2563655</x:v>
      </x:c>
      <x:c r="G71" s="481" t="n">
        <x:f ca="1">+G70+G227</x:f>
        <x:v>3249802.1561920554</x:v>
      </x:c>
      <x:c r="H71" s="481" t="n">
        <x:f ca="1">+H70+H227</x:f>
        <x:v>3991444.1393299345</x:v>
      </x:c>
      <x:c r="I71" s="481" t="n">
        <x:f ca="1">+I70+I227</x:f>
        <x:v>4786123.774550571</x:v>
      </x:c>
      <x:c r="J71" s="481" t="n">
        <x:f ca="1">+J70+J227</x:f>
        <x:v>5639901.618605405</x:v>
      </x:c>
      <x:c r="K71" s="481" t="n">
        <x:f ca="1">+K70+K227</x:f>
        <x:v>6554219.374643057</x:v>
      </x:c>
      <x:c r="L71" s="424"/>
      <x:c r="M71" s="425"/>
      <x:c r="O71" s="380"/>
    </x:row>
    <x:row r="72" ht="14.399999618530273" customHeight="1">
      <x:c r="C72" s="443"/>
      <x:c r="D72" s="473"/>
      <x:c r="E72" s="473"/>
      <x:c r="F72" s="559"/>
      <x:c r="G72" s="473"/>
      <x:c r="H72" s="473"/>
      <x:c r="I72" s="473"/>
      <x:c r="J72" s="473"/>
      <x:c r="K72" s="473"/>
      <x:c r="L72" s="424"/>
      <x:c r="M72" s="425"/>
    </x:row>
    <x:row r="73" ht="14.399999618530273" customHeight="1">
      <x:c r="C73" s="561" t="s">
        <x:v>89</x:v>
      </x:c>
      <x:c r="D73" s="552">
        <x:v>4258530</x:v>
      </x:c>
      <x:c r="E73" s="552">
        <x:v>4707575</x:v>
      </x:c>
      <x:c r="F73" s="552">
        <x:v>5266514</x:v>
      </x:c>
      <x:c r="G73" s="481" t="n">
        <x:f ca="1">+G71+G68</x:f>
        <x:v>5955351.13779184</x:v>
      </x:c>
      <x:c r="H73" s="481" t="n">
        <x:f t="shared" ref="H73:K73" ca="1" si="41">+H71+H68</x:f>
        <x:v>6686527.299969614</x:v>
      </x:c>
      <x:c r="I73" s="481">
        <x:f t="shared" ca="1" si="41"/>
        <x:v>7088150.056122466</x:v>
      </x:c>
      <x:c r="J73" s="481">
        <x:f t="shared" ca="1" si="41"/>
        <x:v>7998279.2140205223</x:v>
      </x:c>
      <x:c r="K73" s="481">
        <x:f t="shared" ca="1" si="41"/>
        <x:v>8976765.8647668976</x:v>
      </x:c>
      <x:c r="L73" s="424"/>
      <x:c r="M73" s="425"/>
    </x:row>
    <x:row r="74" ht="14.399999618530273" customHeight="1">
      <x:c r="C74" s="459"/>
      <x:c r="D74" s="473"/>
      <x:c r="E74" s="473"/>
      <x:c r="F74" s="559"/>
      <x:c r="G74" s="473"/>
      <x:c r="H74" s="473"/>
      <x:c r="I74" s="473"/>
      <x:c r="J74" s="473"/>
      <x:c r="K74" s="473"/>
      <x:c r="L74" s="424"/>
      <x:c r="M74" s="425"/>
    </x:row>
    <x:row r="75" ht="14.399999618530273" customHeight="1">
      <x:c r="C75" s="565" t="s">
        <x:v>90</x:v>
      </x:c>
      <x:c r="D75" s="566" t="n">
        <x:f>+D56-D73</x:f>
        <x:v>0</x:v>
      </x:c>
      <x:c r="E75" s="566" t="n">
        <x:f t="shared" ref="E75:K75" si="42">+E56-E73</x:f>
        <x:v>0</x:v>
      </x:c>
      <x:c r="F75" s="566">
        <x:f t="shared" si="42"/>
        <x:v>0</x:v>
      </x:c>
      <x:c r="G75" s="566">
        <x:f t="shared" ca="1" si="42"/>
        <x:v>0</x:v>
      </x:c>
      <x:c r="H75" s="566">
        <x:f t="shared" ca="1" si="42"/>
        <x:v>0</x:v>
      </x:c>
      <x:c r="I75" s="566">
        <x:f t="shared" ca="1" si="42"/>
        <x:v>0</x:v>
      </x:c>
      <x:c r="J75" s="566">
        <x:f t="shared" ca="1" si="42"/>
        <x:v>0</x:v>
      </x:c>
      <x:c r="K75" s="566">
        <x:f t="shared" ca="1" si="42"/>
        <x:v>0</x:v>
      </x:c>
      <x:c r="L75" s="434"/>
      <x:c r="M75" s="435"/>
    </x:row>
    <x:row r="76" ht="14.399999618530273" customHeight="1">
      <x:c r="H76" s="19"/>
      <x:c r="I76" s="19"/>
      <x:c r="J76" s="19"/>
      <x:c r="K76" s="19"/>
    </x:row>
    <x:row r="77" ht="14.399999618530273" customHeight="1">
      <x:c r="C77" s="436" t="s">
        <x:v>91</x:v>
      </x:c>
      <x:c r="D77" s="437" t="s">
        <x:v>9</x:v>
      </x:c>
      <x:c r="E77" s="438"/>
      <x:c r="F77" s="439"/>
      <x:c r="G77" s="437" t="s">
        <x:v>10</x:v>
      </x:c>
      <x:c r="H77" s="438"/>
      <x:c r="I77" s="438"/>
      <x:c r="J77" s="438"/>
      <x:c r="K77" s="440"/>
    </x:row>
    <x:row r="78" ht="14.399999618530273" customHeight="1">
      <x:c r="C78" s="441"/>
      <x:c r="D78" s="453" t="n">
        <x:f>+D$12</x:f>
        <x:v>44561</x:v>
      </x:c>
      <x:c r="E78" s="453" t="n">
        <x:f t="shared" ref="E78:K78" si="43">+E$12</x:f>
        <x:v>44926</x:v>
      </x:c>
      <x:c r="F78" s="453">
        <x:f t="shared" si="43"/>
        <x:v>45291</x:v>
      </x:c>
      <x:c r="G78" s="456">
        <x:f t="shared" si="43"/>
        <x:v>45657</x:v>
      </x:c>
      <x:c r="H78" s="456">
        <x:f t="shared" si="43"/>
        <x:v>46022</x:v>
      </x:c>
      <x:c r="I78" s="456">
        <x:f t="shared" si="43"/>
        <x:v>46387</x:v>
      </x:c>
      <x:c r="J78" s="456">
        <x:f t="shared" si="43"/>
        <x:v>46752</x:v>
      </x:c>
      <x:c r="K78" s="865">
        <x:f t="shared" si="43"/>
        <x:v>47118</x:v>
      </x:c>
    </x:row>
    <x:row r="79">
      <x:c r="C79" s="443"/>
      <x:c r="D79" s="424"/>
      <x:c r="E79" s="424"/>
      <x:c r="F79" s="424"/>
      <x:c r="G79" s="424"/>
      <x:c r="H79" s="424"/>
      <x:c r="I79" s="424"/>
      <x:c r="J79" s="424"/>
      <x:c r="K79" s="425"/>
    </x:row>
    <x:row r="80" ht="14.399999618530273" customHeight="1">
      <x:c r="C80" s="443" t="s">
        <x:v>54</x:v>
      </x:c>
      <x:c r="D80" s="551">
        <x:v>324016</x:v>
      </x:c>
      <x:c r="E80" s="551">
        <x:v>555989</x:v>
      </x:c>
      <x:c r="F80" s="551">
        <x:v>614254</x:v>
      </x:c>
      <x:c r="G80" s="482">
        <x:f ca="1">+G26+G25</x:f>
        <x:v>672992.48952538881</x:v>
      </x:c>
      <x:c r="H80" s="482">
        <x:f t="shared" ref="H80:K80" ca="1" si="44">+H26+H25</x:f>
        <x:v>727874.42758232378</x:v>
      </x:c>
      <x:c r="I80" s="482">
        <x:f t="shared" ca="1" si="44"/>
        <x:v>780426.22781322943</x:v>
      </x:c>
      <x:c r="J80" s="482">
        <x:f t="shared" ca="1" si="44"/>
        <x:v>840052.63417829154</x:v>
      </x:c>
      <x:c r="K80" s="623">
        <x:f t="shared" ca="1" si="44"/>
        <x:v>900402.36509114993</x:v>
      </x:c>
    </x:row>
    <x:row r="81" ht="14.399999618530273" customHeight="1">
      <x:c r="C81" s="443" t="s">
        <x:v>92</x:v>
      </x:c>
      <x:c r="D81" s="551">
        <x:v>79390</x:v>
      </x:c>
      <x:c r="E81" s="551">
        <x:v>123335</x:v>
      </x:c>
      <x:c r="F81" s="551">
        <x:v>132878</x:v>
      </x:c>
      <x:c r="G81" s="482" t="n">
        <x:f ca="1">+G28</x:f>
        <x:v>117580.7543250923</x:v>
      </x:c>
      <x:c r="H81" s="482" t="n">
        <x:f ca="1">+H28</x:f>
        <x:v>138036.5827688118</x:v>
      </x:c>
      <x:c r="I81" s="482" t="n">
        <x:f ca="1">+I28</x:f>
        <x:v>159617.5754971231</x:v>
      </x:c>
      <x:c r="J81" s="482" t="n">
        <x:f ca="1">+J28</x:f>
        <x:v>181671.0468745531</x:v>
      </x:c>
      <x:c r="K81" s="623" t="n">
        <x:f ca="1">+K28</x:f>
        <x:v>205964.7231215114</x:v>
      </x:c>
    </x:row>
    <x:row r="82" ht="14.399999618530273" customHeight="1">
      <x:c r="C82" s="443" t="s">
        <x:v>93</x:v>
      </x:c>
      <x:c r="D82" s="551">
        <x:v>-2818</x:v>
      </x:c>
      <x:c r="E82" s="551">
        <x:v>6041</x:v>
      </x:c>
      <x:c r="F82" s="551">
        <x:v>-7476</x:v>
      </x:c>
      <x:c r="G82" s="482" t="n">
        <x:f>+F54-G54+G66-F66</x:f>
        <x:v>9074.409626378678</x:v>
      </x:c>
      <x:c r="H82" s="482" t="n">
        <x:f t="shared" ref="H82:K82" si="45">+G54-H54+H66-G66</x:f>
        <x:v>7424.075078450842</x:v>
      </x:c>
      <x:c r="I82" s="482">
        <x:f t="shared" si="45"/>
        <x:v>8451.1987764674705</x:v>
      </x:c>
      <x:c r="J82" s="482">
        <x:f t="shared" si="45"/>
        <x:v>10506.982528963184</x:v>
      </x:c>
      <x:c r="K82" s="623">
        <x:f t="shared" si="45"/>
        <x:v>12025.653562915104</x:v>
      </x:c>
    </x:row>
    <x:row r="83" ht="14.399999618530273" customHeight="1">
      <x:c r="C83" s="443" t="s">
        <x:v>94</x:v>
      </x:c>
      <x:c r="D83" s="551">
        <x:v>38741</x:v>
      </x:c>
      <x:c r="E83" s="551">
        <x:v>29179</x:v>
      </x:c>
      <x:c r="F83" s="551">
        <x:v>32343</x:v>
      </x:c>
      <x:c r="G83" s="482" t="n">
        <x:f>+G31+F55-G55+G65-F65+G67-F67+F261-G261+G311-G314</x:f>
        <x:v>59250.96491664389</x:v>
      </x:c>
      <x:c r="H83" s="482" t="n">
        <x:f>+H31+G55-H55+H65-G65+H67-G67+G261-H261+H311-H314</x:f>
        <x:v>60742.84333213209</x:v>
      </x:c>
      <x:c r="I83" s="482" t="n">
        <x:f>+I31+H55-I55+I65-H65+I67-H67+H261-I261+I311-I314</x:f>
        <x:v>62818.62167271531</x:v>
      </x:c>
      <x:c r="J83" s="482" t="n">
        <x:f>+J31+I55-J55+J65-I65+J67-I67+I261-J261+J311-J314</x:f>
        <x:v>64425.057778933304</x:v>
      </x:c>
      <x:c r="K83" s="623" t="n">
        <x:f>+K31+J55-K55+K65-J65+K67-J67+J261-K261+K311-K314</x:f>
        <x:v>66889.21378503615</x:v>
      </x:c>
    </x:row>
    <x:row r="84" ht="14.399999618530273" customHeight="1">
      <x:c r="C84" s="443" t="s">
        <x:v>95</x:v>
      </x:c>
      <x:c r="D84" s="551">
        <x:v>439329</x:v>
      </x:c>
      <x:c r="E84" s="551">
        <x:v>714544</x:v>
      </x:c>
      <x:c r="F84" s="551">
        <x:v>771999</x:v>
      </x:c>
      <x:c r="G84" s="482">
        <x:f ca="1">+SUM(G80:G83)</x:f>
        <x:v>858898.61839350371</x:v>
      </x:c>
      <x:c r="H84" s="482">
        <x:f t="shared" ref="H84:K84" ca="1" si="46">+SUM(H80:H83)</x:f>
        <x:v>934077.92876171856</x:v>
      </x:c>
      <x:c r="I84" s="482">
        <x:f t="shared" ca="1" si="46"/>
        <x:v>1011313.6237595353</x:v>
      </x:c>
      <x:c r="J84" s="482">
        <x:f t="shared" ca="1" si="46"/>
        <x:v>1096655.7213607412</x:v>
      </x:c>
      <x:c r="K84" s="623">
        <x:f t="shared" ca="1" si="46"/>
        <x:v>1185281.9555606127</x:v>
      </x:c>
    </x:row>
    <x:row r="85" ht="14.399999618530273" customHeight="1">
      <x:c r="C85" s="443" t="s">
        <x:v>96</x:v>
      </x:c>
      <x:c r="D85" s="551">
        <x:v>-36304</x:v>
      </x:c>
      <x:c r="E85" s="551">
        <x:v>-218743</x:v>
      </x:c>
      <x:c r="F85" s="551">
        <x:v>77410</x:v>
      </x:c>
      <x:c r="G85" s="482" t="n">
        <x:f>+F47-G47+F48-G48+F49-G49+G59-F59+G60-F60+G61-F61</x:f>
        <x:v>-20430.626600867254</x:v>
      </x:c>
      <x:c r="H85" s="482" t="n">
        <x:f t="shared" ref="H85:K85" si="47">+G47-H47+G48-H48+G49-H49+H59-G59+H60-G60+H61-G61</x:f>
        <x:v>-17368.57645921051</x:v>
      </x:c>
      <x:c r="I85" s="482">
        <x:f t="shared" si="47"/>
        <x:v>-19210.451454100432</x:v>
      </x:c>
      <x:c r="J85" s="482">
        <x:f t="shared" si="47"/>
        <x:v>-23828.251654741878</x:v>
      </x:c>
      <x:c r="K85" s="623">
        <x:f t="shared" si="47"/>
        <x:v>-27252.057894992235</x:v>
      </x:c>
    </x:row>
    <x:row r="86" ht="14.399999618530273" customHeight="1">
      <x:c r="C86" s="459" t="s">
        <x:v>97</x:v>
      </x:c>
      <x:c r="D86" s="552">
        <x:v>403025</x:v>
      </x:c>
      <x:c r="E86" s="552">
        <x:v>495801</x:v>
      </x:c>
      <x:c r="F86" s="552">
        <x:v>849409</x:v>
      </x:c>
      <x:c r="G86" s="481">
        <x:f ca="1">+SUM(G84:G85)</x:f>
        <x:v>838467.99179263646</x:v>
      </x:c>
      <x:c r="H86" s="481">
        <x:f t="shared" ref="H86:K86" ca="1" si="48">+SUM(H84:H85)</x:f>
        <x:v>916709.35230250808</x:v>
      </x:c>
      <x:c r="I86" s="481">
        <x:f t="shared" ca="1" si="48"/>
        <x:v>992103.17230543483</x:v>
      </x:c>
      <x:c r="J86" s="481">
        <x:f t="shared" ca="1" si="48"/>
        <x:v>1072827.4697059994</x:v>
      </x:c>
      <x:c r="K86" s="866">
        <x:f t="shared" ca="1" si="48"/>
        <x:v>1158029.8976656205</x:v>
      </x:c>
    </x:row>
    <x:row r="87" ht="14.399999618530273" customHeight="1">
      <x:c r="C87" s="443"/>
      <x:c r="D87" s="568"/>
      <x:c r="E87" s="568"/>
      <x:c r="F87" s="569"/>
      <x:c r="G87" s="473"/>
      <x:c r="H87" s="473"/>
      <x:c r="I87" s="473"/>
      <x:c r="J87" s="473"/>
      <x:c r="K87" s="474"/>
    </x:row>
    <x:row r="88" ht="14.399999618530273" customHeight="1">
      <x:c r="C88" s="443" t="s">
        <x:v>98</x:v>
      </x:c>
      <x:c r="D88" s="551">
        <x:v>-55546</x:v>
      </x:c>
      <x:c r="E88" s="551">
        <x:v>-76382</x:v>
      </x:c>
      <x:c r="F88" s="551">
        <x:v>-63998</x:v>
      </x:c>
      <x:c r="G88" s="482" t="n">
        <x:f>-G181</x:f>
        <x:v>-78129.97031337224</x:v>
      </x:c>
      <x:c r="H88" s="482" t="n">
        <x:f t="shared" ref="H88:K88" si="49">-H181</x:f>
        <x:v>-77774.94465304851</x:v>
      </x:c>
      <x:c r="I88" s="482">
        <x:f t="shared" si="49"/>
        <x:v>-77958.358560824592</x:v>
      </x:c>
      <x:c r="J88" s="482">
        <x:f t="shared" si="49"/>
        <x:v>-83572.809548205681</x:v>
      </x:c>
      <x:c r="K88" s="623">
        <x:f t="shared" si="49"/>
        <x:v>-86229.827893273075</x:v>
      </x:c>
    </x:row>
    <x:row r="89" ht="14.399999618530273" customHeight="1">
      <x:c r="C89" s="443" t="s">
        <x:v>99</x:v>
      </x:c>
      <x:c r="D89" s="551">
        <x:v>-1267114</x:v>
      </x:c>
      <x:c r="E89" s="551">
        <x:v>-20500</x:v>
      </x:c>
      <x:c r="F89" s="551">
        <x:v>-149154</x:v>
      </x:c>
      <x:c r="G89" s="580">
        <x:f ca="1">-G341</x:f>
        <x:v>-228101.40644377927</x:v>
      </x:c>
      <x:c r="H89" s="580">
        <x:f t="shared" ref="H89:K89" ca="1" si="50">-H341</x:f>
        <x:v>-251680.32229483785</x:v>
      </x:c>
      <x:c r="I89" s="580">
        <x:f t="shared" ca="1" si="50"/>
        <x:v>-274243.44412338303</x:v>
      </x:c>
      <x:c r="J89" s="580">
        <x:f t="shared" ca="1" si="50"/>
        <x:v>-296776.39804733807</x:v>
      </x:c>
      <x:c r="K89" s="867">
        <x:f t="shared" ca="1" si="50"/>
        <x:v>-321540.02093170426</x:v>
      </x:c>
    </x:row>
    <x:row r="90" ht="14.399999618530273" customHeight="1">
      <x:c r="C90" s="443" t="s">
        <x:v>100</x:v>
      </x:c>
      <x:c r="D90" s="551">
        <x:v>415</x:v>
      </x:c>
      <x:c r="E90" s="551">
        <x:v>2975</x:v>
      </x:c>
      <x:c r="F90" s="551">
        <x:v>14982</x:v>
      </x:c>
      <x:c r="G90" s="555">
        <x:v>0</x:v>
      </x:c>
      <x:c r="H90" s="555">
        <x:v>0</x:v>
      </x:c>
      <x:c r="I90" s="555">
        <x:v>0</x:v>
      </x:c>
      <x:c r="J90" s="555">
        <x:v>0</x:v>
      </x:c>
      <x:c r="K90" s="868">
        <x:v>0</x:v>
      </x:c>
      <x:c r="O90" s="368"/>
    </x:row>
    <x:row r="91" ht="14.399999618530273" customHeight="1">
      <x:c r="C91" s="443" t="s">
        <x:v>101</x:v>
      </x:c>
      <x:c r="D91" s="551">
        <x:v>0</x:v>
      </x:c>
      <x:c r="E91" s="551">
        <x:v>0</x:v>
      </x:c>
      <x:c r="F91" s="551">
        <x:v>0</x:v>
      </x:c>
      <x:c r="G91" s="482" t="n">
        <x:f>+F52-G52</x:f>
        <x:v>0</x:v>
      </x:c>
      <x:c r="H91" s="482" t="n">
        <x:f t="shared" ref="H91:K91" si="51">+G52-H52</x:f>
        <x:v>0</x:v>
      </x:c>
      <x:c r="I91" s="482">
        <x:f t="shared" si="51"/>
        <x:v>0</x:v>
      </x:c>
      <x:c r="J91" s="482">
        <x:f t="shared" si="51"/>
        <x:v>0</x:v>
      </x:c>
      <x:c r="K91" s="623">
        <x:f t="shared" si="51"/>
        <x:v>0</x:v>
      </x:c>
    </x:row>
    <x:row r="92" ht="14.399999618530273" customHeight="1">
      <x:c r="C92" s="443" t="s">
        <x:v>94</x:v>
      </x:c>
      <x:c r="D92" s="551">
        <x:v>0</x:v>
      </x:c>
      <x:c r="E92" s="551">
        <x:v>0</x:v>
      </x:c>
      <x:c r="F92" s="551">
        <x:v>0</x:v>
      </x:c>
      <x:c r="G92" s="555">
        <x:v>0</x:v>
      </x:c>
      <x:c r="H92" s="555">
        <x:v>0</x:v>
      </x:c>
      <x:c r="I92" s="555">
        <x:v>0</x:v>
      </x:c>
      <x:c r="J92" s="555">
        <x:v>0</x:v>
      </x:c>
      <x:c r="K92" s="868">
        <x:v>0</x:v>
      </x:c>
      <x:c r="O92" s="368"/>
    </x:row>
    <x:row r="93" ht="14.399999618530273" customHeight="1">
      <x:c r="C93" s="459" t="s">
        <x:v>102</x:v>
      </x:c>
      <x:c r="D93" s="552">
        <x:v>-1322245</x:v>
      </x:c>
      <x:c r="E93" s="552">
        <x:v>-93907</x:v>
      </x:c>
      <x:c r="F93" s="552">
        <x:v>-198170</x:v>
      </x:c>
      <x:c r="G93" s="481">
        <x:f ca="1">+SUM(G88:G92)</x:f>
        <x:v>-306231.37675715151</x:v>
      </x:c>
      <x:c r="H93" s="481">
        <x:f t="shared" ref="H93:K93" ca="1" si="52">+SUM(H88:H92)</x:f>
        <x:v>-329455.26694788638</x:v>
      </x:c>
      <x:c r="I93" s="481">
        <x:f t="shared" ca="1" si="52"/>
        <x:v>-352201.80268420762</x:v>
      </x:c>
      <x:c r="J93" s="481">
        <x:f t="shared" ca="1" si="52"/>
        <x:v>-380349.20759554376</x:v>
      </x:c>
      <x:c r="K93" s="866">
        <x:f t="shared" ca="1" si="52"/>
        <x:v>-407769.84882497735</x:v>
      </x:c>
      <x:c r="O93" s="368"/>
    </x:row>
    <x:row r="94" ht="14.399999618530273" customHeight="1">
      <x:c r="C94" s="443"/>
      <x:c r="D94" s="573"/>
      <x:c r="E94" s="573"/>
      <x:c r="F94" s="574"/>
      <x:c r="G94" s="473"/>
      <x:c r="H94" s="473"/>
      <x:c r="I94" s="473"/>
      <x:c r="J94" s="473"/>
      <x:c r="K94" s="474"/>
      <x:c r="O94" s="368"/>
    </x:row>
    <x:row r="95" ht="14.399999618530273" customHeight="1">
      <x:c r="C95" s="443" t="s">
        <x:v>103</x:v>
      </x:c>
      <x:c r="D95" s="551">
        <x:v>-32253</x:v>
      </x:c>
      <x:c r="E95" s="551">
        <x:v>-248022</x:v>
      </x:c>
      <x:c r="F95" s="551">
        <x:v>3130</x:v>
      </x:c>
      <x:c r="G95" s="555">
        <x:v>0</x:v>
      </x:c>
      <x:c r="H95" s="555">
        <x:v>0</x:v>
      </x:c>
      <x:c r="I95" s="555">
        <x:v>0</x:v>
      </x:c>
      <x:c r="J95" s="555">
        <x:v>0</x:v>
      </x:c>
      <x:c r="K95" s="868">
        <x:v>0</x:v>
      </x:c>
      <x:c r="O95" s="368"/>
    </x:row>
    <x:row r="96" ht="14.399999618530273" customHeight="1">
      <x:c r="C96" s="443" t="s">
        <x:v>104</x:v>
      </x:c>
      <x:c r="D96" s="551">
        <x:v>770715</x:v>
      </x:c>
      <x:c r="E96" s="551">
        <x:v>-38658</x:v>
      </x:c>
      <x:c r="F96" s="551">
        <x:v>-40138</x:v>
      </x:c>
      <x:c r="G96" s="482" t="n">
        <x:f ca="1">+G270-F258</x:f>
        <x:v>-47039</x:v>
      </x:c>
      <x:c r="H96" s="482" t="n">
        <x:f t="shared" ref="H96:K96" ca="1" si="53">+H270-G258</x:f>
        <x:v>-48750</x:v>
      </x:c>
      <x:c r="I96" s="482">
        <x:f t="shared" ca="1" si="53"/>
        <x:v>-438750</x:v>
      </x:c>
      <x:c r="J96" s="482">
        <x:f t="shared" ca="1" si="53"/>
        <x:v>0</x:v>
      </x:c>
      <x:c r="K96" s="623">
        <x:f t="shared" ca="1" si="53"/>
        <x:v>0</x:v>
      </x:c>
      <x:c r="M96" s="380"/>
      <x:c r="O96" s="368"/>
    </x:row>
    <x:row r="97" ht="14.399999618530273" customHeight="1">
      <x:c r="C97" s="443" t="s">
        <x:v>105</x:v>
      </x:c>
      <x:c r="D97" s="551">
        <x:v>0</x:v>
      </x:c>
      <x:c r="E97" s="551">
        <x:v>0</x:v>
      </x:c>
      <x:c r="F97" s="551">
        <x:v>0</x:v>
      </x:c>
      <x:c r="G97" s="482" t="n">
        <x:f ca="1">-G215</x:f>
        <x:v>0</x:v>
      </x:c>
      <x:c r="H97" s="482" t="n">
        <x:f t="shared" ref="H97:K97" ca="1" si="54">-H215</x:f>
        <x:v>0</x:v>
      </x:c>
      <x:c r="I97" s="482">
        <x:f t="shared" ca="1" si="54"/>
        <x:v>0</x:v>
      </x:c>
      <x:c r="J97" s="482">
        <x:f t="shared" ca="1" si="54"/>
        <x:v>0</x:v>
      </x:c>
      <x:c r="K97" s="623">
        <x:f t="shared" ca="1" si="54"/>
        <x:v>0</x:v>
      </x:c>
      <x:c r="M97" s="380"/>
      <x:c r="O97" s="368"/>
    </x:row>
    <x:row r="98" ht="14.399999618530273" customHeight="1">
      <x:c r="C98" s="443" t="s">
        <x:v>94</x:v>
      </x:c>
      <x:c r="D98" s="551">
        <x:v>-9455</x:v>
      </x:c>
      <x:c r="E98" s="551">
        <x:v>-13393</x:v>
      </x:c>
      <x:c r="F98" s="551">
        <x:v>-6828</x:v>
      </x:c>
      <x:c r="G98" s="580" t="n">
        <x:f>-G293</x:f>
        <x:v>-1896.6207207207208</x:v>
      </x:c>
      <x:c r="H98" s="580" t="n">
        <x:f t="shared" ref="H98:K98" si="55">-H293</x:f>
        <x:v>-1967.1766725335253</x:v>
      </x:c>
      <x:c r="I98" s="580">
        <x:f t="shared" si="55"/>
        <x:v>-2024.9008336698196</x:v>
      </x:c>
      <x:c r="J98" s="580">
        <x:f t="shared" si="55"/>
        <x:v>-2090.6111551324425</x:v>
      </x:c>
      <x:c r="K98" s="867">
        <x:f t="shared" si="55"/>
        <x:v>-2172.3057428284301</x:v>
      </x:c>
      <x:c r="O98" s="368"/>
    </x:row>
    <x:row r="99" ht="14.399999618530273" customHeight="1">
      <x:c r="C99" s="459" t="s">
        <x:v>106</x:v>
      </x:c>
      <x:c r="D99" s="552">
        <x:v>729007</x:v>
      </x:c>
      <x:c r="E99" s="552">
        <x:v>-300073</x:v>
      </x:c>
      <x:c r="F99" s="552">
        <x:v>-43836</x:v>
      </x:c>
      <x:c r="G99" s="481" t="n">
        <x:f ca="1">+SUM(G95:G98)</x:f>
        <x:v>-48935.62072072072</x:v>
      </x:c>
      <x:c r="H99" s="481" t="n">
        <x:f t="shared" ref="H99:K99" ca="1" si="56">+SUM(H95:H98)</x:f>
        <x:v>-50717.176672533526</x:v>
      </x:c>
      <x:c r="I99" s="481">
        <x:f t="shared" ca="1" si="56"/>
        <x:v>-440774.90083366982</x:v>
      </x:c>
      <x:c r="J99" s="481">
        <x:f t="shared" ca="1" si="56"/>
        <x:v>-2090.6111551324425</x:v>
      </x:c>
      <x:c r="K99" s="866">
        <x:f t="shared" ca="1" si="56"/>
        <x:v>-2172.3057428284301</x:v>
      </x:c>
      <x:c r="O99" s="368"/>
    </x:row>
    <x:row r="100" ht="14.399999618530273" customHeight="1">
      <x:c r="C100" s="459"/>
      <x:c r="D100" s="575"/>
      <x:c r="E100" s="575"/>
      <x:c r="F100" s="564"/>
      <x:c r="G100" s="462"/>
      <x:c r="H100" s="462"/>
      <x:c r="I100" s="462"/>
      <x:c r="J100" s="462"/>
      <x:c r="K100" s="463"/>
      <x:c r="O100" s="368"/>
    </x:row>
    <x:row r="101" ht="14.399999618530273" customHeight="1">
      <x:c r="C101" s="443" t="s">
        <x:v>107</x:v>
      </x:c>
      <x:c r="D101" s="551">
        <x:v>-15</x:v>
      </x:c>
      <x:c r="E101" s="551">
        <x:v>-1531</x:v>
      </x:c>
      <x:c r="F101" s="551">
        <x:v>1093</x:v>
      </x:c>
      <x:c r="G101" s="555">
        <x:v>0</x:v>
      </x:c>
      <x:c r="H101" s="555">
        <x:v>0</x:v>
      </x:c>
      <x:c r="I101" s="555">
        <x:v>0</x:v>
      </x:c>
      <x:c r="J101" s="555">
        <x:v>0</x:v>
      </x:c>
      <x:c r="K101" s="868">
        <x:v>0</x:v>
      </x:c>
      <x:c r="O101" s="368"/>
    </x:row>
    <x:row r="102" ht="14.399999618530273" customHeight="1">
      <x:c r="C102" s="443"/>
      <x:c r="D102" s="573"/>
      <x:c r="E102" s="573"/>
      <x:c r="F102" s="559"/>
      <x:c r="G102" s="473"/>
      <x:c r="H102" s="473"/>
      <x:c r="I102" s="473"/>
      <x:c r="J102" s="473"/>
      <x:c r="K102" s="474"/>
    </x:row>
    <x:row r="103" ht="14.399999618530273" customHeight="1">
      <x:c r="C103" s="576" t="s">
        <x:v>108</x:v>
      </x:c>
      <x:c r="D103" s="577">
        <x:v>-190228</x:v>
      </x:c>
      <x:c r="E103" s="577">
        <x:v>100290</x:v>
      </x:c>
      <x:c r="F103" s="577">
        <x:v>608496</x:v>
      </x:c>
      <x:c r="G103" s="577" t="n">
        <x:f ca="1">+G86+G93+G99+G101</x:f>
        <x:v>483300.9943147643</x:v>
      </x:c>
      <x:c r="H103" s="577" t="n">
        <x:f t="shared" ref="H103:K103" ca="1" si="57">+H86+H93+H99+H101</x:f>
        <x:v>536536.9086820883</x:v>
      </x:c>
      <x:c r="I103" s="577">
        <x:f t="shared" ca="1" si="57"/>
        <x:v>199126.46878755745</x:v>
      </x:c>
      <x:c r="J103" s="577">
        <x:f t="shared" ca="1" si="57"/>
        <x:v>690387.65095532325</x:v>
      </x:c>
      <x:c r="K103" s="579">
        <x:f t="shared" ca="1" si="57"/>
        <x:v>748087.74309781473</x:v>
      </x:c>
      <x:c r="L103" s="24"/>
    </x:row>
    <x:row r="104" ht="14.399999618530273" customHeight="1"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4.399999618530273" customHeight="1">
      <x:c r="C105" s="50" t="s">
        <x:v>109</x:v>
      </x:c>
      <x:c r="D105" s="4"/>
      <x:c r="E105" s="4"/>
      <x:c r="F105" s="4"/>
      <x:c r="G105" s="4"/>
      <x:c r="H105" s="4"/>
      <x:c r="I105" s="4"/>
      <x:c r="J105" s="4"/>
      <x:c r="K105" s="4"/>
      <x:c r="L105" s="21"/>
    </x:row>
    <x:row r="106" ht="14.399999618530273" customHeight="1">
      <x:c r="L106" s="21"/>
    </x:row>
    <x:row r="107" ht="14.399999618530273" customHeight="1">
      <x:c r="C107" s="436" t="s">
        <x:v>110</x:v>
      </x:c>
      <x:c r="D107" s="437" t="s">
        <x:v>9</x:v>
      </x:c>
      <x:c r="E107" s="438"/>
      <x:c r="F107" s="439"/>
      <x:c r="G107" s="437" t="s">
        <x:v>10</x:v>
      </x:c>
      <x:c r="H107" s="438"/>
      <x:c r="I107" s="438"/>
      <x:c r="J107" s="438"/>
      <x:c r="K107" s="440"/>
      <x:c r="L107" s="21"/>
    </x:row>
    <x:row r="108" ht="14.399999618530273" customHeight="1">
      <x:c r="C108" s="441"/>
      <x:c r="D108" s="453" t="n">
        <x:f>+D$12</x:f>
        <x:v>44561</x:v>
      </x:c>
      <x:c r="E108" s="453" t="n">
        <x:f t="shared" ref="E108:K108" si="58">+E$12</x:f>
        <x:v>44926</x:v>
      </x:c>
      <x:c r="F108" s="453">
        <x:f t="shared" si="58"/>
        <x:v>45291</x:v>
      </x:c>
      <x:c r="G108" s="456">
        <x:f t="shared" si="58"/>
        <x:v>45657</x:v>
      </x:c>
      <x:c r="H108" s="456">
        <x:f t="shared" si="58"/>
        <x:v>46022</x:v>
      </x:c>
      <x:c r="I108" s="456">
        <x:f t="shared" si="58"/>
        <x:v>46387</x:v>
      </x:c>
      <x:c r="J108" s="456">
        <x:f t="shared" si="58"/>
        <x:v>46752</x:v>
      </x:c>
      <x:c r="K108" s="865">
        <x:f t="shared" si="58"/>
        <x:v>47118</x:v>
      </x:c>
      <x:c r="L108" s="21"/>
    </x:row>
    <x:row r="109" ht="14.399999618530273" customHeight="1">
      <x:c r="C109" s="443"/>
      <x:c r="D109" s="424"/>
      <x:c r="E109" s="424"/>
      <x:c r="F109" s="424"/>
      <x:c r="G109" s="424"/>
      <x:c r="H109" s="424"/>
      <x:c r="I109" s="424"/>
      <x:c r="J109" s="424"/>
      <x:c r="K109" s="425"/>
      <x:c r="L109" s="21"/>
    </x:row>
    <x:row r="110" ht="14.399999618530273" customHeight="1">
      <x:c r="C110" s="443" t="s">
        <x:v>111</x:v>
      </x:c>
      <x:c r="D110" s="424"/>
      <x:c r="E110" s="424"/>
      <x:c r="F110" s="581"/>
      <x:c r="G110" s="536"/>
      <x:c r="H110" s="424"/>
      <x:c r="I110" s="424"/>
      <x:c r="J110" s="424"/>
      <x:c r="K110" s="425"/>
      <x:c r="L110" s="21"/>
    </x:row>
    <x:row r="111" ht="14.399999618530273" customHeight="1">
      <x:c r="C111" s="426" t="s">
        <x:v>112</x:v>
      </x:c>
      <x:c r="D111" s="582"/>
      <x:c r="E111" s="551" t="n">
        <x:f>+D113</x:f>
        <x:v>668419</x:v>
      </x:c>
      <x:c r="F111" s="551" t="n">
        <x:f>+E113</x:f>
        <x:v>836071</x:v>
      </x:c>
      <x:c r="G111" s="482" t="n">
        <x:f>+F113</x:f>
        <x:v>799009</x:v>
      </x:c>
      <x:c r="H111" s="482" t="n">
        <x:f t="shared" ref="H111:K111" si="59">+G113</x:f>
        <x:v>828732.8345474654</x:v>
      </x:c>
      <x:c r="I111" s="482">
        <x:f t="shared" si="59"/>
        <x:v>853050.88810528093</x:v>
      </x:c>
      <x:c r="J111" s="482">
        <x:f t="shared" si="59"/>
        <x:v>880733.35390770982</x:v>
      </x:c>
      <x:c r="K111" s="623">
        <x:f t="shared" si="59"/>
        <x:v>915149.67663752718</x:v>
      </x:c>
      <x:c r="L111" s="21"/>
    </x:row>
    <x:row r="112" ht="14.399999618530273" customHeight="1">
      <x:c r="C112" s="426" t="s">
        <x:v>113</x:v>
      </x:c>
      <x:c r="D112" s="582"/>
      <x:c r="E112" s="551" t="n">
        <x:f>+E113-E111</x:f>
        <x:v>167652</x:v>
      </x:c>
      <x:c r="F112" s="551" t="n">
        <x:f>+F113-F111</x:f>
        <x:v>-37062</x:v>
      </x:c>
      <x:c r="G112" s="482" t="n">
        <x:f t="shared" ref="G112:K112" si="60">+G113-G111</x:f>
        <x:v>29723.834547465434</x:v>
      </x:c>
      <x:c r="H112" s="482">
        <x:f t="shared" si="60"/>
        <x:v>24318.053557815496</x:v>
      </x:c>
      <x:c r="I112" s="482">
        <x:f t="shared" si="60"/>
        <x:v>27682.465802428895</x:v>
      </x:c>
      <x:c r="J112" s="482">
        <x:f t="shared" si="60"/>
        <x:v>34416.322729817359</x:v>
      </x:c>
      <x:c r="K112" s="623">
        <x:f t="shared" si="60"/>
        <x:v>39390.831089456915</x:v>
      </x:c>
      <x:c r="L112" s="21"/>
    </x:row>
    <x:row r="113" ht="14.399999618530273" customHeight="1">
      <x:c r="C113" s="472" t="s">
        <x:v>114</x:v>
      </x:c>
      <x:c r="D113" s="552" t="n">
        <x:f>+D47</x:f>
        <x:v>668419</x:v>
      </x:c>
      <x:c r="E113" s="552" t="n">
        <x:f>+E47</x:f>
        <x:v>836071</x:v>
      </x:c>
      <x:c r="F113" s="552" t="n">
        <x:f>+F47</x:f>
        <x:v>799009</x:v>
      </x:c>
      <x:c r="G113" s="481" t="n">
        <x:f>+IF($E$115=1,F113*(1+G117),IF($E$115=2,G119*G118/365,"NA"))</x:f>
        <x:v>828732.8345474654</x:v>
      </x:c>
      <x:c r="H113" s="481" t="n">
        <x:f t="shared" ref="H113:K113" si="61">+IF($E$115=1,G113*(1+H117),IF($E$115=2,H119*H118/365,"NA"))</x:f>
        <x:v>853050.8881052809</x:v>
      </x:c>
      <x:c r="I113" s="481">
        <x:f t="shared" si="61"/>
        <x:v>880733.35390770982</x:v>
      </x:c>
      <x:c r="J113" s="481">
        <x:f t="shared" si="61"/>
        <x:v>915149.67663752718</x:v>
      </x:c>
      <x:c r="K113" s="866">
        <x:f t="shared" si="61"/>
        <x:v>954540.5077269841</x:v>
      </x:c>
      <x:c r="L113" s="21"/>
    </x:row>
    <x:row r="114" ht="14.399999618530273" customHeight="1">
      <x:c r="C114" s="443"/>
      <x:c r="D114" s="424"/>
      <x:c r="E114" s="424"/>
      <x:c r="F114" s="581"/>
      <x:c r="G114" s="424"/>
      <x:c r="H114" s="424"/>
      <x:c r="I114" s="424"/>
      <x:c r="J114" s="424"/>
      <x:c r="K114" s="425"/>
      <x:c r="L114" s="21"/>
    </x:row>
    <x:row r="115" ht="14.399999618530273" customHeight="1">
      <x:c r="C115" s="426" t="s">
        <x:v>115</x:v>
      </x:c>
      <x:c r="D115" s="424"/>
      <x:c r="E115" s="600">
        <x:v>1</x:v>
      </x:c>
      <x:c r="F115" s="581"/>
      <x:c r="G115" s="424"/>
      <x:c r="H115" s="424"/>
      <x:c r="I115" s="424"/>
      <x:c r="J115" s="424"/>
      <x:c r="K115" s="425"/>
      <x:c r="L115" s="21"/>
    </x:row>
    <x:row r="116" ht="14.399999618530273" customHeight="1">
      <x:c r="C116" s="426"/>
      <x:c r="D116" s="424"/>
      <x:c r="E116" s="424"/>
      <x:c r="F116" s="581"/>
      <x:c r="G116" s="424"/>
      <x:c r="H116" s="424"/>
      <x:c r="I116" s="424"/>
      <x:c r="J116" s="424"/>
      <x:c r="K116" s="425"/>
      <x:c r="L116" s="21"/>
    </x:row>
    <x:row r="117" ht="14.399999618530273" customHeight="1">
      <x:c r="C117" s="426" t="s">
        <x:v>116</x:v>
      </x:c>
      <x:c r="D117" s="464"/>
      <x:c r="E117" s="601" t="n">
        <x:f t="shared" ref="E117:K117" si="62">+E34</x:f>
        <x:v>0.4367316685440652</x:v>
      </x:c>
      <x:c r="F117" s="601">
        <x:f t="shared" si="62"/>
        <x:v>3.7125075667672425E-2</x:v>
      </x:c>
      <x:c r="G117" s="483">
        <x:f t="shared" si="62"/>
        <x:v>3.7200875769190844E-2</x:v>
      </x:c>
      <x:c r="H117" s="483">
        <x:f t="shared" si="62"/>
        <x:v>2.9343658829560582E-2</x:v>
      </x:c>
      <x:c r="I117" s="483">
        <x:f t="shared" si="62"/>
        <x:v>3.2451130628226244E-2</x:v>
      </x:c>
      <x:c r="J117" s="483">
        <x:f t="shared" si="62"/>
        <x:v>3.9076892656689122E-2</x:v>
      </x:c>
      <x:c r="K117" s="869">
        <x:f t="shared" si="62"/>
        <x:v>4.3043047596528661E-2</x:v>
      </x:c>
      <x:c r="L117" s="21"/>
    </x:row>
    <x:row r="118" ht="14.399999618530273" customHeight="1">
      <x:c r="C118" s="426" t="s">
        <x:v>117</x:v>
      </x:c>
      <x:c r="D118" s="602" t="n">
        <x:f>+D113*365/D119</x:f>
        <x:v>69.98234327451009</x:v>
      </x:c>
      <x:c r="E118" s="602" t="n">
        <x:f t="shared" ref="E118:F118" si="63">+E113*365/E119</x:f>
        <x:v>60.92663450158363</x:v>
      </x:c>
      <x:c r="F118" s="602">
        <x:f t="shared" si="63"/>
        <x:v>56.141571572839517</x:v>
      </x:c>
      <x:c r="G118" s="604" t="n">
        <x:f>+'Revenue Build &amp; Growth Drivers'!G49</x:f>
        <x:v>55</x:v>
      </x:c>
      <x:c r="H118" s="604" t="n">
        <x:f>+'Revenue Build &amp; Growth Drivers'!H49</x:f>
        <x:v>55</x:v>
      </x:c>
      <x:c r="I118" s="604" t="n">
        <x:f>+'Revenue Build &amp; Growth Drivers'!I49</x:f>
        <x:v>55</x:v>
      </x:c>
      <x:c r="J118" s="604" t="n">
        <x:f>+'Revenue Build &amp; Growth Drivers'!J49</x:f>
        <x:v>55</x:v>
      </x:c>
      <x:c r="K118" s="870" t="n">
        <x:f>+'Revenue Build &amp; Growth Drivers'!K49</x:f>
        <x:v>55</x:v>
      </x:c>
      <x:c r="L118" s="21"/>
      <x:c r="O118" s="380"/>
    </x:row>
    <x:row r="119" ht="14.399999618530273" customHeight="1">
      <x:c r="C119" s="426" t="s">
        <x:v>118</x:v>
      </x:c>
      <x:c r="D119" s="551" t="n">
        <x:f t="shared" ref="D119:K119" si="64">+D14</x:f>
        <x:v>3486207</x:v>
      </x:c>
      <x:c r="E119" s="551">
        <x:f t="shared" si="64"/>
        <x:v>5008744</x:v>
      </x:c>
      <x:c r="F119" s="551">
        <x:f t="shared" si="64"/>
        <x:v>5194694</x:v>
      </x:c>
      <x:c r="G119" s="482">
        <x:f t="shared" si="64"/>
        <x:v>5387941.1661529606</x:v>
      </x:c>
      <x:c r="H119" s="482">
        <x:f t="shared" si="64"/>
        <x:v>5546043.0735262977</x:v>
      </x:c>
      <x:c r="I119" s="482">
        <x:f t="shared" si="64"/>
        <x:v>5726018.4417750686</x:v>
      </x:c>
      <x:c r="J119" s="482">
        <x:f t="shared" si="64"/>
        <x:v>5949773.4497745354</x:v>
      </x:c>
      <x:c r="K119" s="623">
        <x:f t="shared" si="64"/>
        <x:v>6205869.8315617433</x:v>
      </x:c>
      <x:c r="L119" s="21"/>
    </x:row>
    <x:row r="120" ht="14.399999618530273" customHeight="1">
      <x:c r="C120" s="426"/>
      <x:c r="D120" s="536"/>
      <x:c r="E120" s="536"/>
      <x:c r="F120" s="589"/>
      <x:c r="G120" s="536"/>
      <x:c r="H120" s="536"/>
      <x:c r="I120" s="536"/>
      <x:c r="J120" s="536"/>
      <x:c r="K120" s="560"/>
      <x:c r="L120" s="21"/>
    </x:row>
    <x:row r="121" ht="14.399999618530273" customHeight="1">
      <x:c r="C121" s="426" t="s">
        <x:v>68</x:v>
      </x:c>
      <x:c r="D121" s="424"/>
      <x:c r="E121" s="424"/>
      <x:c r="F121" s="581"/>
      <x:c r="G121" s="424"/>
      <x:c r="H121" s="424"/>
      <x:c r="I121" s="424"/>
      <x:c r="J121" s="424"/>
      <x:c r="K121" s="425"/>
      <x:c r="L121" s="21"/>
    </x:row>
    <x:row r="122" ht="14.399999618530273" customHeight="1">
      <x:c r="C122" s="426" t="s">
        <x:v>112</x:v>
      </x:c>
      <x:c r="D122" s="582"/>
      <x:c r="E122" s="551" t="n">
        <x:f>+D124</x:f>
        <x:v>352801</x:v>
      </x:c>
      <x:c r="F122" s="551" t="n">
        <x:f t="shared" ref="F122:K122" si="65">+E124</x:f>
        <x:v>438644</x:v>
      </x:c>
      <x:c r="G122" s="482">
        <x:f t="shared" si="65"/>
        <x:v>364731</x:v>
      </x:c>
      <x:c r="H122" s="482">
        <x:f t="shared" si="65"/>
        <x:v>377610.83428039344</x:v>
      </x:c>
      <x:c r="I122" s="482">
        <x:f t="shared" si="65"/>
        <x:v>385874.71401989303</x:v>
      </x:c>
      <x:c r="J122" s="482">
        <x:f t="shared" si="65"/>
        <x:v>397233.58247938071</x:v>
      </x:c>
      <x:c r="K122" s="623">
        <x:f t="shared" si="65"/>
        <x:v>411547.57991918316</x:v>
      </x:c>
      <x:c r="L122" s="21"/>
    </x:row>
    <x:row r="123" ht="14.399999618530273" customHeight="1">
      <x:c r="C123" s="426" t="s">
        <x:v>113</x:v>
      </x:c>
      <x:c r="D123" s="582"/>
      <x:c r="E123" s="551" t="n">
        <x:f>+E124-E122</x:f>
        <x:v>85843</x:v>
      </x:c>
      <x:c r="F123" s="551" t="n">
        <x:f t="shared" ref="F123:K123" si="66">+F124-F122</x:f>
        <x:v>-73913</x:v>
      </x:c>
      <x:c r="G123" s="482">
        <x:f t="shared" si="66"/>
        <x:v>12879.834280393436</x:v>
      </x:c>
      <x:c r="H123" s="482">
        <x:f t="shared" si="66"/>
        <x:v>8263.8797394995927</x:v>
      </x:c>
      <x:c r="I123" s="482">
        <x:f t="shared" si="66"/>
        <x:v>11358.868459487683</x:v>
      </x:c>
      <x:c r="J123" s="482">
        <x:f t="shared" si="66"/>
        <x:v>14313.99743980245</x:v>
      </x:c>
      <x:c r="K123" s="623">
        <x:f t="shared" si="66"/>
        <x:v>16453.581183796341</x:v>
      </x:c>
      <x:c r="L123" s="21"/>
    </x:row>
    <x:row r="124" ht="14.399999618530273" customHeight="1">
      <x:c r="C124" s="472" t="s">
        <x:v>114</x:v>
      </x:c>
      <x:c r="D124" s="552" t="n">
        <x:f>+D48</x:f>
        <x:v>352801</x:v>
      </x:c>
      <x:c r="E124" s="552" t="n">
        <x:f>+E48</x:f>
        <x:v>438644</x:v>
      </x:c>
      <x:c r="F124" s="552" t="n">
        <x:f>+F48</x:f>
        <x:v>364731</x:v>
      </x:c>
      <x:c r="G124" s="481" t="n">
        <x:f>+IF($E$126=1,F124*(1+G128),IF($E$126=2,G130/G129,"NA"))</x:f>
        <x:v>377610.83428039344</x:v>
      </x:c>
      <x:c r="H124" s="481" t="n">
        <x:f t="shared" ref="H124:K124" si="67">+IF($E$126=1,G124*(1+H128),IF($E$126=2,H130/H129,"NA"))</x:f>
        <x:v>385874.714019893</x:v>
      </x:c>
      <x:c r="I124" s="481">
        <x:f t="shared" si="67"/>
        <x:v>397233.58247938071</x:v>
      </x:c>
      <x:c r="J124" s="481">
        <x:f t="shared" si="67"/>
        <x:v>411547.57991918316</x:v>
      </x:c>
      <x:c r="K124" s="866">
        <x:f t="shared" si="67"/>
        <x:v>428001.1611029795</x:v>
      </x:c>
      <x:c r="L124" s="21"/>
    </x:row>
    <x:row r="125" ht="14.399999618530273" customHeight="1">
      <x:c r="C125" s="443"/>
      <x:c r="D125" s="424"/>
      <x:c r="E125" s="424"/>
      <x:c r="F125" s="581"/>
      <x:c r="G125" s="424"/>
      <x:c r="H125" s="424"/>
      <x:c r="I125" s="424"/>
      <x:c r="J125" s="424"/>
      <x:c r="K125" s="425"/>
      <x:c r="L125" s="21"/>
    </x:row>
    <x:row r="126" ht="14.399999618530273" customHeight="1">
      <x:c r="C126" s="426" t="s">
        <x:v>119</x:v>
      </x:c>
      <x:c r="D126" s="424"/>
      <x:c r="E126" s="600">
        <x:v>1</x:v>
      </x:c>
      <x:c r="F126" s="581"/>
      <x:c r="G126" s="424"/>
      <x:c r="H126" s="424"/>
      <x:c r="I126" s="424"/>
      <x:c r="J126" s="424"/>
      <x:c r="K126" s="425"/>
      <x:c r="L126" s="21"/>
    </x:row>
    <x:row r="127" ht="14.399999618530273" customHeight="1">
      <x:c r="C127" s="426"/>
      <x:c r="D127" s="424"/>
      <x:c r="E127" s="424"/>
      <x:c r="F127" s="581"/>
      <x:c r="G127" s="424"/>
      <x:c r="H127" s="424"/>
      <x:c r="I127" s="424"/>
      <x:c r="J127" s="424"/>
      <x:c r="K127" s="425"/>
      <x:c r="L127" s="21"/>
    </x:row>
    <x:row r="128" ht="14.399999618530273" customHeight="1">
      <x:c r="C128" s="426" t="s">
        <x:v>120</x:v>
      </x:c>
      <x:c r="D128" s="464"/>
      <x:c r="E128" s="480" t="n">
        <x:f>+E130/D130-1</x:f>
        <x:v>0.40218160710688444</x:v>
      </x:c>
      <x:c r="F128" s="480" t="n">
        <x:f t="shared" ref="F128:K128" si="68">+F130/E130-1</x:f>
        <x:v>0.019548129272222603</x:v>
      </x:c>
      <x:c r="G128" s="558">
        <x:f t="shared" si="68"/>
        <x:v>3.5313242582597715E-2</x:v>
      </x:c>
      <x:c r="H128" s="558">
        <x:f t="shared" si="68"/>
        <x:v>2.1884646809056552E-2</x:v>
      </x:c>
      <x:c r="I128" s="558">
        <x:f t="shared" si="68"/>
        <x:v>2.9436674772377325E-2</x:v>
      </x:c>
      <x:c r="J128" s="558">
        <x:f t="shared" si="68"/>
        <x:v>3.6034207758719461E-2</x:v>
      </x:c>
      <x:c r="K128" s="871">
        <x:f t="shared" si="68"/>
        <x:v>3.9979778734277494E-2</x:v>
      </x:c>
      <x:c r="L128" s="21"/>
    </x:row>
    <x:row r="129" ht="14.399999618530273" customHeight="1">
      <x:c r="C129" s="426" t="s">
        <x:v>121</x:v>
      </x:c>
      <x:c r="D129" s="593"/>
      <x:c r="E129" s="603" t="n">
        <x:f>+E130/E124</x:f>
        <x:v>8.029347261104677</x:v>
      </x:c>
      <x:c r="F129" s="603" t="n">
        <x:f t="shared" ref="F129" si="69">+F130/F124</x:f>
        <x:v>9.845266785658472</x:v>
      </x:c>
      <x:c r="G129" s="605" t="n">
        <x:f>'Revenue Build &amp; Growth Drivers'!G50</x:f>
        <x:v>10</x:v>
      </x:c>
      <x:c r="H129" s="605" t="n">
        <x:f>'Revenue Build &amp; Growth Drivers'!H50</x:f>
        <x:v>10</x:v>
      </x:c>
      <x:c r="I129" s="605" t="n">
        <x:f>'Revenue Build &amp; Growth Drivers'!I50</x:f>
        <x:v>10</x:v>
      </x:c>
      <x:c r="J129" s="605" t="n">
        <x:f>'Revenue Build &amp; Growth Drivers'!J50</x:f>
        <x:v>10</x:v>
      </x:c>
      <x:c r="K129" s="872" t="n">
        <x:f>'Revenue Build &amp; Growth Drivers'!K50</x:f>
        <x:v>10</x:v>
      </x:c>
      <x:c r="L129" s="21"/>
      <x:c r="O129" s="380"/>
    </x:row>
    <x:row r="130" ht="14.399999618530273" customHeight="1">
      <x:c r="C130" s="426" t="s">
        <x:v>122</x:v>
      </x:c>
      <x:c r="D130" s="551" t="n">
        <x:f t="shared" ref="D130:K130" si="70">+D15</x:f>
        <x:v>2511818</x:v>
      </x:c>
      <x:c r="E130" s="551">
        <x:f t="shared" si="70"/>
        <x:v>3522025</x:v>
      </x:c>
      <x:c r="F130" s="551">
        <x:f t="shared" si="70"/>
        <x:v>3590874</x:v>
      </x:c>
      <x:c r="G130" s="482">
        <x:f t="shared" si="70"/>
        <x:v>3717679.4046455426</x:v>
      </x:c>
      <x:c r="H130" s="482">
        <x:f t="shared" si="70"/>
        <x:v>3799039.5053655142</x:v>
      </x:c>
      <x:c r="I130" s="482">
        <x:f t="shared" si="70"/>
        <x:v>3910870.5957323718</x:v>
      </x:c>
      <x:c r="J130" s="482">
        <x:f t="shared" si="70"/>
        <x:v>4051795.7192964586</x:v>
      </x:c>
      <x:c r="K130" s="623">
        <x:f t="shared" si="70"/>
        <x:v>4213785.6156304237</x:v>
      </x:c>
      <x:c r="L130" s="21"/>
    </x:row>
    <x:row r="131" ht="14.399999618530273" customHeight="1">
      <x:c r="C131" s="426"/>
      <x:c r="D131" s="536"/>
      <x:c r="E131" s="536"/>
      <x:c r="F131" s="589"/>
      <x:c r="G131" s="536"/>
      <x:c r="H131" s="536"/>
      <x:c r="I131" s="536"/>
      <x:c r="J131" s="536"/>
      <x:c r="K131" s="560"/>
      <x:c r="L131" s="21"/>
    </x:row>
    <x:row r="132" ht="14.399999618530273" customHeight="1">
      <x:c r="C132" s="598" t="s">
        <x:v>123</x:v>
      </x:c>
      <x:c r="D132" s="577" t="n">
        <x:f>+D113+D124</x:f>
        <x:v>1021220</x:v>
      </x:c>
      <x:c r="E132" s="577" t="n">
        <x:f t="shared" ref="E132:K132" si="71">+E113+E124</x:f>
        <x:v>1274715</x:v>
      </x:c>
      <x:c r="F132" s="577">
        <x:f t="shared" si="71"/>
        <x:v>1163740</x:v>
      </x:c>
      <x:c r="G132" s="577">
        <x:f t="shared" si="71"/>
        <x:v>1206343.6688278588</x:v>
      </x:c>
      <x:c r="H132" s="577">
        <x:f t="shared" si="71"/>
        <x:v>1238925.6021251739</x:v>
      </x:c>
      <x:c r="I132" s="577">
        <x:f t="shared" si="71"/>
        <x:v>1277966.9363870905</x:v>
      </x:c>
      <x:c r="J132" s="577">
        <x:f t="shared" si="71"/>
        <x:v>1326697.2565567102</x:v>
      </x:c>
      <x:c r="K132" s="579">
        <x:f t="shared" si="71"/>
        <x:v>1382541.6688299635</x:v>
      </x:c>
      <x:c r="L132" s="21"/>
    </x:row>
    <x:row r="133" ht="14.399999618530273" customHeight="1">
      <x:c r="D133" s="19"/>
      <x:c r="L133" s="21"/>
    </x:row>
    <x:row r="134" ht="14.399999618530273" customHeight="1">
      <x:c r="C134" s="436" t="s">
        <x:v>124</x:v>
      </x:c>
      <x:c r="D134" s="437" t="s">
        <x:v>9</x:v>
      </x:c>
      <x:c r="E134" s="438"/>
      <x:c r="F134" s="439"/>
      <x:c r="G134" s="437" t="s">
        <x:v>10</x:v>
      </x:c>
      <x:c r="H134" s="438"/>
      <x:c r="I134" s="438"/>
      <x:c r="J134" s="438"/>
      <x:c r="K134" s="440"/>
      <x:c r="L134" s="21"/>
    </x:row>
    <x:row r="135" ht="14.399999618530273" customHeight="1">
      <x:c r="C135" s="441"/>
      <x:c r="D135" s="453" t="n">
        <x:f>+D$12</x:f>
        <x:v>44561</x:v>
      </x:c>
      <x:c r="E135" s="453" t="n">
        <x:f t="shared" ref="E135:K135" si="72">+E$12</x:f>
        <x:v>44926</x:v>
      </x:c>
      <x:c r="F135" s="453">
        <x:f t="shared" si="72"/>
        <x:v>45291</x:v>
      </x:c>
      <x:c r="G135" s="456">
        <x:f t="shared" si="72"/>
        <x:v>45657</x:v>
      </x:c>
      <x:c r="H135" s="456">
        <x:f t="shared" si="72"/>
        <x:v>46022</x:v>
      </x:c>
      <x:c r="I135" s="456">
        <x:f t="shared" si="72"/>
        <x:v>46387</x:v>
      </x:c>
      <x:c r="J135" s="456">
        <x:f t="shared" si="72"/>
        <x:v>46752</x:v>
      </x:c>
      <x:c r="K135" s="865">
        <x:f t="shared" si="72"/>
        <x:v>47118</x:v>
      </x:c>
      <x:c r="L135" s="21"/>
    </x:row>
    <x:row r="136" ht="14.399999618530273" customHeight="1">
      <x:c r="C136" s="443"/>
      <x:c r="D136" s="424"/>
      <x:c r="E136" s="424"/>
      <x:c r="F136" s="424"/>
      <x:c r="G136" s="424"/>
      <x:c r="H136" s="424"/>
      <x:c r="I136" s="424"/>
      <x:c r="J136" s="424"/>
      <x:c r="K136" s="425"/>
      <x:c r="L136" s="21"/>
    </x:row>
    <x:row r="137" ht="14.399999618530273" customHeight="1">
      <x:c r="C137" s="443" t="s">
        <x:v>78</x:v>
      </x:c>
      <x:c r="D137" s="424"/>
      <x:c r="E137" s="424"/>
      <x:c r="F137" s="581"/>
      <x:c r="G137" s="536"/>
      <x:c r="H137" s="424"/>
      <x:c r="I137" s="424"/>
      <x:c r="J137" s="424"/>
      <x:c r="K137" s="425"/>
      <x:c r="L137" s="21"/>
    </x:row>
    <x:row r="138" ht="14.399999618530273" customHeight="1">
      <x:c r="C138" s="426" t="s">
        <x:v>112</x:v>
      </x:c>
      <x:c r="D138" s="582"/>
      <x:c r="E138" s="551" t="n">
        <x:f>+D140</x:f>
        <x:v>461917</x:v>
      </x:c>
      <x:c r="F138" s="551" t="n">
        <x:f>+E140</x:f>
        <x:v>487114</x:v>
      </x:c>
      <x:c r="G138" s="482" t="n">
        <x:f>+F140</x:f>
        <x:v>469585</x:v>
      </x:c>
      <x:c r="H138" s="482" t="n">
        <x:f t="shared" ref="H138" si="73">+G140</x:f>
        <x:v>486167.56901814917</x:v>
      </x:c>
      <x:c r="I138" s="482" t="n">
        <x:f t="shared" ref="I138" si="74">+H140</x:f>
        <x:v>496807.174556129</x:v>
      </x:c>
      <x:c r="J138" s="482" t="n">
        <x:f t="shared" ref="J138" si="75">+I140</x:f>
        <x:v>511431.52577812143</x:v>
      </x:c>
      <x:c r="K138" s="623" t="n">
        <x:f t="shared" ref="K138" si="76">+J140</x:f>
        <x:v>529860.5556323691</x:v>
      </x:c>
      <x:c r="L138" s="21"/>
    </x:row>
    <x:row r="139" ht="14.399999618530273" customHeight="1">
      <x:c r="C139" s="426" t="s">
        <x:v>113</x:v>
      </x:c>
      <x:c r="D139" s="582"/>
      <x:c r="E139" s="551" t="n">
        <x:f>+E140-E138</x:f>
        <x:v>25197</x:v>
      </x:c>
      <x:c r="F139" s="551" t="n">
        <x:f>+F140-F138</x:f>
        <x:v>-17529</x:v>
      </x:c>
      <x:c r="G139" s="482" t="n">
        <x:f t="shared" ref="G139:K139" si="77">+G140-G138</x:f>
        <x:v>16582.569018149166</x:v>
      </x:c>
      <x:c r="H139" s="482">
        <x:f t="shared" si="77"/>
        <x:v>10639.605537979805</x:v>
      </x:c>
      <x:c r="I139" s="482">
        <x:f t="shared" si="77"/>
        <x:v>14624.35122199246</x:v>
      </x:c>
      <x:c r="J139" s="482">
        <x:f t="shared" si="77"/>
        <x:v>18429.029854247696</x:v>
      </x:c>
      <x:c r="K139" s="623">
        <x:f t="shared" si="77"/>
        <x:v>21183.707774203504</x:v>
      </x:c>
      <x:c r="L139" s="21"/>
    </x:row>
    <x:row r="140" ht="14.399999618530273" customHeight="1">
      <x:c r="C140" s="472" t="s">
        <x:v>114</x:v>
      </x:c>
      <x:c r="D140" s="552" t="n">
        <x:f>+D59</x:f>
        <x:v>461917</x:v>
      </x:c>
      <x:c r="E140" s="552" t="n">
        <x:f t="shared" ref="E140:F140" si="78">+E59</x:f>
        <x:v>487114</x:v>
      </x:c>
      <x:c r="F140" s="552">
        <x:f t="shared" si="78"/>
        <x:v>469585</x:v>
      </x:c>
      <x:c r="G140" s="481" t="n">
        <x:f>+IF($E$142=1,F140*(1+G144),IF($E$142=2,G146*G145/365,"NA"))</x:f>
        <x:v>486167.56901814917</x:v>
      </x:c>
      <x:c r="H140" s="481" t="n">
        <x:f t="shared" ref="H140:K140" si="79">+IF($E$142=1,G140*(1+H144),IF($E$142=2,H146*H145/365,"NA"))</x:f>
        <x:v>496807.174556129</x:v>
      </x:c>
      <x:c r="I140" s="481">
        <x:f t="shared" si="79"/>
        <x:v>511431.52577812143</x:v>
      </x:c>
      <x:c r="J140" s="481">
        <x:f t="shared" si="79"/>
        <x:v>529860.55563236913</x:v>
      </x:c>
      <x:c r="K140" s="866">
        <x:f t="shared" si="79"/>
        <x:v>551044.26340657263</x:v>
      </x:c>
      <x:c r="L140" s="21"/>
    </x:row>
    <x:row r="141" ht="14.399999618530273" customHeight="1">
      <x:c r="C141" s="443"/>
      <x:c r="D141" s="424"/>
      <x:c r="E141" s="424"/>
      <x:c r="F141" s="581"/>
      <x:c r="G141" s="424"/>
      <x:c r="H141" s="424"/>
      <x:c r="I141" s="424"/>
      <x:c r="J141" s="424"/>
      <x:c r="K141" s="425"/>
      <x:c r="L141" s="21"/>
    </x:row>
    <x:row r="142" ht="14.399999618530273" customHeight="1">
      <x:c r="C142" s="426" t="s">
        <x:v>125</x:v>
      </x:c>
      <x:c r="D142" s="424"/>
      <x:c r="E142" s="600">
        <x:v>1</x:v>
      </x:c>
      <x:c r="F142" s="581"/>
      <x:c r="G142" s="424"/>
      <x:c r="H142" s="424"/>
      <x:c r="I142" s="424"/>
      <x:c r="J142" s="424"/>
      <x:c r="K142" s="425"/>
      <x:c r="L142" s="21"/>
    </x:row>
    <x:row r="143" ht="14.399999618530273" customHeight="1">
      <x:c r="C143" s="426"/>
      <x:c r="D143" s="424"/>
      <x:c r="E143" s="424"/>
      <x:c r="F143" s="581"/>
      <x:c r="G143" s="424"/>
      <x:c r="H143" s="424"/>
      <x:c r="I143" s="424"/>
      <x:c r="J143" s="424"/>
      <x:c r="K143" s="425"/>
      <x:c r="L143" s="21"/>
    </x:row>
    <x:row r="144" ht="14.399999618530273" customHeight="1">
      <x:c r="C144" s="426" t="s">
        <x:v>120</x:v>
      </x:c>
      <x:c r="D144" s="464"/>
      <x:c r="E144" s="601" t="n">
        <x:f>+E146/D146-1</x:f>
        <x:v>0.40218160710688444</x:v>
      </x:c>
      <x:c r="F144" s="601" t="n">
        <x:f t="shared" ref="F144:K144" si="80">+F146/E146-1</x:f>
        <x:v>0.019548129272222603</x:v>
      </x:c>
      <x:c r="G144" s="483">
        <x:f t="shared" si="80"/>
        <x:v>3.5313242582597715E-2</x:v>
      </x:c>
      <x:c r="H144" s="483">
        <x:f t="shared" si="80"/>
        <x:v>2.1884646809056552E-2</x:v>
      </x:c>
      <x:c r="I144" s="483">
        <x:f t="shared" si="80"/>
        <x:v>2.9436674772377325E-2</x:v>
      </x:c>
      <x:c r="J144" s="483">
        <x:f t="shared" si="80"/>
        <x:v>3.6034207758719461E-2</x:v>
      </x:c>
      <x:c r="K144" s="869">
        <x:f t="shared" si="80"/>
        <x:v>3.9979778734277494E-2</x:v>
      </x:c>
      <x:c r="L144" s="21"/>
    </x:row>
    <x:row r="145" ht="14.399999618530273" customHeight="1">
      <x:c r="C145" s="426" t="s">
        <x:v>126</x:v>
      </x:c>
      <x:c r="D145" s="602" t="n">
        <x:f>+D140*365/D146</x:f>
        <x:v>67.12258013916613</x:v>
      </x:c>
      <x:c r="E145" s="602" t="n">
        <x:f t="shared" ref="E145:F145" si="81">+E140*365/E146</x:f>
        <x:v>50.48135944520553</x:v>
      </x:c>
      <x:c r="F145" s="602">
        <x:f t="shared" si="81"/>
        <x:v>47.731701251561596</x:v>
      </x:c>
      <x:c r="G145" s="604" t="n">
        <x:f>'Revenue Build &amp; Growth Drivers'!G51</x:f>
        <x:v>50</x:v>
      </x:c>
      <x:c r="H145" s="604" t="n">
        <x:f>'Revenue Build &amp; Growth Drivers'!H51</x:f>
        <x:v>50</x:v>
      </x:c>
      <x:c r="I145" s="604" t="n">
        <x:f>'Revenue Build &amp; Growth Drivers'!I51</x:f>
        <x:v>50</x:v>
      </x:c>
      <x:c r="J145" s="604" t="n">
        <x:f>'Revenue Build &amp; Growth Drivers'!J51</x:f>
        <x:v>50</x:v>
      </x:c>
      <x:c r="K145" s="870" t="n">
        <x:f>'Revenue Build &amp; Growth Drivers'!K51</x:f>
        <x:v>50</x:v>
      </x:c>
      <x:c r="L145" s="21"/>
      <x:c r="O145" s="380"/>
    </x:row>
    <x:row r="146" ht="14.399999618530273" customHeight="1">
      <x:c r="C146" s="432" t="s">
        <x:v>122</x:v>
      </x:c>
      <x:c r="D146" s="566" t="n">
        <x:f>+D15</x:f>
        <x:v>2511818</x:v>
      </x:c>
      <x:c r="E146" s="566" t="n">
        <x:f t="shared" ref="E146:K146" si="82">+E15</x:f>
        <x:v>3522025</x:v>
      </x:c>
      <x:c r="F146" s="566">
        <x:f t="shared" si="82"/>
        <x:v>3590874</x:v>
      </x:c>
      <x:c r="G146" s="566">
        <x:f t="shared" si="82"/>
        <x:v>3717679.4046455426</x:v>
      </x:c>
      <x:c r="H146" s="566">
        <x:f t="shared" si="82"/>
        <x:v>3799039.5053655142</x:v>
      </x:c>
      <x:c r="I146" s="566">
        <x:f t="shared" si="82"/>
        <x:v>3910870.5957323718</x:v>
      </x:c>
      <x:c r="J146" s="566">
        <x:f t="shared" si="82"/>
        <x:v>4051795.7192964586</x:v>
      </x:c>
      <x:c r="K146" s="607">
        <x:f t="shared" si="82"/>
        <x:v>4213785.6156304237</x:v>
      </x:c>
      <x:c r="L146" s="21"/>
    </x:row>
    <x:row r="147" ht="14.399999618530273" customHeight="1">
      <x:c r="C147" s="6"/>
      <x:c r="D147" s="14"/>
      <x:c r="E147" s="14"/>
      <x:c r="F147" s="363"/>
      <x:c r="G147" s="14"/>
      <x:c r="H147" s="14"/>
      <x:c r="I147" s="14"/>
      <x:c r="J147" s="14"/>
      <x:c r="K147" s="14"/>
      <x:c r="L147" s="21"/>
    </x:row>
    <x:row r="148" ht="14.399999618530273" customHeight="1">
      <x:c r="C148" s="436" t="s">
        <x:v>127</x:v>
      </x:c>
      <x:c r="D148" s="437" t="s">
        <x:v>9</x:v>
      </x:c>
      <x:c r="E148" s="438"/>
      <x:c r="F148" s="439"/>
      <x:c r="G148" s="437" t="s">
        <x:v>10</x:v>
      </x:c>
      <x:c r="H148" s="438"/>
      <x:c r="I148" s="438"/>
      <x:c r="J148" s="438"/>
      <x:c r="K148" s="440"/>
      <x:c r="L148" s="21"/>
    </x:row>
    <x:row r="149" ht="14.399999618530273" customHeight="1">
      <x:c r="C149" s="441"/>
      <x:c r="D149" s="453" t="n">
        <x:f>+D$12</x:f>
        <x:v>44561</x:v>
      </x:c>
      <x:c r="E149" s="453" t="n">
        <x:f t="shared" ref="E149:K149" si="83">+E$12</x:f>
        <x:v>44926</x:v>
      </x:c>
      <x:c r="F149" s="453">
        <x:f t="shared" si="83"/>
        <x:v>45291</x:v>
      </x:c>
      <x:c r="G149" s="456">
        <x:f t="shared" si="83"/>
        <x:v>45657</x:v>
      </x:c>
      <x:c r="H149" s="456">
        <x:f t="shared" si="83"/>
        <x:v>46022</x:v>
      </x:c>
      <x:c r="I149" s="456">
        <x:f t="shared" si="83"/>
        <x:v>46387</x:v>
      </x:c>
      <x:c r="J149" s="456">
        <x:f t="shared" si="83"/>
        <x:v>46752</x:v>
      </x:c>
      <x:c r="K149" s="865">
        <x:f t="shared" si="83"/>
        <x:v>47118</x:v>
      </x:c>
      <x:c r="L149" s="21"/>
    </x:row>
    <x:row r="150" ht="14.399999618530273" customHeight="1">
      <x:c r="C150" s="443"/>
      <x:c r="D150" s="424"/>
      <x:c r="E150" s="424"/>
      <x:c r="F150" s="424"/>
      <x:c r="G150" s="424"/>
      <x:c r="H150" s="424"/>
      <x:c r="I150" s="424"/>
      <x:c r="J150" s="424"/>
      <x:c r="K150" s="425"/>
      <x:c r="L150" s="21"/>
    </x:row>
    <x:row r="151" ht="14.399999618530273" customHeight="1">
      <x:c r="C151" s="443" t="s">
        <x:v>34</x:v>
      </x:c>
      <x:c r="D151" s="424"/>
      <x:c r="E151" s="536"/>
      <x:c r="F151" s="581"/>
      <x:c r="G151" s="424"/>
      <x:c r="H151" s="424"/>
      <x:c r="I151" s="424"/>
      <x:c r="J151" s="424"/>
      <x:c r="K151" s="425"/>
      <x:c r="L151" s="21"/>
    </x:row>
    <x:row r="152" ht="14.399999618530273" customHeight="1">
      <x:c r="C152" s="426" t="s">
        <x:v>112</x:v>
      </x:c>
      <x:c r="D152" s="618">
        <x:v>1410685</x:v>
      </x:c>
      <x:c r="E152" s="551" t="n">
        <x:f>+D155</x:f>
        <x:v>1949763</x:v>
      </x:c>
      <x:c r="F152" s="551" t="n">
        <x:f>+E155</x:f>
        <x:v>1966994</x:v>
      </x:c>
      <x:c r="G152" s="482" t="n">
        <x:f>+F155</x:f>
        <x:v>2042568</x:v>
      </x:c>
      <x:c r="H152" s="482" t="n">
        <x:f t="shared" ref="H152:K152" ca="1" si="84">+G155</x:f>
        <x:v>2156618.7032218897</x:v>
      </x:c>
      <x:c r="I152" s="482">
        <x:f t="shared" ca="1" si="84"/>
        <x:v>2282458.8643693086</x:v>
      </x:c>
      <x:c r="J152" s="482">
        <x:f t="shared" ca="1" si="84"/>
        <x:v>2419580.5864309999</x:v>
      </x:c>
      <x:c r="K152" s="623">
        <x:f t="shared" ca="1" si="84"/>
        <x:v>2567968.785454669</x:v>
      </x:c>
      <x:c r="L152" s="21"/>
      <x:c r="O152" s="368"/>
    </x:row>
    <x:row r="153" ht="14.399999618530273" customHeight="1">
      <x:c r="C153" s="426" t="s">
        <x:v>128</x:v>
      </x:c>
      <x:c r="D153" s="618" t="n">
        <x:f>543847</x:f>
        <x:v>543847</x:v>
      </x:c>
      <x:c r="E153" s="618">
        <x:v>18692</x:v>
      </x:c>
      <x:c r="F153" s="618">
        <x:v>74181</x:v>
      </x:c>
      <x:c r="G153" s="580" t="n">
        <x:f ca="1">+G344</x:f>
        <x:v>114050.70322188963</x:v>
      </x:c>
      <x:c r="H153" s="580" t="n">
        <x:f t="shared" ref="H153:K153" ca="1" si="85">+H344</x:f>
        <x:v>125840.16114741893</x:v>
      </x:c>
      <x:c r="I153" s="580">
        <x:f t="shared" ca="1" si="85"/>
        <x:v>137121.72206169151</x:v>
      </x:c>
      <x:c r="J153" s="580">
        <x:f t="shared" ca="1" si="85"/>
        <x:v>148388.19902366903</x:v>
      </x:c>
      <x:c r="K153" s="867">
        <x:f t="shared" ca="1" si="85"/>
        <x:v>160770.01046585213</x:v>
      </x:c>
      <x:c r="L153" s="21"/>
      <x:c r="O153" s="368"/>
    </x:row>
    <x:row r="154" ht="14.399999618530273" customHeight="1">
      <x:c r="C154" s="426" t="s">
        <x:v>129</x:v>
      </x:c>
      <x:c r="D154" s="618">
        <x:v>4769</x:v>
      </x:c>
      <x:c r="E154" s="618">
        <x:v>1461</x:v>
      </x:c>
      <x:c r="F154" s="618">
        <x:v>-1393</x:v>
      </x:c>
      <x:c r="G154" s="555">
        <x:v>0</x:v>
      </x:c>
      <x:c r="H154" s="555">
        <x:v>0</x:v>
      </x:c>
      <x:c r="I154" s="555">
        <x:v>0</x:v>
      </x:c>
      <x:c r="J154" s="555">
        <x:v>0</x:v>
      </x:c>
      <x:c r="K154" s="868">
        <x:v>0</x:v>
      </x:c>
      <x:c r="L154" s="21"/>
      <x:c r="O154" s="368"/>
    </x:row>
    <x:row r="155" ht="14.399999618530273" customHeight="1">
      <x:c r="C155" s="472" t="s">
        <x:v>114</x:v>
      </x:c>
      <x:c r="D155" s="552" t="n">
        <x:f>+D152+D153-D154</x:f>
        <x:v>1949763</x:v>
      </x:c>
      <x:c r="E155" s="552" t="n">
        <x:f>+E152+E153-E154</x:f>
        <x:v>1966994</x:v>
      </x:c>
      <x:c r="F155" s="552" t="n">
        <x:f t="shared" ref="F155" si="86">+F152+F153-F154</x:f>
        <x:v>2042568</x:v>
      </x:c>
      <x:c r="G155" s="621" t="n">
        <x:f t="shared" ref="G155" ca="1" si="87">+G152+G153-G154</x:f>
        <x:v>2156618.7032218897</x:v>
      </x:c>
      <x:c r="H155" s="621" t="n">
        <x:f t="shared" ref="H155" ca="1" si="88">+H152+H153-H154</x:f>
        <x:v>2282458.8643693086</x:v>
      </x:c>
      <x:c r="I155" s="621" t="n">
        <x:f t="shared" ref="I155" ca="1" si="89">+I152+I153-I154</x:f>
        <x:v>2419580.586431</x:v>
      </x:c>
      <x:c r="J155" s="621" t="n">
        <x:f t="shared" ref="J155" ca="1" si="90">+J152+J153-J154</x:f>
        <x:v>2567968.785454669</x:v>
      </x:c>
      <x:c r="K155" s="873" t="n">
        <x:f t="shared" ref="K155" ca="1" si="91">+K152+K153-K154</x:f>
        <x:v>2728738.795920521</x:v>
      </x:c>
      <x:c r="L155" s="21"/>
    </x:row>
    <x:row r="156" ht="14.399999618530273" customHeight="1">
      <x:c r="C156" s="443"/>
      <x:c r="D156" s="473"/>
      <x:c r="E156" s="473"/>
      <x:c r="F156" s="537"/>
      <x:c r="G156" s="473"/>
      <x:c r="H156" s="473"/>
      <x:c r="I156" s="473"/>
      <x:c r="J156" s="473"/>
      <x:c r="K156" s="474"/>
      <x:c r="L156" s="21"/>
    </x:row>
    <x:row r="157" ht="14.399999618530273" customHeight="1">
      <x:c r="C157" s="443" t="s">
        <x:v>35</x:v>
      </x:c>
      <x:c r="D157" s="473"/>
      <x:c r="E157" s="473"/>
      <x:c r="F157" s="537"/>
      <x:c r="G157" s="473"/>
      <x:c r="H157" s="473"/>
      <x:c r="I157" s="473"/>
      <x:c r="J157" s="473"/>
      <x:c r="K157" s="474"/>
      <x:c r="L157" s="21"/>
    </x:row>
    <x:row r="158" ht="14.399999618530273" customHeight="1">
      <x:c r="C158" s="426" t="s">
        <x:v>112</x:v>
      </x:c>
      <x:c r="D158" s="618">
        <x:v>190605</x:v>
      </x:c>
      <x:c r="E158" s="551" t="n">
        <x:f>+D161</x:f>
        <x:v>684209</x:v>
      </x:c>
      <x:c r="F158" s="551" t="n">
        <x:f>+E161</x:f>
        <x:v>614967</x:v>
      </x:c>
      <x:c r="G158" s="482" t="n">
        <x:f>+F161</x:f>
        <x:v>591058</x:v>
      </x:c>
      <x:c r="H158" s="482" t="n">
        <x:f t="shared" ref="H158:K158" ca="1" si="92">+G161</x:f>
        <x:v>582009.3797398204</x:v>
      </x:c>
      <x:c r="I158" s="482">
        <x:f t="shared" ca="1" si="92"/>
        <x:v>572484.02456611325</x:v>
      </x:c>
      <x:c r="J158" s="482">
        <x:f t="shared" ca="1" si="92"/>
        <x:v>561500.30261726817</x:v>
      </x:c>
      <x:c r="K158" s="623">
        <x:f t="shared" ca="1" si="92"/>
        <x:v>549592.17490418942</x:v>
      </x:c>
      <x:c r="L158" s="21"/>
      <x:c r="O158" s="368"/>
    </x:row>
    <x:row r="159" ht="14.399999618530273" customHeight="1">
      <x:c r="C159" s="426" t="s">
        <x:v>130</x:v>
      </x:c>
      <x:c r="D159" s="551" t="n">
        <x:f>+D161+D160-D158</x:f>
        <x:v>530105</x:v>
      </x:c>
      <x:c r="E159" s="551" t="n">
        <x:f>+E161+E160-E158</x:f>
        <x:v>-1622</x:v>
      </x:c>
      <x:c r="F159" s="551" t="n">
        <x:f t="shared" ref="F159" si="93">+F161+F160-F158</x:f>
        <x:v>45230</x:v>
      </x:c>
      <x:c r="G159" s="580" t="n">
        <x:f ca="1">+G345</x:f>
        <x:v>68430.42193313378</x:v>
      </x:c>
      <x:c r="H159" s="580" t="n">
        <x:f t="shared" ref="H159:K159" ca="1" si="94">+H345</x:f>
        <x:v>75504.09668845135</x:v>
      </x:c>
      <x:c r="I159" s="580">
        <x:f t="shared" ca="1" si="94"/>
        <x:v>82273.033237014912</x:v>
      </x:c>
      <x:c r="J159" s="580">
        <x:f t="shared" ca="1" si="94"/>
        <x:v>89032.919414201417</x:v>
      </x:c>
      <x:c r="K159" s="867">
        <x:f t="shared" ca="1" si="94"/>
        <x:v>96462.006279511275</x:v>
      </x:c>
      <x:c r="L159" s="21"/>
      <x:c r="O159" s="368"/>
    </x:row>
    <x:row r="160" ht="14.399999618530273" customHeight="1">
      <x:c r="C160" s="426" t="s">
        <x:v>131</x:v>
      </x:c>
      <x:c r="D160" s="619" t="n">
        <x:f t="shared" ref="D160:K160" si="95">D174</x:f>
        <x:v>36501</x:v>
      </x:c>
      <x:c r="E160" s="619">
        <x:f t="shared" si="95"/>
        <x:v>67620</x:v>
      </x:c>
      <x:c r="F160" s="619">
        <x:f t="shared" si="95"/>
        <x:v>69139</x:v>
      </x:c>
      <x:c r="G160" s="580">
        <x:f t="shared" ca="1" si="95"/>
        <x:v>77479.042193313377</x:v>
      </x:c>
      <x:c r="H160" s="580">
        <x:f t="shared" ca="1" si="95"/>
        <x:v>85029.451862158516</x:v>
      </x:c>
      <x:c r="I160" s="580">
        <x:f t="shared" ca="1" si="95"/>
        <x:v>93256.755185860005</x:v>
      </x:c>
      <x:c r="J160" s="580">
        <x:f t="shared" ca="1" si="95"/>
        <x:v>100941.04712728015</x:v>
      </x:c>
      <x:c r="K160" s="867">
        <x:f t="shared" ca="1" si="95"/>
        <x:v>110091.24775523128</x:v>
      </x:c>
      <x:c r="L160" s="21"/>
      <x:c r="O160" s="368"/>
    </x:row>
    <x:row r="161" ht="14.399999618530273" customHeight="1">
      <x:c r="C161" s="472" t="s">
        <x:v>114</x:v>
      </x:c>
      <x:c r="D161" s="552" t="n">
        <x:f>+D53-D155</x:f>
        <x:v>684209</x:v>
      </x:c>
      <x:c r="E161" s="552" t="n">
        <x:f>+E53-E155</x:f>
        <x:v>614967</x:v>
      </x:c>
      <x:c r="F161" s="552" t="n">
        <x:f>+F53-F155</x:f>
        <x:v>591058</x:v>
      </x:c>
      <x:c r="G161" s="621" t="n">
        <x:f t="shared" ref="G161" ca="1" si="96">+G158+G159-G160</x:f>
        <x:v>582009.3797398204</x:v>
      </x:c>
      <x:c r="H161" s="621" t="n">
        <x:f t="shared" ref="H161" ca="1" si="97">+H158+H159-H160</x:f>
        <x:v>572484.0245661133</x:v>
      </x:c>
      <x:c r="I161" s="621" t="n">
        <x:f t="shared" ref="I161" ca="1" si="98">+I158+I159-I160</x:f>
        <x:v>561500.3026172682</x:v>
      </x:c>
      <x:c r="J161" s="621" t="n">
        <x:f t="shared" ref="J161" ca="1" si="99">+J158+J159-J160</x:f>
        <x:v>549592.1749041894</x:v>
      </x:c>
      <x:c r="K161" s="873" t="n">
        <x:f t="shared" ref="K161" ca="1" si="100">+K158+K159-K160</x:f>
        <x:v>535962.9334284693</x:v>
      </x:c>
      <x:c r="L161" s="21"/>
    </x:row>
    <x:row r="162" ht="14.399999618530273" customHeight="1">
      <x:c r="C162" s="472"/>
      <x:c r="D162" s="462"/>
      <x:c r="E162" s="462"/>
      <x:c r="F162" s="564"/>
      <x:c r="G162" s="609"/>
      <x:c r="H162" s="609"/>
      <x:c r="I162" s="609"/>
      <x:c r="J162" s="609"/>
      <x:c r="K162" s="610"/>
      <x:c r="L162" s="21"/>
    </x:row>
    <x:row r="163" ht="14.399999618530273" customHeight="1">
      <x:c r="C163" s="426" t="s">
        <x:v>132</x:v>
      </x:c>
      <x:c r="D163" s="462"/>
      <x:c r="E163" s="462"/>
      <x:c r="F163" s="564"/>
      <x:c r="G163" s="609"/>
      <x:c r="H163" s="609"/>
      <x:c r="I163" s="609"/>
      <x:c r="J163" s="609"/>
      <x:c r="K163" s="610"/>
      <x:c r="L163" s="21"/>
    </x:row>
    <x:row r="164" ht="14.399999618530273" customHeight="1">
      <x:c r="C164" s="426" t="s">
        <x:v>133</x:v>
      </x:c>
      <x:c r="D164" s="618">
        <x:v>36501</x:v>
      </x:c>
      <x:c r="E164" s="618">
        <x:v>67620</x:v>
      </x:c>
      <x:c r="F164" s="618">
        <x:v>69139</x:v>
      </x:c>
      <x:c r="G164" s="622">
        <x:v>70636</x:v>
      </x:c>
      <x:c r="H164" s="622">
        <x:v>70636</x:v>
      </x:c>
      <x:c r="I164" s="622">
        <x:v>70636</x:v>
      </x:c>
      <x:c r="J164" s="622">
        <x:v>69417</x:v>
      </x:c>
      <x:c r="K164" s="874">
        <x:v>68921</x:v>
      </x:c>
      <x:c r="L164" s="21"/>
      <x:c r="O164" s="368"/>
    </x:row>
    <x:row r="165" ht="14.399999618530273" customHeight="1">
      <x:c r="C165" s="443"/>
      <x:c r="D165" s="615"/>
      <x:c r="E165" s="424"/>
      <x:c r="F165" s="517"/>
      <x:c r="G165" s="424"/>
      <x:c r="H165" s="424"/>
      <x:c r="I165" s="424"/>
      <x:c r="J165" s="424"/>
      <x:c r="K165" s="425"/>
      <x:c r="L165" s="21"/>
    </x:row>
    <x:row r="166" ht="14.399999618530273" customHeight="1">
      <x:c r="C166" s="443" t="s">
        <x:v>134</x:v>
      </x:c>
      <x:c r="D166" s="620">
        <x:v>10</x:v>
      </x:c>
      <x:c r="E166" s="424"/>
      <x:c r="F166" s="517"/>
      <x:c r="G166" s="424"/>
      <x:c r="H166" s="424"/>
      <x:c r="I166" s="424"/>
      <x:c r="J166" s="424"/>
      <x:c r="K166" s="425"/>
      <x:c r="L166" s="21"/>
    </x:row>
    <x:row r="167" ht="14.399999618530273" customHeight="1">
      <x:c r="C167" s="443" t="s">
        <x:v>135</x:v>
      </x:c>
      <x:c r="D167" s="424"/>
      <x:c r="E167" s="424"/>
      <x:c r="F167" s="517"/>
      <x:c r="G167" s="424"/>
      <x:c r="H167" s="424"/>
      <x:c r="I167" s="424"/>
      <x:c r="J167" s="424"/>
      <x:c r="K167" s="425"/>
      <x:c r="L167" s="21"/>
      <x:c r="O167" s="380"/>
    </x:row>
    <x:row r="168" ht="14.399999618530273" customHeight="1">
      <x:c r="C168" s="617" t="n">
        <x:f>+$G$337</x:f>
        <x:v>45657</x:v>
      </x:c>
      <x:c r="D168" s="518"/>
      <x:c r="E168" s="518"/>
      <x:c r="F168" s="519"/>
      <x:c r="G168" s="482" t="n">
        <x:f ca="1">+IF(COUNT(G$149:$G$149)&lt;=$D$166,$G$159/$D$166,0)</x:f>
        <x:v>6843.042193313378</x:v>
      </x:c>
      <x:c r="H168" s="482" t="n">
        <x:f ca="1">+IF(COUNT($G$149:H$149)&lt;=$D$166,$G$159/$D$166,0)</x:f>
        <x:v>6843.042193313378</x:v>
      </x:c>
      <x:c r="I168" s="482" t="n">
        <x:f ca="1">+IF(COUNT($G$149:I$149)&lt;=$D$166,$G$159/$D$166,0)</x:f>
        <x:v>6843.042193313378</x:v>
      </x:c>
      <x:c r="J168" s="482" t="n">
        <x:f ca="1">+IF(COUNT($G$149:J$149)&lt;=$D$166,$G$159/$D$166,0)</x:f>
        <x:v>6843.042193313378</x:v>
      </x:c>
      <x:c r="K168" s="623" t="n">
        <x:f ca="1">+IF(COUNT($G$149:K$149)&lt;=$D$166,$G$159/$D$166,0)</x:f>
        <x:v>6843.042193313378</x:v>
      </x:c>
      <x:c r="L168" s="21"/>
    </x:row>
    <x:row r="169" ht="14.399999618530273" customHeight="1">
      <x:c r="C169" s="617" t="n">
        <x:f>+$H$337</x:f>
        <x:v>46022</x:v>
      </x:c>
      <x:c r="D169" s="518"/>
      <x:c r="E169" s="518"/>
      <x:c r="F169" s="519"/>
      <x:c r="G169" s="582"/>
      <x:c r="H169" s="482" t="n">
        <x:f ca="1">+IF(COUNT($H$149:H$149)&lt;=$D$166,$H$159/$D$166,0)</x:f>
        <x:v>7550.409668845135</x:v>
      </x:c>
      <x:c r="I169" s="482" t="n">
        <x:f ca="1">+IF(COUNT($H$149:I$149)&lt;=$D$166,$H$159/$D$166,0)</x:f>
        <x:v>7550.409668845135</x:v>
      </x:c>
      <x:c r="J169" s="482" t="n">
        <x:f ca="1">+IF(COUNT($H$149:J$149)&lt;=$D$166,$H$159/$D$166,0)</x:f>
        <x:v>7550.409668845135</x:v>
      </x:c>
      <x:c r="K169" s="623" t="n">
        <x:f ca="1">+IF(COUNT($H$149:K$149)&lt;=$D$166,$H$159/$D$166,0)</x:f>
        <x:v>7550.409668845135</x:v>
      </x:c>
      <x:c r="L169" s="21"/>
    </x:row>
    <x:row r="170" ht="14.399999618530273" customHeight="1">
      <x:c r="C170" s="617" t="n">
        <x:f>+$I$337</x:f>
        <x:v>46387</x:v>
      </x:c>
      <x:c r="D170" s="518"/>
      <x:c r="E170" s="518"/>
      <x:c r="F170" s="519"/>
      <x:c r="G170" s="582"/>
      <x:c r="H170" s="582"/>
      <x:c r="I170" s="482" t="n">
        <x:f ca="1">+IF(COUNT($I$149:I$149)&lt;=$D$166,$I$159/$D$166,0)</x:f>
        <x:v>8227.303323701492</x:v>
      </x:c>
      <x:c r="J170" s="482" t="n">
        <x:f ca="1">+IF(COUNT($I$149:J$149)&lt;=$D$166,$I$159/$D$166,0)</x:f>
        <x:v>8227.303323701492</x:v>
      </x:c>
      <x:c r="K170" s="623" t="n">
        <x:f ca="1">+IF(COUNT($I$149:K$149)&lt;=$D$166,$I$159/$D$166,0)</x:f>
        <x:v>8227.303323701492</x:v>
      </x:c>
      <x:c r="L170" s="21"/>
    </x:row>
    <x:row r="171" ht="14.399999618530273" customHeight="1">
      <x:c r="C171" s="617" t="n">
        <x:f>+$J$337</x:f>
        <x:v>46752</x:v>
      </x:c>
      <x:c r="D171" s="518"/>
      <x:c r="E171" s="518"/>
      <x:c r="F171" s="519"/>
      <x:c r="G171" s="582"/>
      <x:c r="H171" s="582"/>
      <x:c r="I171" s="582"/>
      <x:c r="J171" s="482" t="n">
        <x:f ca="1">+IF(COUNT($J$149:J$149)&lt;=$D$166,$J$159/$D$166,0)</x:f>
        <x:v>8903.291941420142</x:v>
      </x:c>
      <x:c r="K171" s="623" t="n">
        <x:f ca="1">+IF(COUNT($J$149:K$149)&lt;=$D$166,$J$159/$D$166,0)</x:f>
        <x:v>8903.291941420142</x:v>
      </x:c>
      <x:c r="L171" s="21"/>
    </x:row>
    <x:row r="172" ht="14.399999618530273" customHeight="1">
      <x:c r="C172" s="617" t="n">
        <x:f>+$K$337</x:f>
        <x:v>47118</x:v>
      </x:c>
      <x:c r="D172" s="518"/>
      <x:c r="E172" s="518"/>
      <x:c r="F172" s="519"/>
      <x:c r="G172" s="582"/>
      <x:c r="H172" s="582"/>
      <x:c r="I172" s="582"/>
      <x:c r="J172" s="582"/>
      <x:c r="K172" s="623" t="n">
        <x:f ca="1">+IF(COUNT($K$149:K$149)&lt;=$D$166,$K$159/$D$166,0)</x:f>
        <x:v>9646.200627951128</x:v>
      </x:c>
      <x:c r="L172" s="21"/>
    </x:row>
    <x:row r="173" ht="14.399999618530273" customHeight="1">
      <x:c r="C173" s="617"/>
      <x:c r="D173" s="424"/>
      <x:c r="E173" s="424"/>
      <x:c r="F173" s="517"/>
      <x:c r="G173" s="473"/>
      <x:c r="H173" s="473"/>
      <x:c r="I173" s="473"/>
      <x:c r="J173" s="473"/>
      <x:c r="K173" s="474"/>
      <x:c r="L173" s="21"/>
    </x:row>
    <x:row r="174" ht="14.399999618530273" customHeight="1">
      <x:c r="C174" s="576" t="s">
        <x:v>136</x:v>
      </x:c>
      <x:c r="D174" s="577" t="n">
        <x:f t="shared" ref="D174:F174" si="101">+D164+SUM(D168:D172)</x:f>
        <x:v>36501</x:v>
      </x:c>
      <x:c r="E174" s="577">
        <x:f t="shared" si="101"/>
        <x:v>67620</x:v>
      </x:c>
      <x:c r="F174" s="577">
        <x:f t="shared" si="101"/>
        <x:v>69139</x:v>
      </x:c>
      <x:c r="G174" s="577" t="n">
        <x:f ca="1">+G164+SUM(G168:G172)</x:f>
        <x:v>77479.04219331338</x:v>
      </x:c>
      <x:c r="H174" s="577" t="n">
        <x:f t="shared" ref="H174:K174" ca="1" si="102">+H164+SUM(H168:H172)</x:f>
        <x:v>85029.45186215852</x:v>
      </x:c>
      <x:c r="I174" s="577">
        <x:f t="shared" ca="1" si="102"/>
        <x:v>93256.755185860005</x:v>
      </x:c>
      <x:c r="J174" s="577">
        <x:f t="shared" ca="1" si="102"/>
        <x:v>100941.04712728015</x:v>
      </x:c>
      <x:c r="K174" s="579">
        <x:f t="shared" ca="1" si="102"/>
        <x:v>110091.24775523128</x:v>
      </x:c>
      <x:c r="L174" s="21"/>
    </x:row>
    <x:row r="175" ht="14.399999618530273" customHeight="1">
      <x:c r="E175" s="14"/>
      <x:c r="F175" s="153"/>
      <x:c r="L175" s="21"/>
    </x:row>
    <x:row r="176" ht="14.399999618530273" customHeight="1">
      <x:c r="C176" s="436" t="s">
        <x:v>137</x:v>
      </x:c>
      <x:c r="D176" s="437" t="s">
        <x:v>9</x:v>
      </x:c>
      <x:c r="E176" s="438"/>
      <x:c r="F176" s="439"/>
      <x:c r="G176" s="437" t="s">
        <x:v>10</x:v>
      </x:c>
      <x:c r="H176" s="438"/>
      <x:c r="I176" s="438"/>
      <x:c r="J176" s="438"/>
      <x:c r="K176" s="438"/>
      <x:c r="L176" s="624"/>
      <x:c r="M176" s="535" t="s">
        <x:v>41</x:v>
      </x:c>
    </x:row>
    <x:row r="177" ht="14.399999618530273" customHeight="1">
      <x:c r="C177" s="441"/>
      <x:c r="D177" s="453" t="n">
        <x:f>+D$12</x:f>
        <x:v>44561</x:v>
      </x:c>
      <x:c r="E177" s="453" t="n">
        <x:f t="shared" ref="E177:K177" si="103">+E$12</x:f>
        <x:v>44926</x:v>
      </x:c>
      <x:c r="F177" s="453">
        <x:f t="shared" si="103"/>
        <x:v>45291</x:v>
      </x:c>
      <x:c r="G177" s="456">
        <x:f t="shared" si="103"/>
        <x:v>45657</x:v>
      </x:c>
      <x:c r="H177" s="456">
        <x:f t="shared" si="103"/>
        <x:v>46022</x:v>
      </x:c>
      <x:c r="I177" s="456">
        <x:f t="shared" si="103"/>
        <x:v>46387</x:v>
      </x:c>
      <x:c r="J177" s="456">
        <x:f t="shared" si="103"/>
        <x:v>46752</x:v>
      </x:c>
      <x:c r="K177" s="456">
        <x:f t="shared" si="103"/>
        <x:v>47118</x:v>
      </x:c>
      <x:c r="L177" s="625"/>
      <x:c r="M177" s="442" t="s">
        <x:v>42</x:v>
      </x:c>
    </x:row>
    <x:row r="178" ht="14.399999618530273" customHeight="1">
      <x:c r="C178" s="443"/>
      <x:c r="D178" s="424"/>
      <x:c r="E178" s="424"/>
      <x:c r="F178" s="424"/>
      <x:c r="G178" s="424"/>
      <x:c r="H178" s="424"/>
      <x:c r="I178" s="424"/>
      <x:c r="J178" s="424"/>
      <x:c r="K178" s="424"/>
      <x:c r="L178" s="625"/>
      <x:c r="M178" s="425"/>
    </x:row>
    <x:row r="179" ht="14.399999618530273" customHeight="1">
      <x:c r="C179" s="443" t="s">
        <x:v>138</x:v>
      </x:c>
      <x:c r="D179" s="424"/>
      <x:c r="E179" s="536"/>
      <x:c r="F179" s="581"/>
      <x:c r="G179" s="424"/>
      <x:c r="H179" s="424"/>
      <x:c r="I179" s="424"/>
      <x:c r="J179" s="424"/>
      <x:c r="K179" s="424"/>
      <x:c r="L179" s="625"/>
      <x:c r="M179" s="626"/>
    </x:row>
    <x:row r="180" ht="14.399999618530273" customHeight="1">
      <x:c r="C180" s="426" t="s">
        <x:v>112</x:v>
      </x:c>
      <x:c r="D180" s="582"/>
      <x:c r="E180" s="582"/>
      <x:c r="F180" s="627"/>
      <x:c r="G180" s="482" t="n">
        <x:f t="shared" ref="G180:K180" si="104">+F184</x:f>
        <x:v>258909</x:v>
      </x:c>
      <x:c r="H180" s="482">
        <x:f t="shared" ca="1" si="104"/>
        <x:v>344393.32644191524</x:v>
      </x:c>
      <x:c r="I180" s="482">
        <x:f t="shared" ca="1" si="104"/>
        <x:v>421427.30948251695</x:v>
      </x:c>
      <x:c r="J180" s="482">
        <x:f t="shared" ca="1" si="104"/>
        <x:v>489876.62605805363</x:v>
      </x:c>
      <x:c r="K180" s="482">
        <x:f t="shared" ca="1" si="104"/>
        <x:v>554154.17548999505</x:v>
      </x:c>
      <x:c r="L180" s="625"/>
      <x:c r="M180" s="626"/>
    </x:row>
    <x:row r="181" ht="14.399999618530273" customHeight="1">
      <x:c r="C181" s="426" t="s">
        <x:v>139</x:v>
      </x:c>
      <x:c r="D181" s="619" t="n">
        <x:f>-D88</x:f>
        <x:v>55546</x:v>
      </x:c>
      <x:c r="E181" s="619" t="n">
        <x:f t="shared" ref="E181:F181" si="105">-E88</x:f>
        <x:v>76382</x:v>
      </x:c>
      <x:c r="F181" s="619">
        <x:f t="shared" si="105"/>
        <x:v>63998</x:v>
      </x:c>
      <x:c r="G181" s="482" t="n">
        <x:f>+G186*G14</x:f>
        <x:v>78129.97031337224</x:v>
      </x:c>
      <x:c r="H181" s="482" t="n">
        <x:f>+H186*H14</x:f>
        <x:v>77774.94465304851</x:v>
      </x:c>
      <x:c r="I181" s="482" t="n">
        <x:f>+I186*I14</x:f>
        <x:v>77958.35856082459</x:v>
      </x:c>
      <x:c r="J181" s="482" t="n">
        <x:f>+J186*J14</x:f>
        <x:v>83572.80954820568</x:v>
      </x:c>
      <x:c r="K181" s="482" t="n">
        <x:f>+K186*K14</x:f>
        <x:v>86229.82789327308</x:v>
      </x:c>
      <x:c r="L181" s="625"/>
      <x:c r="M181" s="425"/>
      <x:c r="O181" s="380"/>
    </x:row>
    <x:row r="182" ht="14.399999618530273" customHeight="1">
      <x:c r="C182" s="426" t="s">
        <x:v>140</x:v>
      </x:c>
      <x:c r="D182" s="582"/>
      <x:c r="E182" s="582"/>
      <x:c r="F182" s="627"/>
      <x:c r="G182" s="482" t="n">
        <x:f ca="1">+G346</x:f>
        <x:v>45620.281288755854</x:v>
      </x:c>
      <x:c r="H182" s="482" t="n">
        <x:f t="shared" ref="H182:K182" ca="1" si="106">+H346</x:f>
        <x:v>50336.06445896757</x:v>
      </x:c>
      <x:c r="I182" s="482">
        <x:f t="shared" ca="1" si="106"/>
        <x:v>54848.68882467661</x:v>
      </x:c>
      <x:c r="J182" s="482">
        <x:f t="shared" ca="1" si="106"/>
        <x:v>59355.279609467616</x:v>
      </x:c>
      <x:c r="K182" s="482">
        <x:f t="shared" ca="1" si="106"/>
        <x:v>64308.004186340855</x:v>
      </x:c>
      <x:c r="L182" s="625"/>
      <x:c r="M182" s="425"/>
    </x:row>
    <x:row r="183" ht="14.399999618530273" customHeight="1">
      <x:c r="C183" s="426" t="s">
        <x:v>141</x:v>
      </x:c>
      <x:c r="D183" s="619" t="n">
        <x:f t="shared" ref="D183:K183" si="107">D208</x:f>
        <x:v>42900</x:v>
      </x:c>
      <x:c r="E183" s="619">
        <x:f t="shared" si="107"/>
        <x:v>52900</x:v>
      </x:c>
      <x:c r="F183" s="619">
        <x:f t="shared" si="107"/>
        <x:v>61600</x:v>
      </x:c>
      <x:c r="G183" s="482">
        <x:f t="shared" ca="1" si="107"/>
        <x:v>38265.925160212813</x:v>
      </x:c>
      <x:c r="H183" s="482">
        <x:f t="shared" ca="1" si="107"/>
        <x:v>51077.026071414424</x:v>
      </x:c>
      <x:c r="I183" s="482">
        <x:f t="shared" ca="1" si="107"/>
        <x:v>64357.730809964538</x:v>
      </x:c>
      <x:c r="J183" s="482">
        <x:f t="shared" ca="1" si="107"/>
        <x:v>78650.539725731869</x:v>
      </x:c>
      <x:c r="K183" s="482">
        <x:f t="shared" ca="1" si="107"/>
        <x:v>93704.322933693242</x:v>
      </x:c>
      <x:c r="L183" s="625"/>
      <x:c r="M183" s="425"/>
    </x:row>
    <x:row r="184" ht="14.399999618530273" customHeight="1">
      <x:c r="C184" s="472" t="s">
        <x:v>114</x:v>
      </x:c>
      <x:c r="D184" s="479">
        <x:v>234831</x:v>
      </x:c>
      <x:c r="E184" s="479">
        <x:v>246837</x:v>
      </x:c>
      <x:c r="F184" s="479">
        <x:v>258909</x:v>
      </x:c>
      <x:c r="G184" s="621" t="n">
        <x:f ca="1">+G180+G181+G182-G183</x:f>
        <x:v>344393.32644191524</x:v>
      </x:c>
      <x:c r="H184" s="621" t="n">
        <x:f t="shared" ref="H184:K184" ca="1" si="108">+H180+H181+H182-H183</x:f>
        <x:v>421427.30948251695</x:v>
      </x:c>
      <x:c r="I184" s="621">
        <x:f t="shared" ca="1" si="108"/>
        <x:v>489876.62605805363</x:v>
      </x:c>
      <x:c r="J184" s="621">
        <x:f t="shared" ca="1" si="108"/>
        <x:v>554154.17548999505</x:v>
      </x:c>
      <x:c r="K184" s="621">
        <x:f t="shared" ca="1" si="108"/>
        <x:v>610987.68463591579</x:v>
      </x:c>
      <x:c r="L184" s="625"/>
      <x:c r="M184" s="554" t="n">
        <x:f ca="1">+_xlfn.RRI(YEAR($K$12)-YEAR($F$12),F184,K184)</x:f>
        <x:v>0.18734536660994183</x:v>
      </x:c>
      <x:c r="O184" s="368"/>
    </x:row>
    <x:row r="185" ht="14.399999618530273" customHeight="1">
      <x:c r="C185" s="443"/>
      <x:c r="D185" s="536"/>
      <x:c r="E185" s="536"/>
      <x:c r="F185" s="589"/>
      <x:c r="G185" s="536"/>
      <x:c r="H185" s="536"/>
      <x:c r="I185" s="424"/>
      <x:c r="J185" s="424"/>
      <x:c r="K185" s="424"/>
      <x:c r="L185" s="625"/>
      <x:c r="M185" s="425"/>
    </x:row>
    <x:row r="186" ht="14.399999618530273" customHeight="1">
      <x:c r="C186" s="426" t="s">
        <x:v>142</x:v>
      </x:c>
      <x:c r="D186" s="601" t="n">
        <x:f>+D181/D14</x:f>
        <x:v>0.015933075689424064</x:v>
      </x:c>
      <x:c r="E186" s="601" t="n">
        <x:f>+E181/E14</x:f>
        <x:v>0.015249731269955102</x:v>
      </x:c>
      <x:c r="F186" s="601" t="n">
        <x:f>+F181/F14</x:f>
        <x:v>0.012319878707003724</x:v>
      </x:c>
      <x:c r="G186" s="483" t="n">
        <x:f>+AVERAGE(D186:F186)</x:f>
        <x:v>0.01450089522212763</x:v>
      </x:c>
      <x:c r="H186" s="483" t="n">
        <x:f t="shared" ref="H186:K186" si="109">+AVERAGE(E186:G186)</x:f>
        <x:v>0.014023501733028819</x:v>
      </x:c>
      <x:c r="I186" s="483">
        <x:f t="shared" si="109"/>
        <x:v>1.3614758554053391E-2</x:v>
      </x:c>
      <x:c r="J186" s="483">
        <x:f t="shared" si="109"/>
        <x:v>1.4046385169736613E-2</x:v>
      </x:c>
      <x:c r="K186" s="483">
        <x:f t="shared" si="109"/>
        <x:v>1.3894881818939608E-2</x:v>
      </x:c>
      <x:c r="L186" s="625"/>
      <x:c r="M186" s="425"/>
      <x:c r="O186" s="368"/>
    </x:row>
    <x:row r="187" ht="14.399999618530273" customHeight="1">
      <x:c r="C187" s="443"/>
      <x:c r="D187" s="536"/>
      <x:c r="E187" s="536"/>
      <x:c r="F187" s="589"/>
      <x:c r="G187" s="536"/>
      <x:c r="H187" s="536"/>
      <x:c r="I187" s="424"/>
      <x:c r="J187" s="424"/>
      <x:c r="K187" s="424"/>
      <x:c r="L187" s="625"/>
      <x:c r="M187" s="425"/>
    </x:row>
    <x:row r="188" ht="14.399999618530273" customHeight="1">
      <x:c r="C188" s="443" t="s">
        <x:v>143</x:v>
      </x:c>
      <x:c r="D188" s="536"/>
      <x:c r="E188" s="536"/>
      <x:c r="F188" s="589"/>
      <x:c r="G188" s="424"/>
      <x:c r="H188" s="424"/>
      <x:c r="I188" s="424"/>
      <x:c r="J188" s="424"/>
      <x:c r="K188" s="424"/>
      <x:c r="L188" s="625"/>
      <x:c r="M188" s="425"/>
      <x:c r="O188" s="380"/>
    </x:row>
    <x:row r="189" ht="14.399999618530273" customHeight="1">
      <x:c r="C189" s="443" t="s">
        <x:v>144</x:v>
      </x:c>
      <x:c r="D189" s="620">
        <x:v>10</x:v>
      </x:c>
      <x:c r="E189" s="536"/>
      <x:c r="F189" s="589"/>
      <x:c r="G189" s="541"/>
      <x:c r="H189" s="541"/>
      <x:c r="I189" s="541"/>
      <x:c r="J189" s="541"/>
      <x:c r="K189" s="541"/>
      <x:c r="L189" s="625"/>
      <x:c r="M189" s="425"/>
      <x:c r="O189" s="380"/>
    </x:row>
    <x:row r="190" ht="14.399999618530273" customHeight="1">
      <x:c r="C190" s="443" t="s">
        <x:v>145</x:v>
      </x:c>
      <x:c r="D190" s="620">
        <x:v>10</x:v>
      </x:c>
      <x:c r="E190" s="536"/>
      <x:c r="F190" s="589"/>
      <x:c r="G190" s="541"/>
      <x:c r="H190" s="541"/>
      <x:c r="I190" s="541"/>
      <x:c r="J190" s="541"/>
      <x:c r="K190" s="541"/>
      <x:c r="L190" s="625"/>
      <x:c r="M190" s="425"/>
      <x:c r="O190" s="380"/>
    </x:row>
    <x:row r="191" ht="14.399999618530273" customHeight="1">
      <x:c r="C191" s="459"/>
      <x:c r="D191" s="536"/>
      <x:c r="E191" s="536"/>
      <x:c r="F191" s="589"/>
      <x:c r="G191" s="424"/>
      <x:c r="H191" s="424"/>
      <x:c r="I191" s="424"/>
      <x:c r="J191" s="424"/>
      <x:c r="K191" s="424"/>
      <x:c r="L191" s="625"/>
      <x:c r="M191" s="425"/>
    </x:row>
    <x:row r="192" ht="14.399999618530273" customHeight="1">
      <x:c r="C192" s="443" t="s">
        <x:v>146</x:v>
      </x:c>
      <x:c r="D192" s="618">
        <x:v>42900</x:v>
      </x:c>
      <x:c r="E192" s="618">
        <x:v>52900</x:v>
      </x:c>
      <x:c r="F192" s="618">
        <x:v>61600</x:v>
      </x:c>
      <x:c r="G192" s="482" t="n">
        <x:f>+IF(COUNT(G$177:$G$177)&lt;=$D$189,$F$184/$D$189,0)</x:f>
        <x:v>25890.9</x:v>
      </x:c>
      <x:c r="H192" s="482" t="n">
        <x:f>+IF(COUNT($G$177:H$177)&lt;=$D$189,$F$184/$D$189,0)</x:f>
        <x:v>25890.9</x:v>
      </x:c>
      <x:c r="I192" s="482" t="n">
        <x:f>+IF(COUNT($G$177:I$177)&lt;=$D$189,$F$184/$D$189,0)</x:f>
        <x:v>25890.9</x:v>
      </x:c>
      <x:c r="J192" s="482" t="n">
        <x:f>+IF(COUNT($G$177:J$177)&lt;=$D$189,$F$184/$D$189,0)</x:f>
        <x:v>25890.9</x:v>
      </x:c>
      <x:c r="K192" s="482" t="n">
        <x:f>+IF(COUNT($G$177:K$177)&lt;=$D$189,$F$184/$D$189,0)</x:f>
        <x:v>25890.9</x:v>
      </x:c>
      <x:c r="L192" s="625"/>
      <x:c r="M192" s="425"/>
      <x:c r="O192" s="380"/>
    </x:row>
    <x:row r="193" ht="14.399999618530273" customHeight="1">
      <x:c r="C193" s="443"/>
      <x:c r="D193" s="536"/>
      <x:c r="E193" s="536"/>
      <x:c r="F193" s="589"/>
      <x:c r="G193" s="473"/>
      <x:c r="H193" s="473"/>
      <x:c r="I193" s="473"/>
      <x:c r="J193" s="473"/>
      <x:c r="K193" s="473"/>
      <x:c r="L193" s="625"/>
      <x:c r="M193" s="425"/>
    </x:row>
    <x:row r="194" ht="14.399999618530273" customHeight="1">
      <x:c r="C194" s="443" t="s">
        <x:v>147</x:v>
      </x:c>
      <x:c r="D194" s="536"/>
      <x:c r="E194" s="536"/>
      <x:c r="F194" s="589"/>
      <x:c r="G194" s="536"/>
      <x:c r="H194" s="536"/>
      <x:c r="I194" s="424"/>
      <x:c r="J194" s="424"/>
      <x:c r="K194" s="424"/>
      <x:c r="L194" s="625"/>
      <x:c r="M194" s="425"/>
      <x:c r="O194" s="380"/>
    </x:row>
    <x:row r="195" ht="14.399999618530273" customHeight="1">
      <x:c r="C195" s="617" t="n">
        <x:f>+$G$177</x:f>
        <x:v>45657</x:v>
      </x:c>
      <x:c r="D195" s="518"/>
      <x:c r="E195" s="518"/>
      <x:c r="F195" s="519"/>
      <x:c r="G195" s="482" t="n">
        <x:f>+IF(COUNT(G$177:$G$177)&lt;=$D$190,$G$181/$D$190,0)</x:f>
        <x:v>7812.997031337223</x:v>
      </x:c>
      <x:c r="H195" s="482" t="n">
        <x:f>+IF(COUNT($G$177:H$177)&lt;=$D$190,$G$181/$D$190,0)</x:f>
        <x:v>7812.997031337223</x:v>
      </x:c>
      <x:c r="I195" s="482" t="n">
        <x:f>+IF(COUNT($G$177:I$177)&lt;=$D$190,$G$181/$D$190,0)</x:f>
        <x:v>7812.997031337223</x:v>
      </x:c>
      <x:c r="J195" s="482" t="n">
        <x:f>+IF(COUNT($G$177:J$177)&lt;=$D$190,$G$181/$D$190,0)</x:f>
        <x:v>7812.997031337223</x:v>
      </x:c>
      <x:c r="K195" s="482" t="n">
        <x:f>+IF(COUNT($G$177:K$177)&lt;=$D$190,$G$181/$D$190,0)</x:f>
        <x:v>7812.997031337223</x:v>
      </x:c>
      <x:c r="L195" s="625"/>
      <x:c r="M195" s="425"/>
    </x:row>
    <x:row r="196" ht="14.399999618530273" customHeight="1">
      <x:c r="C196" s="617" t="n">
        <x:f>+$H$177</x:f>
        <x:v>46022</x:v>
      </x:c>
      <x:c r="D196" s="518"/>
      <x:c r="E196" s="518"/>
      <x:c r="F196" s="519"/>
      <x:c r="G196" s="582"/>
      <x:c r="H196" s="482" t="n">
        <x:f>+IF(COUNT($H$177:H$177)&lt;=$D$190,$H$181/$D$190,0)</x:f>
        <x:v>7777.4944653048515</x:v>
      </x:c>
      <x:c r="I196" s="482" t="n">
        <x:f>+IF(COUNT($H$177:I$177)&lt;=$D$190,$H$181/$D$190,0)</x:f>
        <x:v>7777.4944653048515</x:v>
      </x:c>
      <x:c r="J196" s="482" t="n">
        <x:f>+IF(COUNT($H$177:J$177)&lt;=$D$190,$H$181/$D$190,0)</x:f>
        <x:v>7777.4944653048515</x:v>
      </x:c>
      <x:c r="K196" s="482" t="n">
        <x:f>+IF(COUNT($H$177:K$177)&lt;=$D$190,$H$181/$D$190,0)</x:f>
        <x:v>7777.4944653048515</x:v>
      </x:c>
      <x:c r="L196" s="625"/>
      <x:c r="M196" s="425"/>
    </x:row>
    <x:row r="197" ht="14.399999618530273" customHeight="1">
      <x:c r="C197" s="617" t="n">
        <x:f>+$I$177</x:f>
        <x:v>46387</x:v>
      </x:c>
      <x:c r="D197" s="518"/>
      <x:c r="E197" s="518"/>
      <x:c r="F197" s="519"/>
      <x:c r="G197" s="582"/>
      <x:c r="H197" s="582"/>
      <x:c r="I197" s="482" t="n">
        <x:f>+IF(COUNT($I$177:I$177)&lt;=$D$190,$I$181/$D$190,0)</x:f>
        <x:v>7795.835856082459</x:v>
      </x:c>
      <x:c r="J197" s="482" t="n">
        <x:f>+IF(COUNT($I$177:J$177)&lt;=$D$190,$I$181/$D$190,0)</x:f>
        <x:v>7795.835856082459</x:v>
      </x:c>
      <x:c r="K197" s="482" t="n">
        <x:f>+IF(COUNT($I$177:K$177)&lt;=$D$190,$I$181/$D$190,0)</x:f>
        <x:v>7795.835856082459</x:v>
      </x:c>
      <x:c r="L197" s="625"/>
      <x:c r="M197" s="425"/>
    </x:row>
    <x:row r="198" ht="14.399999618530273" customHeight="1">
      <x:c r="C198" s="617" t="n">
        <x:f>+$J$177</x:f>
        <x:v>46752</x:v>
      </x:c>
      <x:c r="D198" s="518"/>
      <x:c r="E198" s="518"/>
      <x:c r="F198" s="519"/>
      <x:c r="G198" s="582"/>
      <x:c r="H198" s="582"/>
      <x:c r="I198" s="582"/>
      <x:c r="J198" s="482" t="n">
        <x:f>+IF(COUNT($J$177:J$177)&lt;=$D$190,$J$181/$D$190,0)</x:f>
        <x:v>8357.280954820568</x:v>
      </x:c>
      <x:c r="K198" s="482" t="n">
        <x:f>+IF(COUNT($J$177:K$177)&lt;=$D$190,$J$181/$D$190,0)</x:f>
        <x:v>8357.280954820568</x:v>
      </x:c>
      <x:c r="L198" s="625"/>
      <x:c r="M198" s="425"/>
    </x:row>
    <x:row r="199" ht="14.399999618530273" customHeight="1">
      <x:c r="C199" s="617" t="n">
        <x:f>+$K$177</x:f>
        <x:v>47118</x:v>
      </x:c>
      <x:c r="D199" s="518"/>
      <x:c r="E199" s="518"/>
      <x:c r="F199" s="519"/>
      <x:c r="G199" s="582"/>
      <x:c r="H199" s="582"/>
      <x:c r="I199" s="582"/>
      <x:c r="J199" s="582"/>
      <x:c r="K199" s="482" t="n">
        <x:f>+IF(COUNT($K$177:K$177)&lt;=$D$190,$K$181/$D$190,0)</x:f>
        <x:v>8622.982789327307</x:v>
      </x:c>
      <x:c r="L199" s="625"/>
      <x:c r="M199" s="425"/>
    </x:row>
    <x:row r="200" ht="14.399999618530273" customHeight="1">
      <x:c r="C200" s="617"/>
      <x:c r="D200" s="536"/>
      <x:c r="E200" s="536"/>
      <x:c r="F200" s="589"/>
      <x:c r="G200" s="536"/>
      <x:c r="H200" s="536"/>
      <x:c r="I200" s="424"/>
      <x:c r="J200" s="424"/>
      <x:c r="K200" s="473"/>
      <x:c r="L200" s="625"/>
      <x:c r="M200" s="425"/>
    </x:row>
    <x:row r="201" ht="14.399999618530273" customHeight="1">
      <x:c r="C201" s="443" t="s">
        <x:v>148</x:v>
      </x:c>
      <x:c r="D201" s="536"/>
      <x:c r="E201" s="536"/>
      <x:c r="F201" s="589"/>
      <x:c r="G201" s="536"/>
      <x:c r="H201" s="536"/>
      <x:c r="I201" s="424"/>
      <x:c r="J201" s="424"/>
      <x:c r="K201" s="424"/>
      <x:c r="L201" s="625"/>
      <x:c r="M201" s="425"/>
    </x:row>
    <x:row r="202" ht="14.399999618530273" customHeight="1">
      <x:c r="C202" s="617" t="n">
        <x:f>+$G$177</x:f>
        <x:v>45657</x:v>
      </x:c>
      <x:c r="D202" s="518"/>
      <x:c r="E202" s="518"/>
      <x:c r="F202" s="519"/>
      <x:c r="G202" s="482" t="n">
        <x:f ca="1">+IF(COUNT(G$177:$G$177)&lt;=$D$190,$G$182/$D$190,0)</x:f>
        <x:v>4562.028128875585</x:v>
      </x:c>
      <x:c r="H202" s="482" t="n">
        <x:f ca="1">+IF(COUNT($G$177:H$177)&lt;=$D$190,$G$182/$D$190,0)</x:f>
        <x:v>4562.028128875585</x:v>
      </x:c>
      <x:c r="I202" s="482" t="n">
        <x:f ca="1">+IF(COUNT($G$177:I$177)&lt;=$D$190,$G$182/$D$190,0)</x:f>
        <x:v>4562.028128875585</x:v>
      </x:c>
      <x:c r="J202" s="482" t="n">
        <x:f ca="1">+IF(COUNT($G$177:J$177)&lt;=$D$190,$G$182/$D$190,0)</x:f>
        <x:v>4562.028128875585</x:v>
      </x:c>
      <x:c r="K202" s="482" t="n">
        <x:f ca="1">+IF(COUNT($G$177:K$177)&lt;=$D$190,$G$182/$D$190,0)</x:f>
        <x:v>4562.028128875585</x:v>
      </x:c>
      <x:c r="L202" s="625"/>
      <x:c r="M202" s="425"/>
    </x:row>
    <x:row r="203" ht="14.399999618530273" customHeight="1">
      <x:c r="C203" s="617" t="n">
        <x:f>+$H$177</x:f>
        <x:v>46022</x:v>
      </x:c>
      <x:c r="D203" s="518"/>
      <x:c r="E203" s="518"/>
      <x:c r="F203" s="519"/>
      <x:c r="G203" s="582"/>
      <x:c r="H203" s="482" t="n">
        <x:f ca="1">+IF(COUNT($H$177:H$177)&lt;=$D$190,$H$182/$D$190,0)</x:f>
        <x:v>5033.606445896758</x:v>
      </x:c>
      <x:c r="I203" s="482" t="n">
        <x:f ca="1">+IF(COUNT($H$177:I$177)&lt;=$D$190,$H$182/$D$190,0)</x:f>
        <x:v>5033.606445896758</x:v>
      </x:c>
      <x:c r="J203" s="482" t="n">
        <x:f ca="1">+IF(COUNT($H$177:J$177)&lt;=$D$190,$H$182/$D$190,0)</x:f>
        <x:v>5033.606445896758</x:v>
      </x:c>
      <x:c r="K203" s="482" t="n">
        <x:f ca="1">+IF(COUNT($H$177:K$177)&lt;=$D$190,$H$182/$D$190,0)</x:f>
        <x:v>5033.606445896758</x:v>
      </x:c>
      <x:c r="L203" s="625"/>
      <x:c r="M203" s="425"/>
    </x:row>
    <x:row r="204" ht="14.399999618530273" customHeight="1">
      <x:c r="C204" s="617" t="n">
        <x:f>+$I$177</x:f>
        <x:v>46387</x:v>
      </x:c>
      <x:c r="D204" s="518"/>
      <x:c r="E204" s="518"/>
      <x:c r="F204" s="519"/>
      <x:c r="G204" s="582"/>
      <x:c r="H204" s="582"/>
      <x:c r="I204" s="482" t="n">
        <x:f ca="1">+IF(COUNT($I$177:I$177)&lt;=$D$190,$I$182/$D$190,0)</x:f>
        <x:v>5484.868882467661</x:v>
      </x:c>
      <x:c r="J204" s="482" t="n">
        <x:f ca="1">+IF(COUNT($I$177:J$177)&lt;=$D$190,$I$182/$D$190,0)</x:f>
        <x:v>5484.868882467661</x:v>
      </x:c>
      <x:c r="K204" s="482" t="n">
        <x:f ca="1">+IF(COUNT($I$177:K$177)&lt;=$D$190,$I$182/$D$190,0)</x:f>
        <x:v>5484.868882467661</x:v>
      </x:c>
      <x:c r="L204" s="625"/>
      <x:c r="M204" s="425"/>
    </x:row>
    <x:row r="205" ht="14.399999618530273" customHeight="1">
      <x:c r="C205" s="617" t="n">
        <x:f>+$J$177</x:f>
        <x:v>46752</x:v>
      </x:c>
      <x:c r="D205" s="518"/>
      <x:c r="E205" s="518"/>
      <x:c r="F205" s="519"/>
      <x:c r="G205" s="582"/>
      <x:c r="H205" s="582"/>
      <x:c r="I205" s="582"/>
      <x:c r="J205" s="482" t="n">
        <x:f ca="1">+IF(COUNT($J$177:J$177)&lt;=$D$190,$J$182/$D$190,0)</x:f>
        <x:v>5935.527960946762</x:v>
      </x:c>
      <x:c r="K205" s="482" t="n">
        <x:f ca="1">+IF(COUNT($J$177:K$177)&lt;=$D$190,$J$182/$D$190,0)</x:f>
        <x:v>5935.527960946762</x:v>
      </x:c>
      <x:c r="L205" s="625"/>
      <x:c r="M205" s="425"/>
    </x:row>
    <x:row r="206" ht="14.399999618530273" customHeight="1">
      <x:c r="C206" s="617" t="n">
        <x:f>+$K$177</x:f>
        <x:v>47118</x:v>
      </x:c>
      <x:c r="D206" s="518"/>
      <x:c r="E206" s="518"/>
      <x:c r="F206" s="519"/>
      <x:c r="G206" s="582"/>
      <x:c r="H206" s="582"/>
      <x:c r="I206" s="582"/>
      <x:c r="J206" s="582"/>
      <x:c r="K206" s="482" t="n">
        <x:f ca="1">+IF(COUNT($K$177:K$177)&lt;=$D$190,$K$182/$D$190,0)</x:f>
        <x:v>6430.800418634086</x:v>
      </x:c>
      <x:c r="L206" s="625"/>
      <x:c r="M206" s="425"/>
    </x:row>
    <x:row r="207" ht="14.399999618530273" customHeight="1">
      <x:c r="C207" s="617"/>
      <x:c r="D207" s="536"/>
      <x:c r="E207" s="536"/>
      <x:c r="F207" s="589"/>
      <x:c r="G207" s="536"/>
      <x:c r="H207" s="536"/>
      <x:c r="I207" s="424"/>
      <x:c r="J207" s="424"/>
      <x:c r="K207" s="473"/>
      <x:c r="L207" s="625"/>
      <x:c r="M207" s="425"/>
    </x:row>
    <x:row r="208" ht="14.399999618530273" customHeight="1">
      <x:c r="C208" s="576" t="s">
        <x:v>149</x:v>
      </x:c>
      <x:c r="D208" s="577" t="n">
        <x:f t="shared" ref="D208" si="110">+D192+SUM(D195:D199)+SUM(D202:D206)</x:f>
        <x:v>42900</x:v>
      </x:c>
      <x:c r="E208" s="577" t="n">
        <x:f t="shared" ref="E208" si="111">+E192+SUM(E195:E199)+SUM(E202:E206)</x:f>
        <x:v>52900</x:v>
      </x:c>
      <x:c r="F208" s="577" t="n">
        <x:f t="shared" ref="F208" si="112">+F192+SUM(F195:F199)+SUM(F202:F206)</x:f>
        <x:v>61600</x:v>
      </x:c>
      <x:c r="G208" s="577" t="n">
        <x:f t="shared" ref="G208:J208" ca="1" si="113">+G192+SUM(G195:G199)+SUM(G202:G206)</x:f>
        <x:v>38265.92516021281</x:v>
      </x:c>
      <x:c r="H208" s="577">
        <x:f t="shared" ca="1" si="113"/>
        <x:v>51077.026071414424</x:v>
      </x:c>
      <x:c r="I208" s="577">
        <x:f t="shared" ca="1" si="113"/>
        <x:v>64357.730809964538</x:v>
      </x:c>
      <x:c r="J208" s="577">
        <x:f t="shared" ca="1" si="113"/>
        <x:v>78650.539725731869</x:v>
      </x:c>
      <x:c r="K208" s="577" t="n">
        <x:f ca="1">+K192+SUM(K195:K199)+SUM(K202:K206)</x:f>
        <x:v>93704.32293369324</x:v>
      </x:c>
      <x:c r="L208" s="628"/>
      <x:c r="M208" s="435"/>
    </x:row>
    <x:row r="209" ht="14.399999618530273" customHeight="1">
      <x:c r="C209" s="22"/>
      <x:c r="D209" s="23"/>
      <x:c r="E209" s="23"/>
      <x:c r="F209" s="23"/>
      <x:c r="G209" s="23"/>
      <x:c r="H209" s="23"/>
      <x:c r="I209" s="23"/>
      <x:c r="J209" s="23"/>
      <x:c r="K209" s="23"/>
      <x:c r="L209" s="21"/>
    </x:row>
    <x:row r="210" ht="14.399999618530273" customHeight="1">
      <x:c r="C210" s="436" t="s">
        <x:v>150</x:v>
      </x:c>
      <x:c r="D210" s="437" t="s">
        <x:v>9</x:v>
      </x:c>
      <x:c r="E210" s="438"/>
      <x:c r="F210" s="439"/>
      <x:c r="G210" s="437" t="s">
        <x:v>10</x:v>
      </x:c>
      <x:c r="H210" s="438"/>
      <x:c r="I210" s="438"/>
      <x:c r="J210" s="438"/>
      <x:c r="K210" s="440"/>
      <x:c r="L210" s="21"/>
    </x:row>
    <x:row r="211" ht="14.399999618530273" customHeight="1">
      <x:c r="C211" s="441"/>
      <x:c r="D211" s="453" t="n">
        <x:f>+D$12</x:f>
        <x:v>44561</x:v>
      </x:c>
      <x:c r="E211" s="453" t="n">
        <x:f t="shared" ref="E211:K211" si="114">+E$12</x:f>
        <x:v>44926</x:v>
      </x:c>
      <x:c r="F211" s="453">
        <x:f t="shared" si="114"/>
        <x:v>45291</x:v>
      </x:c>
      <x:c r="G211" s="456">
        <x:f t="shared" si="114"/>
        <x:v>45657</x:v>
      </x:c>
      <x:c r="H211" s="456">
        <x:f t="shared" si="114"/>
        <x:v>46022</x:v>
      </x:c>
      <x:c r="I211" s="456">
        <x:f t="shared" si="114"/>
        <x:v>46387</x:v>
      </x:c>
      <x:c r="J211" s="456">
        <x:f t="shared" si="114"/>
        <x:v>46752</x:v>
      </x:c>
      <x:c r="K211" s="865">
        <x:f t="shared" si="114"/>
        <x:v>47118</x:v>
      </x:c>
      <x:c r="L211" s="21"/>
    </x:row>
    <x:row r="212" ht="14.399999618530273" customHeight="1">
      <x:c r="C212" s="443"/>
      <x:c r="D212" s="424"/>
      <x:c r="E212" s="424"/>
      <x:c r="F212" s="424"/>
      <x:c r="G212" s="424"/>
      <x:c r="H212" s="424"/>
      <x:c r="I212" s="424"/>
      <x:c r="J212" s="424"/>
      <x:c r="K212" s="425"/>
      <x:c r="L212" s="21"/>
    </x:row>
    <x:row r="213" ht="14.399999618530273" customHeight="1">
      <x:c r="C213" s="443" t="s">
        <x:v>112</x:v>
      </x:c>
      <x:c r="D213" s="618">
        <x:v>876660</x:v>
      </x:c>
      <x:c r="E213" s="551" t="n">
        <x:f>+D217</x:f>
        <x:v>1200676</x:v>
      </x:c>
      <x:c r="F213" s="551" t="n">
        <x:f t="shared" ref="F213:K213" si="115">+E217</x:f>
        <x:v>1756665</x:v>
      </x:c>
      <x:c r="G213" s="482">
        <x:f t="shared" si="115"/>
        <x:v>2370919</x:v>
      </x:c>
      <x:c r="H213" s="482">
        <x:f t="shared" ca="1" si="115"/>
        <x:v>3043911.4895253889</x:v>
      </x:c>
      <x:c r="I213" s="482">
        <x:f t="shared" ca="1" si="115"/>
        <x:v>3771785.9171077125</x:v>
      </x:c>
      <x:c r="J213" s="482">
        <x:f t="shared" ca="1" si="115"/>
        <x:v>4552212.1449209414</x:v>
      </x:c>
      <x:c r="K213" s="623">
        <x:f t="shared" ca="1" si="115"/>
        <x:v>5392264.7790992334</x:v>
      </x:c>
      <x:c r="L213" s="21"/>
    </x:row>
    <x:row r="214" ht="14.399999618530273" customHeight="1">
      <x:c r="C214" s="426" t="s">
        <x:v>151</x:v>
      </x:c>
      <x:c r="D214" s="551" t="n">
        <x:f t="shared" ref="D214:K214" si="116">+D26</x:f>
        <x:v>324016</x:v>
      </x:c>
      <x:c r="E214" s="551">
        <x:f t="shared" si="116"/>
        <x:v>555989</x:v>
      </x:c>
      <x:c r="F214" s="551">
        <x:f t="shared" si="116"/>
        <x:v>614254</x:v>
      </x:c>
      <x:c r="G214" s="482">
        <x:f t="shared" ca="1" si="116"/>
        <x:v>672992.48952538881</x:v>
      </x:c>
      <x:c r="H214" s="482">
        <x:f t="shared" ca="1" si="116"/>
        <x:v>727874.42758232378</x:v>
      </x:c>
      <x:c r="I214" s="482">
        <x:f t="shared" ca="1" si="116"/>
        <x:v>780426.22781322943</x:v>
      </x:c>
      <x:c r="J214" s="482">
        <x:f t="shared" ca="1" si="116"/>
        <x:v>840052.63417829154</x:v>
      </x:c>
      <x:c r="K214" s="623">
        <x:f t="shared" ca="1" si="116"/>
        <x:v>900402.36509114993</x:v>
      </x:c>
      <x:c r="L214" s="21"/>
    </x:row>
    <x:row r="215" ht="14.399999618530273" customHeight="1">
      <x:c r="C215" s="426" t="s">
        <x:v>152</x:v>
      </x:c>
      <x:c r="D215" s="618">
        <x:v>0</x:v>
      </x:c>
      <x:c r="E215" s="618">
        <x:v>0</x:v>
      </x:c>
      <x:c r="F215" s="618">
        <x:v>0</x:v>
      </x:c>
      <x:c r="G215" s="482" t="n">
        <x:f ca="1">+G214*G219</x:f>
        <x:v>0</x:v>
      </x:c>
      <x:c r="H215" s="482" t="n">
        <x:f t="shared" ref="H215:K215" ca="1" si="117">+H214*H219</x:f>
        <x:v>0</x:v>
      </x:c>
      <x:c r="I215" s="482">
        <x:f t="shared" ca="1" si="117"/>
        <x:v>0</x:v>
      </x:c>
      <x:c r="J215" s="482">
        <x:f t="shared" ca="1" si="117"/>
        <x:v>0</x:v>
      </x:c>
      <x:c r="K215" s="623">
        <x:f t="shared" ca="1" si="117"/>
        <x:v>0</x:v>
      </x:c>
      <x:c r="L215" s="21"/>
      <x:c r="O215" s="368"/>
    </x:row>
    <x:row r="216" ht="14.399999618530273" customHeight="1">
      <x:c r="C216" s="426" t="s">
        <x:v>153</x:v>
      </x:c>
      <x:c r="D216" s="618">
        <x:v>0</x:v>
      </x:c>
      <x:c r="E216" s="618">
        <x:v>0</x:v>
      </x:c>
      <x:c r="F216" s="618">
        <x:v>0</x:v>
      </x:c>
      <x:c r="G216" s="555">
        <x:v>0</x:v>
      </x:c>
      <x:c r="H216" s="555">
        <x:v>0</x:v>
      </x:c>
      <x:c r="I216" s="555">
        <x:v>0</x:v>
      </x:c>
      <x:c r="J216" s="555">
        <x:v>0</x:v>
      </x:c>
      <x:c r="K216" s="868">
        <x:v>0</x:v>
      </x:c>
      <x:c r="L216" s="21"/>
      <x:c r="O216" s="368"/>
    </x:row>
    <x:row r="217" ht="14.399999618530273" customHeight="1">
      <x:c r="C217" s="472" t="s">
        <x:v>114</x:v>
      </x:c>
      <x:c r="D217" s="552" t="n">
        <x:f>+D213+D214-D215-D216</x:f>
        <x:v>1200676</x:v>
      </x:c>
      <x:c r="E217" s="552" t="n">
        <x:f t="shared" ref="E217:K217" si="118">+E213+E214-E215-E216</x:f>
        <x:v>1756665</x:v>
      </x:c>
      <x:c r="F217" s="552">
        <x:f t="shared" si="118"/>
        <x:v>2370919</x:v>
      </x:c>
      <x:c r="G217" s="481">
        <x:f t="shared" ca="1" si="118"/>
        <x:v>3043911.4895253889</x:v>
      </x:c>
      <x:c r="H217" s="481">
        <x:f t="shared" ca="1" si="118"/>
        <x:v>3771785.9171077125</x:v>
      </x:c>
      <x:c r="I217" s="481">
        <x:f t="shared" ca="1" si="118"/>
        <x:v>4552212.1449209414</x:v>
      </x:c>
      <x:c r="J217" s="481">
        <x:f t="shared" ca="1" si="118"/>
        <x:v>5392264.7790992334</x:v>
      </x:c>
      <x:c r="K217" s="866">
        <x:f t="shared" ca="1" si="118"/>
        <x:v>6292667.1441903831</x:v>
      </x:c>
      <x:c r="L217" s="21"/>
    </x:row>
    <x:row r="218" ht="14.399999618530273" customHeight="1">
      <x:c r="C218" s="443"/>
      <x:c r="D218" s="540"/>
      <x:c r="E218" s="540"/>
      <x:c r="F218" s="589"/>
      <x:c r="G218" s="424"/>
      <x:c r="H218" s="424"/>
      <x:c r="I218" s="424"/>
      <x:c r="J218" s="424"/>
      <x:c r="K218" s="425"/>
      <x:c r="L218" s="21"/>
    </x:row>
    <x:row r="219" ht="14.399999618530273" customHeight="1">
      <x:c r="C219" s="432" t="s">
        <x:v>154</x:v>
      </x:c>
      <x:c r="D219" s="475" t="n">
        <x:f>+D215/D214</x:f>
        <x:v>0</x:v>
      </x:c>
      <x:c r="E219" s="475" t="n">
        <x:f t="shared" ref="E219:F219" si="119">+E215/E214</x:f>
        <x:v>0</x:v>
      </x:c>
      <x:c r="F219" s="475">
        <x:f t="shared" si="119"/>
        <x:v>0</x:v>
      </x:c>
      <x:c r="G219" s="475" t="n">
        <x:f>+AVERAGE(D219:F219)</x:f>
        <x:v>0</x:v>
      </x:c>
      <x:c r="H219" s="475" t="n">
        <x:f t="shared" ref="H219:K219" si="120">+AVERAGE(E219:G219)</x:f>
        <x:v>0</x:v>
      </x:c>
      <x:c r="I219" s="475">
        <x:f t="shared" si="120"/>
        <x:v>0</x:v>
      </x:c>
      <x:c r="J219" s="475">
        <x:f t="shared" si="120"/>
        <x:v>0</x:v>
      </x:c>
      <x:c r="K219" s="629">
        <x:f t="shared" si="120"/>
        <x:v>0</x:v>
      </x:c>
      <x:c r="L219" s="21"/>
      <x:c r="O219" s="368"/>
    </x:row>
    <x:row r="220" ht="14.399999618530273" customHeight="1">
      <x:c r="C220" s="271"/>
      <x:c r="D220" s="272"/>
      <x:c r="E220" s="272"/>
      <x:c r="F220" s="272"/>
      <x:c r="G220" s="272"/>
      <x:c r="H220" s="272"/>
      <x:c r="I220" s="272"/>
      <x:c r="J220" s="272"/>
      <x:c r="K220" s="272"/>
      <x:c r="L220" s="21"/>
    </x:row>
    <x:row r="221" ht="14.399999618530273" customHeight="1">
      <x:c r="C221" s="436" t="s">
        <x:v>155</x:v>
      </x:c>
      <x:c r="D221" s="437" t="s">
        <x:v>9</x:v>
      </x:c>
      <x:c r="E221" s="438"/>
      <x:c r="F221" s="439"/>
      <x:c r="G221" s="437" t="s">
        <x:v>10</x:v>
      </x:c>
      <x:c r="H221" s="438"/>
      <x:c r="I221" s="438"/>
      <x:c r="J221" s="438"/>
      <x:c r="K221" s="440"/>
      <x:c r="L221" s="21"/>
    </x:row>
    <x:row r="222" ht="14.399999618530273" customHeight="1">
      <x:c r="C222" s="441"/>
      <x:c r="D222" s="453" t="n">
        <x:f>+D$12</x:f>
        <x:v>44561</x:v>
      </x:c>
      <x:c r="E222" s="453" t="n">
        <x:f t="shared" ref="E222:K222" si="121">+E$12</x:f>
        <x:v>44926</x:v>
      </x:c>
      <x:c r="F222" s="453">
        <x:f t="shared" si="121"/>
        <x:v>45291</x:v>
      </x:c>
      <x:c r="G222" s="456">
        <x:f t="shared" si="121"/>
        <x:v>45657</x:v>
      </x:c>
      <x:c r="H222" s="456">
        <x:f t="shared" si="121"/>
        <x:v>46022</x:v>
      </x:c>
      <x:c r="I222" s="456">
        <x:f t="shared" si="121"/>
        <x:v>46387</x:v>
      </x:c>
      <x:c r="J222" s="456">
        <x:f t="shared" si="121"/>
        <x:v>46752</x:v>
      </x:c>
      <x:c r="K222" s="865">
        <x:f t="shared" si="121"/>
        <x:v>47118</x:v>
      </x:c>
      <x:c r="L222" s="21"/>
    </x:row>
    <x:row r="223" ht="14.399999618530273" customHeight="1">
      <x:c r="C223" s="443"/>
      <x:c r="D223" s="424"/>
      <x:c r="E223" s="424"/>
      <x:c r="F223" s="424"/>
      <x:c r="G223" s="424"/>
      <x:c r="H223" s="424"/>
      <x:c r="I223" s="424"/>
      <x:c r="J223" s="424"/>
      <x:c r="K223" s="425"/>
      <x:c r="L223" s="21"/>
    </x:row>
    <x:row r="224" ht="14.399999618530273" customHeight="1">
      <x:c r="C224" s="443" t="s">
        <x:v>112</x:v>
      </x:c>
      <x:c r="D224" s="618">
        <x:v>0</x:v>
      </x:c>
      <x:c r="E224" s="551" t="n">
        <x:f>+D227</x:f>
        <x:v>0</x:v>
      </x:c>
      <x:c r="F224" s="551" t="n">
        <x:f t="shared" ref="F224" si="122">+E227</x:f>
        <x:v>0</x:v>
      </x:c>
      <x:c r="G224" s="482" t="n">
        <x:f t="shared" ref="G224" si="123">+F227</x:f>
        <x:v>0</x:v>
      </x:c>
      <x:c r="H224" s="482" t="n">
        <x:f t="shared" ref="H224" ca="1" si="124">+G227</x:f>
        <x:v>0</x:v>
      </x:c>
      <x:c r="I224" s="482" t="n">
        <x:f t="shared" ref="I224" ca="1" si="125">+H227</x:f>
        <x:v>0</x:v>
      </x:c>
      <x:c r="J224" s="482" t="n">
        <x:f t="shared" ref="J224" ca="1" si="126">+I227</x:f>
        <x:v>0</x:v>
      </x:c>
      <x:c r="K224" s="623" t="n">
        <x:f t="shared" ref="K224" ca="1" si="127">+J227</x:f>
        <x:v>0</x:v>
      </x:c>
      <x:c r="L224" s="21"/>
    </x:row>
    <x:row r="225" ht="14.399999618530273" customHeight="1">
      <x:c r="C225" s="426" t="s">
        <x:v>156</x:v>
      </x:c>
      <x:c r="D225" s="618">
        <x:v>0</x:v>
      </x:c>
      <x:c r="E225" s="618">
        <x:v>0</x:v>
      </x:c>
      <x:c r="F225" s="618">
        <x:v>0</x:v>
      </x:c>
      <x:c r="G225" s="482">
        <x:f ca="1">+G229*(G23-G24)</x:f>
        <x:v>0</x:v>
      </x:c>
      <x:c r="H225" s="482" t="n">
        <x:f ca="1">+H229*(H23-H24)</x:f>
        <x:v>0</x:v>
      </x:c>
      <x:c r="I225" s="482" t="n">
        <x:f ca="1">+I229*(I23-I24)</x:f>
        <x:v>0</x:v>
      </x:c>
      <x:c r="J225" s="482" t="n">
        <x:f ca="1">+J229*(J23-J24)</x:f>
        <x:v>0</x:v>
      </x:c>
      <x:c r="K225" s="623" t="n">
        <x:f ca="1">+K229*(K23-K24)</x:f>
        <x:v>0</x:v>
      </x:c>
      <x:c r="L225" s="21"/>
    </x:row>
    <x:row r="226" ht="14.399999618530273" customHeight="1">
      <x:c r="C226" s="426" t="s">
        <x:v>153</x:v>
      </x:c>
      <x:c r="D226" s="618">
        <x:v>0</x:v>
      </x:c>
      <x:c r="E226" s="618">
        <x:v>0</x:v>
      </x:c>
      <x:c r="F226" s="618">
        <x:v>0</x:v>
      </x:c>
      <x:c r="G226" s="555">
        <x:v>0</x:v>
      </x:c>
      <x:c r="H226" s="555">
        <x:v>0</x:v>
      </x:c>
      <x:c r="I226" s="555">
        <x:v>0</x:v>
      </x:c>
      <x:c r="J226" s="555">
        <x:v>0</x:v>
      </x:c>
      <x:c r="K226" s="868">
        <x:v>0</x:v>
      </x:c>
      <x:c r="L226" s="21"/>
    </x:row>
    <x:row r="227" ht="14.399999618530273" customHeight="1">
      <x:c r="C227" s="472" t="s">
        <x:v>114</x:v>
      </x:c>
      <x:c r="D227" s="552" t="n">
        <x:f>+D224+D225-D226</x:f>
        <x:v>0</x:v>
      </x:c>
      <x:c r="E227" s="552" t="n">
        <x:f t="shared" ref="E227:K227" si="128">+E224+E225-E226</x:f>
        <x:v>0</x:v>
      </x:c>
      <x:c r="F227" s="552">
        <x:f t="shared" si="128"/>
        <x:v>0</x:v>
      </x:c>
      <x:c r="G227" s="481">
        <x:f t="shared" ca="1" si="128"/>
        <x:v>0</x:v>
      </x:c>
      <x:c r="H227" s="481">
        <x:f t="shared" ca="1" si="128"/>
        <x:v>0</x:v>
      </x:c>
      <x:c r="I227" s="481">
        <x:f t="shared" ca="1" si="128"/>
        <x:v>0</x:v>
      </x:c>
      <x:c r="J227" s="481">
        <x:f t="shared" ca="1" si="128"/>
        <x:v>0</x:v>
      </x:c>
      <x:c r="K227" s="866">
        <x:f t="shared" ca="1" si="128"/>
        <x:v>0</x:v>
      </x:c>
      <x:c r="L227" s="21"/>
      <x:c r="N227" s="380"/>
      <x:c r="O227" s="380"/>
    </x:row>
    <x:row r="228" ht="14.399999618530273" customHeight="1">
      <x:c r="C228" s="443"/>
      <x:c r="D228" s="540"/>
      <x:c r="E228" s="540"/>
      <x:c r="F228" s="589"/>
      <x:c r="G228" s="424"/>
      <x:c r="H228" s="424"/>
      <x:c r="I228" s="424"/>
      <x:c r="J228" s="424"/>
      <x:c r="K228" s="425"/>
      <x:c r="L228" s="21"/>
      <x:c r="N228" s="380"/>
      <x:c r="O228" s="380"/>
    </x:row>
    <x:row r="229" ht="14.399999618530273" customHeight="1">
      <x:c r="C229" s="432" t="s">
        <x:v>157</x:v>
      </x:c>
      <x:c r="D229" s="475" t="n">
        <x:f>+D225/SUM(D225,D214)</x:f>
        <x:v>0</x:v>
      </x:c>
      <x:c r="E229" s="475" t="n">
        <x:f t="shared" ref="E229:F229" si="129">+E225/SUM(E225,E214)</x:f>
        <x:v>0</x:v>
      </x:c>
      <x:c r="F229" s="475">
        <x:f t="shared" si="129"/>
        <x:v>0</x:v>
      </x:c>
      <x:c r="G229" s="475" t="n">
        <x:f>+AVERAGE(D229:F229)</x:f>
        <x:v>0</x:v>
      </x:c>
      <x:c r="H229" s="475" t="n">
        <x:f t="shared" ref="H229" si="130">+AVERAGE(E229:G229)</x:f>
        <x:v>0</x:v>
      </x:c>
      <x:c r="I229" s="475" t="n">
        <x:f t="shared" ref="I229" si="131">+AVERAGE(F229:H229)</x:f>
        <x:v>0</x:v>
      </x:c>
      <x:c r="J229" s="475" t="n">
        <x:f t="shared" ref="J229" si="132">+AVERAGE(G229:I229)</x:f>
        <x:v>0</x:v>
      </x:c>
      <x:c r="K229" s="629" t="n">
        <x:f t="shared" ref="K229" si="133">+AVERAGE(H229:J229)</x:f>
        <x:v>0</x:v>
      </x:c>
      <x:c r="L229" s="21"/>
      <x:c r="N229" s="380"/>
      <x:c r="O229" s="368"/>
    </x:row>
    <x:row r="230" ht="14.399999618530273" customHeight="1">
      <x:c r="L230" s="21"/>
    </x:row>
    <x:row r="231" ht="14.399999618530273" customHeight="1">
      <x:c r="C231" s="436" t="s">
        <x:v>158</x:v>
      </x:c>
      <x:c r="D231" s="437" t="s">
        <x:v>9</x:v>
      </x:c>
      <x:c r="E231" s="438"/>
      <x:c r="F231" s="439"/>
      <x:c r="G231" s="437" t="s">
        <x:v>10</x:v>
      </x:c>
      <x:c r="H231" s="438"/>
      <x:c r="I231" s="438"/>
      <x:c r="J231" s="438"/>
      <x:c r="K231" s="440"/>
      <x:c r="L231" s="21"/>
    </x:row>
    <x:row r="232" ht="14.399999618530273" customHeight="1">
      <x:c r="C232" s="441"/>
      <x:c r="D232" s="453" t="n">
        <x:f>+D$12</x:f>
        <x:v>44561</x:v>
      </x:c>
      <x:c r="E232" s="453" t="n">
        <x:f t="shared" ref="E232:K232" si="134">+E$12</x:f>
        <x:v>44926</x:v>
      </x:c>
      <x:c r="F232" s="453">
        <x:f t="shared" si="134"/>
        <x:v>45291</x:v>
      </x:c>
      <x:c r="G232" s="456">
        <x:f t="shared" si="134"/>
        <x:v>45657</x:v>
      </x:c>
      <x:c r="H232" s="456">
        <x:f t="shared" si="134"/>
        <x:v>46022</x:v>
      </x:c>
      <x:c r="I232" s="456">
        <x:f t="shared" si="134"/>
        <x:v>46387</x:v>
      </x:c>
      <x:c r="J232" s="456">
        <x:f t="shared" si="134"/>
        <x:v>46752</x:v>
      </x:c>
      <x:c r="K232" s="865">
        <x:f t="shared" si="134"/>
        <x:v>47118</x:v>
      </x:c>
      <x:c r="L232" s="21"/>
    </x:row>
    <x:row r="233" ht="14.399999618530273" customHeight="1">
      <x:c r="C233" s="443"/>
      <x:c r="D233" s="536"/>
      <x:c r="E233" s="424"/>
      <x:c r="F233" s="424"/>
      <x:c r="G233" s="424"/>
      <x:c r="H233" s="424"/>
      <x:c r="I233" s="424"/>
      <x:c r="J233" s="424"/>
      <x:c r="K233" s="425"/>
      <x:c r="L233" s="21"/>
    </x:row>
    <x:row r="234" ht="14.399999618530273" customHeight="1">
      <x:c r="C234" s="459" t="s">
        <x:v>159</x:v>
      </x:c>
      <x:c r="D234" s="536"/>
      <x:c r="E234" s="424"/>
      <x:c r="F234" s="517"/>
      <x:c r="G234" s="424"/>
      <x:c r="H234" s="424"/>
      <x:c r="I234" s="424"/>
      <x:c r="J234" s="424"/>
      <x:c r="K234" s="425"/>
      <x:c r="L234" s="21"/>
    </x:row>
    <x:row r="235" ht="14.399999618530273" customHeight="1">
      <x:c r="C235" s="443" t="s">
        <x:v>160</x:v>
      </x:c>
      <x:c r="D235" s="618">
        <x:v>400000</x:v>
      </x:c>
      <x:c r="E235" s="619" t="n">
        <x:f>+D235+E241</x:f>
        <x:v>400000</x:v>
      </x:c>
      <x:c r="F235" s="619" t="n">
        <x:f t="shared" ref="F235:K235" si="135">+E235+F241</x:f>
        <x:v>400000</x:v>
      </x:c>
      <x:c r="G235" s="482">
        <x:f t="shared" si="135"/>
        <x:v>400000</x:v>
      </x:c>
      <x:c r="H235" s="482">
        <x:f t="shared" si="135"/>
        <x:v>400000</x:v>
      </x:c>
      <x:c r="I235" s="482">
        <x:f t="shared" si="135"/>
        <x:v>400000</x:v>
      </x:c>
      <x:c r="J235" s="482">
        <x:f t="shared" si="135"/>
        <x:v>400000</x:v>
      </x:c>
      <x:c r="K235" s="623">
        <x:f t="shared" si="135"/>
        <x:v>400000</x:v>
      </x:c>
      <x:c r="L235" s="21"/>
    </x:row>
    <x:row r="236" ht="14.399999618530273" customHeight="1">
      <x:c r="C236" s="443" t="s">
        <x:v>161</x:v>
      </x:c>
      <x:c r="D236" s="618">
        <x:v>500000</x:v>
      </x:c>
      <x:c r="E236" s="619" t="n">
        <x:f t="shared" ref="E236:K236" si="136">+D236+E242</x:f>
        <x:v>500000</x:v>
      </x:c>
      <x:c r="F236" s="619">
        <x:f t="shared" si="136"/>
        <x:v>500000</x:v>
      </x:c>
      <x:c r="G236" s="482">
        <x:f t="shared" si="136"/>
        <x:v>500000</x:v>
      </x:c>
      <x:c r="H236" s="482">
        <x:f t="shared" si="136"/>
        <x:v>500000</x:v>
      </x:c>
      <x:c r="I236" s="482">
        <x:f t="shared" si="136"/>
        <x:v>500000</x:v>
      </x:c>
      <x:c r="J236" s="482">
        <x:f t="shared" si="136"/>
        <x:v>500000</x:v>
      </x:c>
      <x:c r="K236" s="623">
        <x:f t="shared" si="136"/>
        <x:v>500000</x:v>
      </x:c>
      <x:c r="L236" s="21"/>
    </x:row>
    <x:row r="237" ht="14.399999618530273" customHeight="1">
      <x:c r="C237" s="443" t="s">
        <x:v>162</x:v>
      </x:c>
      <x:c r="D237" s="618">
        <x:v>596250</x:v>
      </x:c>
      <x:c r="E237" s="619" t="n">
        <x:f t="shared" ref="E237:K237" si="137">+D237+E243</x:f>
        <x:v>566250</x:v>
      </x:c>
      <x:c r="F237" s="619">
        <x:f t="shared" si="137"/>
        <x:v>532500</x:v>
      </x:c>
      <x:c r="G237" s="482">
        <x:f t="shared" si="137"/>
        <x:v>487500</x:v>
      </x:c>
      <x:c r="H237" s="482">
        <x:f t="shared" si="137"/>
        <x:v>438750</x:v>
      </x:c>
      <x:c r="I237" s="482">
        <x:f t="shared" si="137"/>
        <x:v>0</x:v>
      </x:c>
      <x:c r="J237" s="482">
        <x:f t="shared" si="137"/>
        <x:v>0</x:v>
      </x:c>
      <x:c r="K237" s="623">
        <x:f t="shared" si="137"/>
        <x:v>0</x:v>
      </x:c>
      <x:c r="L237" s="21"/>
    </x:row>
    <x:row r="238" ht="14.399999618530273" customHeight="1">
      <x:c r="C238" s="426" t="s">
        <x:v>163</x:v>
      </x:c>
      <x:c r="D238" s="618">
        <x:v>17085</x:v>
      </x:c>
      <x:c r="E238" s="619" t="n">
        <x:f t="shared" ref="E238:K238" si="138">+D238+E244</x:f>
        <x:v>8427</x:v>
      </x:c>
      <x:c r="F238" s="619">
        <x:f t="shared" si="138"/>
        <x:v>2039</x:v>
      </x:c>
      <x:c r="G238" s="482">
        <x:f t="shared" si="138"/>
        <x:v>0</x:v>
      </x:c>
      <x:c r="H238" s="482">
        <x:f t="shared" si="138"/>
        <x:v>0</x:v>
      </x:c>
      <x:c r="I238" s="482">
        <x:f t="shared" si="138"/>
        <x:v>0</x:v>
      </x:c>
      <x:c r="J238" s="482">
        <x:f t="shared" si="138"/>
        <x:v>0</x:v>
      </x:c>
      <x:c r="K238" s="623">
        <x:f t="shared" si="138"/>
        <x:v>0</x:v>
      </x:c>
      <x:c r="L238" s="21"/>
    </x:row>
    <x:row r="239" ht="14.399999618530273" customHeight="1">
      <x:c r="C239" s="443"/>
      <x:c r="D239" s="536"/>
      <x:c r="E239" s="424"/>
      <x:c r="F239" s="517"/>
      <x:c r="G239" s="424"/>
      <x:c r="H239" s="424"/>
      <x:c r="I239" s="424"/>
      <x:c r="J239" s="424"/>
      <x:c r="K239" s="425"/>
      <x:c r="L239" s="21"/>
    </x:row>
    <x:row r="240" ht="14.399999618530273" customHeight="1">
      <x:c r="C240" s="459" t="s">
        <x:v>164</x:v>
      </x:c>
      <x:c r="D240" s="536"/>
      <x:c r="E240" s="424"/>
      <x:c r="F240" s="517"/>
      <x:c r="G240" s="424"/>
      <x:c r="H240" s="424"/>
      <x:c r="I240" s="424"/>
      <x:c r="J240" s="424"/>
      <x:c r="K240" s="425"/>
      <x:c r="L240" s="21"/>
      <x:c r="O240" s="380"/>
    </x:row>
    <x:row r="241" ht="14.399999618530273" customHeight="1">
      <x:c r="C241" s="426" t="str">
        <x:f>+C235</x:f>
        <x:v>Senior Debt due 2029</x:v>
      </x:c>
      <x:c r="D241" s="618">
        <x:v>400000</x:v>
      </x:c>
      <x:c r="E241" s="618">
        <x:v>0</x:v>
      </x:c>
      <x:c r="F241" s="618">
        <x:v>0</x:v>
      </x:c>
      <x:c r="G241" s="555">
        <x:v>0</x:v>
      </x:c>
      <x:c r="H241" s="555">
        <x:v>0</x:v>
      </x:c>
      <x:c r="I241" s="555">
        <x:v>0</x:v>
      </x:c>
      <x:c r="J241" s="555">
        <x:v>0</x:v>
      </x:c>
      <x:c r="K241" s="868">
        <x:v>0</x:v>
      </x:c>
      <x:c r="L241" s="21"/>
    </x:row>
    <x:row r="242" ht="14.399999618530273" customHeight="1">
      <x:c r="C242" s="426" t="str">
        <x:f t="shared" ref="C242:C244" si="139">+C236</x:f>
        <x:v>Senior Debt due 2032</x:v>
      </x:c>
      <x:c r="D242" s="618">
        <x:v>500000</x:v>
      </x:c>
      <x:c r="E242" s="618">
        <x:v>0</x:v>
      </x:c>
      <x:c r="F242" s="618">
        <x:v>0</x:v>
      </x:c>
      <x:c r="G242" s="555">
        <x:v>0</x:v>
      </x:c>
      <x:c r="H242" s="555">
        <x:v>0</x:v>
      </x:c>
      <x:c r="I242" s="555">
        <x:v>0</x:v>
      </x:c>
      <x:c r="J242" s="555">
        <x:v>0</x:v>
      </x:c>
      <x:c r="K242" s="868">
        <x:v>0</x:v>
      </x:c>
      <x:c r="L242" s="21"/>
    </x:row>
    <x:row r="243" ht="14.399999618530273" customHeight="1">
      <x:c r="C243" s="426" t="str">
        <x:f t="shared" si="139"/>
        <x:v>Term loan due 2026</x:v>
      </x:c>
      <x:c r="D243" s="618" t="n">
        <x:f>322500-15000</x:f>
        <x:v>307500</x:v>
      </x:c>
      <x:c r="E243" s="618">
        <x:v>-30000</x:v>
      </x:c>
      <x:c r="F243" s="618">
        <x:v>-33750</x:v>
      </x:c>
      <x:c r="G243" s="555">
        <x:v>-45000</x:v>
      </x:c>
      <x:c r="H243" s="555">
        <x:v>-48750</x:v>
      </x:c>
      <x:c r="I243" s="555">
        <x:v>-438750</x:v>
      </x:c>
      <x:c r="J243" s="555">
        <x:v>0</x:v>
      </x:c>
      <x:c r="K243" s="868">
        <x:v>0</x:v>
      </x:c>
      <x:c r="L243" s="21"/>
    </x:row>
    <x:row r="244" ht="14.399999618530273" customHeight="1">
      <x:c r="C244" s="426" t="str">
        <x:f t="shared" si="139"/>
        <x:v>Equipment notes</x:v>
      </x:c>
      <x:c r="D244" s="618" t="n">
        <x:f>-8333-33</x:f>
        <x:v>-8366</x:v>
      </x:c>
      <x:c r="E244" s="618" t="n">
        <x:f>-8651-7</x:f>
        <x:v>-8658</x:v>
      </x:c>
      <x:c r="F244" s="618" t="n">
        <x:f>-6337-51</x:f>
        <x:v>-6388</x:v>
      </x:c>
      <x:c r="G244" s="555">
        <x:v>-2039</x:v>
      </x:c>
      <x:c r="H244" s="555">
        <x:v>0</x:v>
      </x:c>
      <x:c r="I244" s="555">
        <x:v>0</x:v>
      </x:c>
      <x:c r="J244" s="555">
        <x:v>0</x:v>
      </x:c>
      <x:c r="K244" s="868">
        <x:v>0</x:v>
      </x:c>
      <x:c r="L244" s="21"/>
    </x:row>
    <x:row r="245" ht="14.399999618530273" customHeight="1">
      <x:c r="C245" s="443"/>
      <x:c r="D245" s="536"/>
      <x:c r="E245" s="424"/>
      <x:c r="F245" s="517"/>
      <x:c r="G245" s="424"/>
      <x:c r="H245" s="424"/>
      <x:c r="I245" s="424"/>
      <x:c r="J245" s="424"/>
      <x:c r="K245" s="425"/>
      <x:c r="L245" s="21"/>
    </x:row>
    <x:row r="246" ht="14.399999618530273" customHeight="1">
      <x:c r="C246" s="459" t="s">
        <x:v>165</x:v>
      </x:c>
      <x:c r="D246" s="536"/>
      <x:c r="E246" s="424"/>
      <x:c r="F246" s="517"/>
      <x:c r="G246" s="424"/>
      <x:c r="H246" s="424"/>
      <x:c r="I246" s="424"/>
      <x:c r="J246" s="424"/>
      <x:c r="K246" s="425"/>
      <x:c r="L246" s="21"/>
    </x:row>
    <x:row r="247" ht="14.399999618530273" customHeight="1">
      <x:c r="C247" s="443" t="str">
        <x:f>+C235</x:f>
        <x:v>Senior Debt due 2029</x:v>
      </x:c>
      <x:c r="D247" s="582"/>
      <x:c r="E247" s="518"/>
      <x:c r="F247" s="630"/>
      <x:c r="G247" s="657">
        <x:v>3.6249999999999998E-2</x:v>
      </x:c>
      <x:c r="H247" s="658" t="n">
        <x:f>+G247</x:f>
        <x:v>0.03625</x:v>
      </x:c>
      <x:c r="I247" s="658" t="n">
        <x:f t="shared" ref="I247" si="140">+H247</x:f>
        <x:v>0.03625</x:v>
      </x:c>
      <x:c r="J247" s="658" t="n">
        <x:f t="shared" ref="J247" si="141">+I247</x:f>
        <x:v>0.03625</x:v>
      </x:c>
      <x:c r="K247" s="875" t="n">
        <x:f t="shared" ref="K247" si="142">+J247</x:f>
        <x:v>0.03625</x:v>
      </x:c>
      <x:c r="L247" s="21"/>
    </x:row>
    <x:row r="248" ht="14.399999618530273" customHeight="1">
      <x:c r="C248" s="443" t="str">
        <x:f t="shared" ref="C248:C250" si="143">+C236</x:f>
        <x:v>Senior Debt due 2032</x:v>
      </x:c>
      <x:c r="D248" s="582"/>
      <x:c r="E248" s="518"/>
      <x:c r="F248" s="630"/>
      <x:c r="G248" s="657">
        <x:v>4.1250000000000002E-2</x:v>
      </x:c>
      <x:c r="H248" s="658" t="n">
        <x:f>+G248</x:f>
        <x:v>0.04125</x:v>
      </x:c>
      <x:c r="I248" s="658" t="n">
        <x:f t="shared" ref="I248" si="144">+H248</x:f>
        <x:v>0.04125</x:v>
      </x:c>
      <x:c r="J248" s="658" t="n">
        <x:f t="shared" ref="J248" si="145">+I248</x:f>
        <x:v>0.04125</x:v>
      </x:c>
      <x:c r="K248" s="875" t="n">
        <x:f t="shared" ref="K248" si="146">+J248</x:f>
        <x:v>0.04125</x:v>
      </x:c>
      <x:c r="L248" s="21"/>
    </x:row>
    <x:row r="249" ht="14.399999618530273" customHeight="1">
      <x:c r="C249" s="443" t="str">
        <x:f t="shared" si="143"/>
        <x:v>Term loan due 2026</x:v>
      </x:c>
      <x:c r="D249" s="582"/>
      <x:c r="E249" s="518"/>
      <x:c r="F249" s="630"/>
      <x:c r="G249" s="659">
        <x:v>6.4600000000000005E-2</x:v>
      </x:c>
      <x:c r="H249" s="660" t="n">
        <x:f>+G249</x:f>
        <x:v>0.0646</x:v>
      </x:c>
      <x:c r="I249" s="660" t="n">
        <x:f t="shared" ref="I249" si="147">+H249</x:f>
        <x:v>0.0646</x:v>
      </x:c>
      <x:c r="J249" s="660" t="n">
        <x:f t="shared" ref="J249" si="148">+I249</x:f>
        <x:v>0.0646</x:v>
      </x:c>
      <x:c r="K249" s="876" t="n">
        <x:f t="shared" ref="K249" si="149">+J249</x:f>
        <x:v>0.0646</x:v>
      </x:c>
      <x:c r="L249" s="21"/>
    </x:row>
    <x:row r="250" ht="14.399999618530273" customHeight="1">
      <x:c r="C250" s="443" t="str">
        <x:f t="shared" si="143"/>
        <x:v>Equipment notes</x:v>
      </x:c>
      <x:c r="D250" s="582"/>
      <x:c r="E250" s="518"/>
      <x:c r="F250" s="630"/>
      <x:c r="G250" s="661" t="n">
        <x:f>+AVERAGE(2.8%,4.4%)</x:f>
        <x:v>0.036000000000000004</x:v>
      </x:c>
      <x:c r="H250" s="558" t="n">
        <x:f>+G250</x:f>
        <x:v>0.036000000000000004</x:v>
      </x:c>
      <x:c r="I250" s="558" t="n">
        <x:f t="shared" ref="I250:K250" si="150">+H250</x:f>
        <x:v>0.036000000000000004</x:v>
      </x:c>
      <x:c r="J250" s="558">
        <x:f t="shared" si="150"/>
        <x:v>3.6000000000000004E-2</x:v>
      </x:c>
      <x:c r="K250" s="871">
        <x:f t="shared" si="150"/>
        <x:v>3.6000000000000004E-2</x:v>
      </x:c>
      <x:c r="L250" s="21"/>
      <x:c r="O250" s="380"/>
    </x:row>
    <x:row r="251" ht="14.399999618530273" customHeight="1">
      <x:c r="C251" s="443"/>
      <x:c r="D251" s="536"/>
      <x:c r="E251" s="424"/>
      <x:c r="F251" s="517"/>
      <x:c r="G251" s="424"/>
      <x:c r="H251" s="424"/>
      <x:c r="I251" s="424"/>
      <x:c r="J251" s="424"/>
      <x:c r="K251" s="425"/>
      <x:c r="L251" s="21"/>
    </x:row>
    <x:row r="252" ht="14.399999618530273" customHeight="1">
      <x:c r="C252" s="459" t="s">
        <x:v>166</x:v>
      </x:c>
      <x:c r="D252" s="536"/>
      <x:c r="E252" s="424"/>
      <x:c r="F252" s="517"/>
      <x:c r="G252" s="424"/>
      <x:c r="H252" s="424"/>
      <x:c r="I252" s="424"/>
      <x:c r="J252" s="424"/>
      <x:c r="K252" s="425"/>
      <x:c r="L252" s="21"/>
    </x:row>
    <x:row r="253" ht="14.399999618530273" customHeight="1">
      <x:c r="C253" s="426" t="str">
        <x:f>+C235</x:f>
        <x:v>Senior Debt due 2029</x:v>
      </x:c>
      <x:c r="D253" s="637"/>
      <x:c r="E253" s="582"/>
      <x:c r="F253" s="627"/>
      <x:c r="G253" s="482" t="n">
        <x:f>+IF($J$5=1,G247*AVERAGE(F235,G235),0)</x:f>
        <x:v>14499.999999999998</x:v>
      </x:c>
      <x:c r="H253" s="482" t="n">
        <x:f t="shared" ref="H253:K253" si="151">+IF($J$5=1,H247*AVERAGE(G235,H235),0)</x:f>
        <x:v>14499.999999999998</x:v>
      </x:c>
      <x:c r="I253" s="482">
        <x:f t="shared" si="151"/>
        <x:v>14499.999999999998</x:v>
      </x:c>
      <x:c r="J253" s="482">
        <x:f t="shared" si="151"/>
        <x:v>14499.999999999998</x:v>
      </x:c>
      <x:c r="K253" s="623">
        <x:f t="shared" si="151"/>
        <x:v>14499.999999999998</x:v>
      </x:c>
      <x:c r="L253" s="21"/>
    </x:row>
    <x:row r="254" ht="14.399999618530273" customHeight="1">
      <x:c r="C254" s="426" t="str">
        <x:f t="shared" ref="C254:C256" si="152">+C236</x:f>
        <x:v>Senior Debt due 2032</x:v>
      </x:c>
      <x:c r="D254" s="637"/>
      <x:c r="E254" s="582"/>
      <x:c r="F254" s="627"/>
      <x:c r="G254" s="482" t="n">
        <x:f t="shared" ref="G254:K254" si="153">+IF($J$5=1,G248*AVERAGE(F236,G236),0)</x:f>
        <x:v>20625</x:v>
      </x:c>
      <x:c r="H254" s="482">
        <x:f t="shared" si="153"/>
        <x:v>20625</x:v>
      </x:c>
      <x:c r="I254" s="482">
        <x:f t="shared" si="153"/>
        <x:v>20625</x:v>
      </x:c>
      <x:c r="J254" s="482">
        <x:f t="shared" si="153"/>
        <x:v>20625</x:v>
      </x:c>
      <x:c r="K254" s="623">
        <x:f t="shared" si="153"/>
        <x:v>20625</x:v>
      </x:c>
      <x:c r="L254" s="21"/>
    </x:row>
    <x:row r="255" ht="14.399999618530273" customHeight="1">
      <x:c r="C255" s="426" t="str">
        <x:f t="shared" si="152"/>
        <x:v>Term loan due 2026</x:v>
      </x:c>
      <x:c r="D255" s="637"/>
      <x:c r="E255" s="582"/>
      <x:c r="F255" s="627"/>
      <x:c r="G255" s="482" t="n">
        <x:f t="shared" ref="G255:K255" si="154">+IF($J$5=1,G249*AVERAGE(F237,G237),0)</x:f>
        <x:v>32946</x:v>
      </x:c>
      <x:c r="H255" s="482">
        <x:f t="shared" si="154"/>
        <x:v>29917.875000000004</x:v>
      </x:c>
      <x:c r="I255" s="482">
        <x:f t="shared" si="154"/>
        <x:v>14171.625000000002</x:v>
      </x:c>
      <x:c r="J255" s="482">
        <x:f t="shared" si="154"/>
        <x:v>0</x:v>
      </x:c>
      <x:c r="K255" s="623">
        <x:f t="shared" si="154"/>
        <x:v>0</x:v>
      </x:c>
      <x:c r="L255" s="21"/>
    </x:row>
    <x:row r="256" ht="14.399999618530273" customHeight="1">
      <x:c r="C256" s="426" t="str">
        <x:f t="shared" si="152"/>
        <x:v>Equipment notes</x:v>
      </x:c>
      <x:c r="D256" s="637"/>
      <x:c r="E256" s="582"/>
      <x:c r="F256" s="627"/>
      <x:c r="G256" s="482" t="n">
        <x:f t="shared" ref="G256:K256" si="155">+IF($J$5=1,G250*AVERAGE(F238,G238),0)</x:f>
        <x:v>36.702000000000005</x:v>
      </x:c>
      <x:c r="H256" s="482">
        <x:f t="shared" si="155"/>
        <x:v>0</x:v>
      </x:c>
      <x:c r="I256" s="482">
        <x:f t="shared" si="155"/>
        <x:v>0</x:v>
      </x:c>
      <x:c r="J256" s="482">
        <x:f t="shared" si="155"/>
        <x:v>0</x:v>
      </x:c>
      <x:c r="K256" s="623">
        <x:f t="shared" si="155"/>
        <x:v>0</x:v>
      </x:c>
      <x:c r="L256" s="21"/>
    </x:row>
    <x:row r="257" ht="14.399999618530273" customHeight="1">
      <x:c r="C257" s="443"/>
      <x:c r="D257" s="424"/>
      <x:c r="E257" s="424"/>
      <x:c r="F257" s="581"/>
      <x:c r="G257" s="424"/>
      <x:c r="H257" s="424"/>
      <x:c r="I257" s="424"/>
      <x:c r="J257" s="424"/>
      <x:c r="K257" s="425"/>
      <x:c r="L257" s="21"/>
    </x:row>
    <x:row r="258" ht="14.399999618530273" customHeight="1">
      <x:c r="C258" s="638" t="s">
        <x:v>167</x:v>
      </x:c>
      <x:c r="D258" s="655">
        <x:v>38640</x:v>
      </x:c>
      <x:c r="E258" s="655">
        <x:v>40068</x:v>
      </x:c>
      <x:c r="F258" s="655">
        <x:v>47039</x:v>
      </x:c>
      <x:c r="G258" s="662" t="n">
        <x:f>-SUM(H241:H244)</x:f>
        <x:v>48750</x:v>
      </x:c>
      <x:c r="H258" s="662" t="n">
        <x:f>-SUM(I241:I244)</x:f>
        <x:v>438750</x:v>
      </x:c>
      <x:c r="I258" s="662" t="n">
        <x:f>-SUM(J241:J244)</x:f>
        <x:v>0</x:v>
      </x:c>
      <x:c r="J258" s="662" t="n">
        <x:f>-SUM(K241:K244)</x:f>
        <x:v>0</x:v>
      </x:c>
      <x:c r="K258" s="877">
        <x:v>400000</x:v>
      </x:c>
      <x:c r="L258" s="21"/>
      <x:c r="O258" s="404"/>
      <x:c r="P258" s="404"/>
      <x:c r="Q258" s="404"/>
      <x:c r="R258" s="404"/>
      <x:c r="S258" s="404"/>
      <x:c r="T258" s="404"/>
      <x:c r="U258" s="404"/>
      <x:c r="V258" s="404"/>
      <x:c r="W258" s="404"/>
      <x:c r="X258" s="404"/>
      <x:c r="Y258" s="404"/>
      <x:c r="Z258" s="404"/>
      <x:c r="AA258" s="404"/>
    </x:row>
    <x:row r="259" ht="14.399999618530273" customHeight="1">
      <x:c r="C259" s="426" t="s">
        <x:v>168</x:v>
      </x:c>
      <x:c r="D259" s="618">
        <x:v>1454483</x:v>
      </x:c>
      <x:c r="E259" s="618">
        <x:v>1417257</x:v>
      </x:c>
      <x:c r="F259" s="618">
        <x:v>1373028</x:v>
      </x:c>
      <x:c r="G259" s="580" t="n">
        <x:f>+SUM(G235:G238)-G258-G261</x:f>
        <x:v>1327172.4</x:v>
      </x:c>
      <x:c r="H259" s="580" t="n">
        <x:f>+SUM(H235:H238)-H258-H261</x:f>
        <x:v>891316.8</x:v>
      </x:c>
      <x:c r="I259" s="580" t="n">
        <x:f>+SUM(I235:I238)-I258-I261</x:f>
        <x:v>894211.2</x:v>
      </x:c>
      <x:c r="J259" s="580" t="n">
        <x:f>+SUM(J235:J238)-J258-J261</x:f>
        <x:v>897105.6</x:v>
      </x:c>
      <x:c r="K259" s="867" t="n">
        <x:f>+SUM(K235:K238)-K258-K261</x:f>
        <x:v>500000</x:v>
      </x:c>
      <x:c r="L259" s="21"/>
      <x:c r="O259" s="404"/>
      <x:c r="P259" s="404"/>
      <x:c r="Q259" s="404"/>
      <x:c r="R259" s="404"/>
      <x:c r="S259" s="404"/>
      <x:c r="T259" s="404"/>
      <x:c r="U259" s="404"/>
      <x:c r="V259" s="404"/>
      <x:c r="W259" s="404"/>
      <x:c r="X259" s="404"/>
      <x:c r="Y259" s="404"/>
      <x:c r="Z259" s="404"/>
      <x:c r="AA259" s="404"/>
    </x:row>
    <x:row r="260" ht="14.399999618530273" customHeight="1">
      <x:c r="C260" s="443" t="s">
        <x:v>169</x:v>
      </x:c>
      <x:c r="D260" s="551" t="n">
        <x:f>+D21-D285</x:f>
        <x:v>29119</x:v>
      </x:c>
      <x:c r="E260" s="551" t="n">
        <x:f>+E21-E285</x:f>
        <x:v>56448</x:v>
      </x:c>
      <x:c r="F260" s="551" t="n">
        <x:f>+F21-F285</x:f>
        <x:v>74404</x:v>
      </x:c>
      <x:c r="G260" s="482" t="n">
        <x:f>+SUM(G253:G256)+F261-G261</x:f>
        <x:v>71002.102</x:v>
      </x:c>
      <x:c r="H260" s="482" t="n">
        <x:f t="shared" ref="H260:K260" si="156">+SUM(H253:H256)+G261-H261</x:f>
        <x:v>67937.27500000001</x:v>
      </x:c>
      <x:c r="I260" s="482">
        <x:f t="shared" si="156"/>
        <x:v>52191.024999999994</x:v>
      </x:c>
      <x:c r="J260" s="482">
        <x:f t="shared" si="156"/>
        <x:v>38019.4</x:v>
      </x:c>
      <x:c r="K260" s="623">
        <x:f t="shared" si="156"/>
        <x:v>38019.4</x:v>
      </x:c>
      <x:c r="L260" s="21"/>
      <x:c r="O260" s="404"/>
      <x:c r="P260" s="404"/>
      <x:c r="Q260" s="404"/>
      <x:c r="R260" s="404"/>
      <x:c r="S260" s="404"/>
      <x:c r="T260" s="404"/>
      <x:c r="U260" s="404"/>
      <x:c r="V260" s="404"/>
      <x:c r="W260" s="404"/>
      <x:c r="X260" s="404"/>
      <x:c r="Y260" s="404"/>
      <x:c r="Z260" s="404"/>
      <x:c r="AA260" s="404"/>
    </x:row>
    <x:row r="261" ht="14.399999618530273" customHeight="1">
      <x:c r="C261" s="643" t="s">
        <x:v>170</x:v>
      </x:c>
      <x:c r="D261" s="619" t="n">
        <x:f>+SUM(D235:D238)-D258-D259</x:f>
        <x:v>20212</x:v>
      </x:c>
      <x:c r="E261" s="619" t="n">
        <x:f>+SUM(E235:E238)-E258-E259</x:f>
        <x:v>17352</x:v>
      </x:c>
      <x:c r="F261" s="619" t="n">
        <x:f>+SUM(F235:F238)-F258-F259</x:f>
        <x:v>14472</x:v>
      </x:c>
      <x:c r="G261" s="580" t="n">
        <x:f>+MAX(0,MIN($F261,F261-$F261/5))</x:f>
        <x:v>11577.6</x:v>
      </x:c>
      <x:c r="H261" s="580" t="n">
        <x:f t="shared" ref="H261:K261" si="157">+MAX(0,MIN($F261,G261-$F261/5))</x:f>
        <x:v>8683.2</x:v>
      </x:c>
      <x:c r="I261" s="580">
        <x:f t="shared" si="157"/>
        <x:v>5788.8000000000011</x:v>
      </x:c>
      <x:c r="J261" s="580">
        <x:f t="shared" si="157"/>
        <x:v>2894.400000000001</x:v>
      </x:c>
      <x:c r="K261" s="867">
        <x:f t="shared" si="157"/>
        <x:v>9.0949470177292824E-13</x:v>
      </x:c>
      <x:c r="L261" s="21"/>
      <x:c r="O261" s="404"/>
      <x:c r="P261" s="404"/>
      <x:c r="Q261" s="404"/>
      <x:c r="R261" s="404"/>
      <x:c r="S261" s="404"/>
      <x:c r="T261" s="404"/>
      <x:c r="U261" s="404"/>
      <x:c r="V261" s="404"/>
      <x:c r="W261" s="404"/>
      <x:c r="X261" s="404"/>
      <x:c r="Y261" s="404"/>
      <x:c r="Z261" s="404"/>
      <x:c r="AA261" s="404"/>
    </x:row>
    <x:row r="262" ht="14.399999618530273" customHeight="1">
      <x:c r="C262" s="443"/>
      <x:c r="D262" s="473"/>
      <x:c r="E262" s="473"/>
      <x:c r="F262" s="581"/>
      <x:c r="G262" s="473"/>
      <x:c r="H262" s="424"/>
      <x:c r="I262" s="424"/>
      <x:c r="J262" s="424"/>
      <x:c r="K262" s="425"/>
      <x:c r="L262" s="21"/>
      <x:c r="O262" s="380"/>
    </x:row>
    <x:row r="263" ht="14.399999618530273" customHeight="1">
      <x:c r="C263" s="443" t="s">
        <x:v>171</x:v>
      </x:c>
      <x:c r="D263" s="536"/>
      <x:c r="E263" s="424"/>
      <x:c r="F263" s="517"/>
      <x:c r="G263" s="473"/>
      <x:c r="H263" s="424"/>
      <x:c r="I263" s="424"/>
      <x:c r="J263" s="424"/>
      <x:c r="K263" s="425"/>
      <x:c r="L263" s="21"/>
    </x:row>
    <x:row r="264" ht="14.399999618530273" customHeight="1">
      <x:c r="C264" s="426" t="s">
        <x:v>172</x:v>
      </x:c>
      <x:c r="D264" s="582"/>
      <x:c r="E264" s="582"/>
      <x:c r="F264" s="627"/>
      <x:c r="G264" s="482">
        <x:f ca="1">+F46+G86+G93+G95+G97+G98+G241+G242+G243+G244+G101</x:f>
        <x:v>1331865.9943147644</x:v>
      </x:c>
      <x:c r="H264" s="482">
        <x:f t="shared" ref="H264:K264" ca="1" si="158">+G46+H86+H93+H95+H97+H98+H241+H242+H243+H244+H101</x:f>
        <x:v>1868402.9029968521</x:v>
      </x:c>
      <x:c r="I264" s="482">
        <x:f t="shared" ca="1" si="158"/>
        <x:v>2067529.37178441</x:v>
      </x:c>
      <x:c r="J264" s="482">
        <x:f t="shared" ca="1" si="158"/>
        <x:v>2757917.0227397331</x:v>
      </x:c>
      <x:c r="K264" s="623">
        <x:f t="shared" ca="1" si="158"/>
        <x:v>3506004.7658375474</x:v>
      </x:c>
      <x:c r="L264" s="21"/>
      <x:c r="O264" s="380"/>
    </x:row>
    <x:row r="265" ht="14.399999618530273" customHeight="1">
      <x:c r="C265" s="426" t="s">
        <x:v>173</x:v>
      </x:c>
      <x:c r="D265" s="582"/>
      <x:c r="E265" s="582"/>
      <x:c r="F265" s="627"/>
      <x:c r="G265" s="482" t="n">
        <x:f>+G266*G14</x:f>
        <x:v>134698.52915382403</x:v>
      </x:c>
      <x:c r="H265" s="482" t="n">
        <x:f>+H266*H14</x:f>
        <x:v>138651.07683815746</x:v>
      </x:c>
      <x:c r="I265" s="482" t="n">
        <x:f>+I266*I14</x:f>
        <x:v>143150.46104437672</x:v>
      </x:c>
      <x:c r="J265" s="482" t="n">
        <x:f>+J266*J14</x:f>
        <x:v>148744.3362443634</x:v>
      </x:c>
      <x:c r="K265" s="623" t="n">
        <x:f>+K266*K14</x:f>
        <x:v>155146.74578904358</x:v>
      </x:c>
      <x:c r="L265" s="21"/>
    </x:row>
    <x:row r="266" ht="14.399999618530273" customHeight="1">
      <x:c r="C266" s="423" t="s">
        <x:v>174</x:v>
      </x:c>
      <x:c r="D266" s="647"/>
      <x:c r="E266" s="647"/>
      <x:c r="F266" s="627"/>
      <x:c r="G266" s="503">
        <x:v>2.5000000000000001E-2</x:v>
      </x:c>
      <x:c r="H266" s="503">
        <x:v>2.5000000000000001E-2</x:v>
      </x:c>
      <x:c r="I266" s="503">
        <x:v>2.5000000000000001E-2</x:v>
      </x:c>
      <x:c r="J266" s="503">
        <x:v>2.5000000000000001E-2</x:v>
      </x:c>
      <x:c r="K266" s="878">
        <x:v>2.5000000000000001E-2</x:v>
      </x:c>
      <x:c r="L266" s="21"/>
    </x:row>
    <x:row r="267" ht="14.399999618530273" customHeight="1">
      <x:c r="C267" s="472"/>
      <x:c r="D267" s="473"/>
      <x:c r="E267" s="473"/>
      <x:c r="F267" s="537"/>
      <x:c r="G267" s="473"/>
      <x:c r="H267" s="473"/>
      <x:c r="I267" s="473"/>
      <x:c r="J267" s="473"/>
      <x:c r="K267" s="474"/>
      <x:c r="L267" s="21"/>
    </x:row>
    <x:row r="268" ht="14.399999618530273" customHeight="1">
      <x:c r="C268" s="443" t="s">
        <x:v>175</x:v>
      </x:c>
      <x:c r="D268" s="473"/>
      <x:c r="E268" s="473"/>
      <x:c r="F268" s="537"/>
      <x:c r="G268" s="473"/>
      <x:c r="H268" s="473"/>
      <x:c r="I268" s="473"/>
      <x:c r="J268" s="473"/>
      <x:c r="K268" s="474"/>
      <x:c r="L268" s="21"/>
      <x:c r="M268" s="383"/>
      <x:c r="N268" s="383"/>
      <x:c r="O268" s="379"/>
      <x:c r="P268" s="379"/>
      <x:c r="Q268" s="379"/>
      <x:c r="R268" s="379"/>
      <x:c r="S268" s="379"/>
      <x:c r="T268" s="379"/>
      <x:c r="U268" s="379"/>
      <x:c r="V268" s="379"/>
      <x:c r="W268" s="379"/>
      <x:c r="X268" s="379"/>
    </x:row>
    <x:row r="269" ht="14.399999618530273" customHeight="1">
      <x:c r="C269" s="426" t="s">
        <x:v>176</x:v>
      </x:c>
      <x:c r="D269" s="582"/>
      <x:c r="E269" s="582"/>
      <x:c r="F269" s="627"/>
      <x:c r="G269" s="482" t="n">
        <x:f>+F271</x:f>
        <x:v>0</x:v>
      </x:c>
      <x:c r="H269" s="482" t="n">
        <x:f t="shared" ref="H269:K269" ca="1" si="159">+G271</x:f>
        <x:v>0</x:v>
      </x:c>
      <x:c r="I269" s="482">
        <x:f t="shared" ca="1" si="159"/>
        <x:v>0</x:v>
      </x:c>
      <x:c r="J269" s="482">
        <x:f t="shared" ca="1" si="159"/>
        <x:v>0</x:v>
      </x:c>
      <x:c r="K269" s="623">
        <x:f t="shared" ca="1" si="159"/>
        <x:v>0</x:v>
      </x:c>
      <x:c r="L269" s="21"/>
      <x:c r="M269" s="383"/>
      <x:c r="N269" s="383"/>
      <x:c r="O269" s="405"/>
      <x:c r="P269" s="405"/>
      <x:c r="Q269" s="405"/>
      <x:c r="R269" s="405"/>
      <x:c r="S269" s="405"/>
      <x:c r="T269" s="405"/>
      <x:c r="U269" s="405"/>
      <x:c r="V269" s="405"/>
      <x:c r="W269" s="405"/>
      <x:c r="X269" s="405"/>
      <x:c r="Y269" s="405"/>
      <x:c r="Z269" s="405"/>
      <x:c r="AA269" s="405"/>
    </x:row>
    <x:row r="270" ht="14.399999618530273" customHeight="1">
      <x:c r="C270" s="426" t="s">
        <x:v>164</x:v>
      </x:c>
      <x:c r="D270" s="582"/>
      <x:c r="E270" s="582"/>
      <x:c r="F270" s="627"/>
      <x:c r="G270" s="482">
        <x:f ca="1">+IF(G264-G265&gt;0,-MIN(G269,G264-G265),MAX(0,G265-G264))</x:f>
        <x:v>0</x:v>
      </x:c>
      <x:c r="H270" s="482">
        <x:f t="shared" ref="H270:K270" ca="1" si="160">+IF(H264-H265&gt;0,-MIN(H269,H264-H265),MAX(0,H265-H264))</x:f>
        <x:v>0</x:v>
      </x:c>
      <x:c r="I270" s="482">
        <x:f t="shared" ca="1" si="160"/>
        <x:v>0</x:v>
      </x:c>
      <x:c r="J270" s="482">
        <x:f t="shared" ca="1" si="160"/>
        <x:v>0</x:v>
      </x:c>
      <x:c r="K270" s="623">
        <x:f t="shared" ca="1" si="160"/>
        <x:v>0</x:v>
      </x:c>
      <x:c r="L270" s="21"/>
      <x:c r="M270" s="383"/>
      <x:c r="N270" s="383"/>
      <x:c r="O270" s="405"/>
      <x:c r="P270" s="405"/>
      <x:c r="Q270" s="405"/>
      <x:c r="R270" s="405"/>
      <x:c r="S270" s="405"/>
      <x:c r="T270" s="405"/>
      <x:c r="U270" s="405"/>
      <x:c r="V270" s="405"/>
      <x:c r="W270" s="405"/>
      <x:c r="X270" s="405"/>
      <x:c r="Y270" s="405"/>
      <x:c r="Z270" s="405"/>
      <x:c r="AA270" s="405"/>
    </x:row>
    <x:row r="271" ht="14.399999618530273" customHeight="1">
      <x:c r="C271" s="472" t="s">
        <x:v>114</x:v>
      </x:c>
      <x:c r="D271" s="582"/>
      <x:c r="E271" s="582"/>
      <x:c r="F271" s="627"/>
      <x:c r="G271" s="481">
        <x:f ca="1">+G269+G270</x:f>
        <x:v>0</x:v>
      </x:c>
      <x:c r="H271" s="481">
        <x:f t="shared" ref="H271:K271" ca="1" si="161">+H269+H270</x:f>
        <x:v>0</x:v>
      </x:c>
      <x:c r="I271" s="481">
        <x:f t="shared" ca="1" si="161"/>
        <x:v>0</x:v>
      </x:c>
      <x:c r="J271" s="481">
        <x:f t="shared" ca="1" si="161"/>
        <x:v>0</x:v>
      </x:c>
      <x:c r="K271" s="866">
        <x:f t="shared" ca="1" si="161"/>
        <x:v>0</x:v>
      </x:c>
      <x:c r="L271" s="21"/>
      <x:c r="M271" s="383"/>
      <x:c r="N271" s="383"/>
      <x:c r="O271" s="405"/>
      <x:c r="P271" s="405"/>
      <x:c r="Q271" s="405"/>
      <x:c r="R271" s="405"/>
      <x:c r="S271" s="405"/>
      <x:c r="T271" s="405"/>
      <x:c r="U271" s="405"/>
      <x:c r="V271" s="405"/>
      <x:c r="W271" s="405"/>
      <x:c r="X271" s="405"/>
      <x:c r="Y271" s="405"/>
      <x:c r="Z271" s="405"/>
      <x:c r="AA271" s="405"/>
    </x:row>
    <x:row r="272" ht="14.399999618530273" customHeight="1">
      <x:c r="C272" s="443"/>
      <x:c r="D272" s="424"/>
      <x:c r="E272" s="424"/>
      <x:c r="F272" s="581"/>
      <x:c r="G272" s="424"/>
      <x:c r="H272" s="424"/>
      <x:c r="I272" s="424"/>
      <x:c r="J272" s="424"/>
      <x:c r="K272" s="425"/>
      <x:c r="L272" s="21"/>
      <x:c r="M272" s="383"/>
    </x:row>
    <x:row r="273" ht="14.399999618530273" customHeight="1">
      <x:c r="C273" s="426" t="s">
        <x:v>177</x:v>
      </x:c>
      <x:c r="D273" s="518"/>
      <x:c r="E273" s="648"/>
      <x:c r="F273" s="649"/>
      <x:c r="G273" s="503">
        <x:v>0.06</x:v>
      </x:c>
      <x:c r="H273" s="503">
        <x:v>0.06</x:v>
      </x:c>
      <x:c r="I273" s="503">
        <x:v>0.06</x:v>
      </x:c>
      <x:c r="J273" s="503">
        <x:v>0.06</x:v>
      </x:c>
      <x:c r="K273" s="878">
        <x:v>0.06</x:v>
      </x:c>
      <x:c r="L273" s="21"/>
      <x:c r="O273" s="380"/>
    </x:row>
    <x:row r="274" ht="14.399999618530273" customHeight="1">
      <x:c r="C274" s="472" t="s">
        <x:v>49</x:v>
      </x:c>
      <x:c r="D274" s="650"/>
      <x:c r="E274" s="647"/>
      <x:c r="F274" s="282"/>
      <x:c r="G274" s="481">
        <x:f ca="1">+IF($J$5=1,G273*AVERAGE(G269,G271),0)</x:f>
        <x:v>0</x:v>
      </x:c>
      <x:c r="H274" s="481">
        <x:f ca="1">+IF($J$5=1,H273*AVERAGE(H269,H271),0)</x:f>
        <x:v>0</x:v>
      </x:c>
      <x:c r="I274" s="481" t="n">
        <x:f ca="1">+IF($J$5=1,I273*AVERAGE(I269,I271),0)</x:f>
        <x:v>0</x:v>
      </x:c>
      <x:c r="J274" s="481" t="n">
        <x:f ca="1">+IF($J$5=1,J273*AVERAGE(J269,J271),0)</x:f>
        <x:v>0</x:v>
      </x:c>
      <x:c r="K274" s="866" t="n">
        <x:f ca="1">+IF($J$5=1,K273*AVERAGE(K269,K271),0)</x:f>
        <x:v>0</x:v>
      </x:c>
      <x:c r="L274" s="21"/>
    </x:row>
    <x:row r="275" ht="14.399999618530273" customHeight="1">
      <x:c r="C275" s="443"/>
      <x:c r="D275" s="424"/>
      <x:c r="E275" s="424"/>
      <x:c r="F275" s="581"/>
      <x:c r="G275" s="424"/>
      <x:c r="H275" s="424"/>
      <x:c r="I275" s="424"/>
      <x:c r="J275" s="424"/>
      <x:c r="K275" s="425"/>
      <x:c r="L275" s="21"/>
    </x:row>
    <x:row r="276" ht="14.399999618530273" customHeight="1">
      <x:c r="C276" s="443" t="s">
        <x:v>178</x:v>
      </x:c>
      <x:c r="D276" s="424"/>
      <x:c r="E276" s="424"/>
      <x:c r="F276" s="581"/>
      <x:c r="G276" s="424"/>
      <x:c r="H276" s="424"/>
      <x:c r="I276" s="424"/>
      <x:c r="J276" s="424"/>
      <x:c r="K276" s="425"/>
      <x:c r="L276" s="21"/>
    </x:row>
    <x:row r="277" ht="14.399999618530273" customHeight="1">
      <x:c r="C277" s="426" t="s">
        <x:v>177</x:v>
      </x:c>
      <x:c r="D277" s="464"/>
      <x:c r="E277" s="464"/>
      <x:c r="F277" s="651"/>
      <x:c r="G277" s="503">
        <x:v>0.03</x:v>
      </x:c>
      <x:c r="H277" s="503" t="n">
        <x:f>+G277</x:f>
        <x:v>0.03</x:v>
      </x:c>
      <x:c r="I277" s="503" t="n">
        <x:f t="shared" ref="I277:K277" si="162">+H277</x:f>
        <x:v>0.03</x:v>
      </x:c>
      <x:c r="J277" s="503">
        <x:f t="shared" si="162"/>
        <x:v>0.03</x:v>
      </x:c>
      <x:c r="K277" s="878">
        <x:f t="shared" si="162"/>
        <x:v>0.03</x:v>
      </x:c>
      <x:c r="L277" s="21"/>
      <x:c r="N277" s="62"/>
      <x:c r="O277" s="380"/>
      <x:c r="P277" s="62"/>
      <x:c r="Q277" s="62"/>
      <x:c r="R277" s="62"/>
    </x:row>
    <x:row r="278" ht="14.399999618530273" customHeight="1">
      <x:c r="C278" s="426" t="s">
        <x:v>179</x:v>
      </x:c>
      <x:c r="D278" s="582"/>
      <x:c r="E278" s="582"/>
      <x:c r="F278" s="656" t="n">
        <x:f t="shared" ref="F278:K278" si="163">+F46</x:f>
        <x:v>848565</x:v>
      </x:c>
      <x:c r="G278" s="482">
        <x:f t="shared" ca="1" si="163"/>
        <x:v>1331865.9943147642</x:v>
      </x:c>
      <x:c r="H278" s="482">
        <x:f t="shared" ca="1" si="163"/>
        <x:v>1868402.9029968525</x:v>
      </x:c>
      <x:c r="I278" s="482">
        <x:f t="shared" ca="1" si="163"/>
        <x:v>2067529.37178441</x:v>
      </x:c>
      <x:c r="J278" s="482">
        <x:f t="shared" ca="1" si="163"/>
        <x:v>2757917.0227397331</x:v>
      </x:c>
      <x:c r="K278" s="623">
        <x:f t="shared" ca="1" si="163"/>
        <x:v>3506004.7658375478</x:v>
      </x:c>
      <x:c r="L278" s="21"/>
      <x:c r="N278" s="62"/>
      <x:c r="O278" s="384"/>
      <x:c r="P278" s="62"/>
      <x:c r="Q278" s="62"/>
      <x:c r="R278" s="62"/>
    </x:row>
    <x:row r="279" ht="14.399999618530273" customHeight="1">
      <x:c r="C279" s="598" t="s">
        <x:v>180</x:v>
      </x:c>
      <x:c r="D279" s="652"/>
      <x:c r="E279" s="653"/>
      <x:c r="F279" s="654"/>
      <x:c r="G279" s="577" t="n">
        <x:f ca="1">+IF($J$5=1,G277*AVERAGE(F278:G278),0)</x:f>
        <x:v>32706.464914721462</x:v>
      </x:c>
      <x:c r="H279" s="577" t="n">
        <x:f t="shared" ref="H279:K279" ca="1" si="164">+IF($J$5=1,H277*AVERAGE(G278:H278),0)</x:f>
        <x:v>48004.03345967425</x:v>
      </x:c>
      <x:c r="I279" s="577">
        <x:f t="shared" ca="1" si="164"/>
        <x:v>59038.984121718939</x:v>
      </x:c>
      <x:c r="J279" s="577">
        <x:f t="shared" ca="1" si="164"/>
        <x:v>72381.695917862147</x:v>
      </x:c>
      <x:c r="K279" s="579">
        <x:f t="shared" ca="1" si="164"/>
        <x:v>93958.826828659207</x:v>
      </x:c>
      <x:c r="L279" s="21"/>
    </x:row>
    <x:row r="280" ht="14.399999618530273" customHeight="1"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</x:row>
    <x:row r="281" ht="14.399999618530273" customHeight="1">
      <x:c r="C281" s="436" t="s">
        <x:v>181</x:v>
      </x:c>
      <x:c r="D281" s="437" t="s">
        <x:v>9</x:v>
      </x:c>
      <x:c r="E281" s="438"/>
      <x:c r="F281" s="439"/>
      <x:c r="G281" s="437" t="s">
        <x:v>10</x:v>
      </x:c>
      <x:c r="H281" s="438"/>
      <x:c r="I281" s="438"/>
      <x:c r="J281" s="438"/>
      <x:c r="K281" s="440"/>
      <x:c r="L281" s="21"/>
    </x:row>
    <x:row r="282" ht="14.399999618530273" customHeight="1">
      <x:c r="C282" s="441"/>
      <x:c r="D282" s="453" t="n">
        <x:f>+D$12</x:f>
        <x:v>44561</x:v>
      </x:c>
      <x:c r="E282" s="453" t="n">
        <x:f t="shared" ref="E282:K282" si="165">+E$12</x:f>
        <x:v>44926</x:v>
      </x:c>
      <x:c r="F282" s="453">
        <x:f t="shared" si="165"/>
        <x:v>45291</x:v>
      </x:c>
      <x:c r="G282" s="456">
        <x:f t="shared" si="165"/>
        <x:v>45657</x:v>
      </x:c>
      <x:c r="H282" s="456">
        <x:f t="shared" si="165"/>
        <x:v>46022</x:v>
      </x:c>
      <x:c r="I282" s="456">
        <x:f t="shared" si="165"/>
        <x:v>46387</x:v>
      </x:c>
      <x:c r="J282" s="456">
        <x:f t="shared" si="165"/>
        <x:v>46752</x:v>
      </x:c>
      <x:c r="K282" s="865">
        <x:f t="shared" si="165"/>
        <x:v>47118</x:v>
      </x:c>
      <x:c r="L282" s="21"/>
    </x:row>
    <x:row r="283" ht="14.399999618530273" customHeight="1">
      <x:c r="C283" s="443"/>
      <x:c r="D283" s="536"/>
      <x:c r="E283" s="424"/>
      <x:c r="F283" s="424"/>
      <x:c r="G283" s="424"/>
      <x:c r="H283" s="424"/>
      <x:c r="I283" s="424"/>
      <x:c r="J283" s="424"/>
      <x:c r="K283" s="425"/>
      <x:c r="L283" s="21"/>
    </x:row>
    <x:row r="284" ht="14.399999618530273" customHeight="1">
      <x:c r="C284" s="459" t="s">
        <x:v>182</x:v>
      </x:c>
      <x:c r="D284" s="536"/>
      <x:c r="E284" s="424"/>
      <x:c r="F284" s="517"/>
      <x:c r="G284" s="424"/>
      <x:c r="H284" s="424"/>
      <x:c r="I284" s="424"/>
      <x:c r="J284" s="424"/>
      <x:c r="K284" s="425"/>
      <x:c r="L284" s="21"/>
    </x:row>
    <x:row r="285" ht="14.399999618530273" customHeight="1">
      <x:c r="C285" s="443" t="s">
        <x:v>183</x:v>
      </x:c>
      <x:c r="D285" s="618">
        <x:v>24</x:v>
      </x:c>
      <x:c r="E285" s="618">
        <x:v>268</x:v>
      </x:c>
      <x:c r="F285" s="618">
        <x:v>210</x:v>
      </x:c>
      <x:c r="G285" s="482" t="n">
        <x:f>+IF($J$5=0,0,G286*AVERAGE(G297+G300,F297+F300))</x:f>
        <x:v>173.64932894836775</x:v>
      </x:c>
      <x:c r="H285" s="482" t="n">
        <x:f>+IF($J$5=0,0,H286*AVERAGE(H297+H300,G297+G300))</x:f>
        <x:v>179.41457832969473</x:v>
      </x:c>
      <x:c r="I285" s="482" t="n">
        <x:f>+IF($J$5=0,0,I286*AVERAGE(I297+I300,H297+H300))</x:f>
        <x:v>184.96205219822954</x:v>
      </x:c>
      <x:c r="J285" s="482" t="n">
        <x:f>+IF($J$5=0,0,J286*AVERAGE(J297+J300,I297+I300))</x:f>
        <x:v>191.5868207753234</x:v>
      </x:c>
      <x:c r="K285" s="623" t="n">
        <x:f>+IF($J$5=0,0,K286*AVERAGE(K297+K300,J297+J300))</x:f>
        <x:v>199.46065092472736</x:v>
      </x:c>
      <x:c r="O285" s="368"/>
    </x:row>
    <x:row r="286" ht="14.399999618530273" customHeight="1">
      <x:c r="C286" s="426" t="s">
        <x:v>184</x:v>
      </x:c>
      <x:c r="D286" s="464"/>
      <x:c r="E286" s="601" t="n">
        <x:f>+E285/AVERAGE(E300+E297,D300+D297)</x:f>
        <x:v>0.02815569680096654</x:v>
      </x:c>
      <x:c r="F286" s="601" t="n">
        <x:f>+F285/AVERAGE(F300+F297,E300+E297)</x:f>
        <x:v>0.028099284137285074</x:v>
      </x:c>
      <x:c r="G286" s="675" t="n">
        <x:f>+$F$286</x:f>
        <x:v>0.028099284137285074</x:v>
      </x:c>
      <x:c r="H286" s="675" t="n">
        <x:f>+$F$286</x:f>
        <x:v>0.028099284137285074</x:v>
      </x:c>
      <x:c r="I286" s="675" t="n">
        <x:f>+$F$286</x:f>
        <x:v>0.028099284137285074</x:v>
      </x:c>
      <x:c r="J286" s="675" t="n">
        <x:f>+$F$286</x:f>
        <x:v>0.028099284137285074</x:v>
      </x:c>
      <x:c r="K286" s="879" t="n">
        <x:f>+$F$286</x:f>
        <x:v>0.028099284137285074</x:v>
      </x:c>
      <x:c r="O286" s="368"/>
    </x:row>
    <x:row r="287" ht="14.399999618530273" customHeight="1">
      <x:c r="C287" s="443"/>
      <x:c r="D287" s="536"/>
      <x:c r="E287" s="424"/>
      <x:c r="F287" s="517"/>
      <x:c r="G287" s="424"/>
      <x:c r="H287" s="424"/>
      <x:c r="I287" s="424"/>
      <x:c r="J287" s="424"/>
      <x:c r="K287" s="425"/>
      <x:c r="L287" s="21"/>
    </x:row>
    <x:row r="288" ht="14.399999618530273" customHeight="1">
      <x:c r="C288" s="443" t="s">
        <x:v>185</x:v>
      </x:c>
      <x:c r="D288" s="618">
        <x:v>562</x:v>
      </x:c>
      <x:c r="E288" s="618">
        <x:v>2361</x:v>
      </x:c>
      <x:c r="F288" s="618">
        <x:v>2776</x:v>
      </x:c>
      <x:c r="G288" s="482" t="n">
        <x:f>+G289*F294</x:f>
        <x:v>1896.6207207207208</x:v>
      </x:c>
      <x:c r="H288" s="482" t="n">
        <x:f t="shared" ref="H288:K288" si="166">+H289*G294</x:f>
        <x:v>1967.1766725335253</x:v>
      </x:c>
      <x:c r="I288" s="482">
        <x:f t="shared" si="166"/>
        <x:v>2024.9008336698196</x:v>
      </x:c>
      <x:c r="J288" s="482">
        <x:f t="shared" si="166"/>
        <x:v>2090.6111551324425</x:v>
      </x:c>
      <x:c r="K288" s="623">
        <x:f t="shared" si="166"/>
        <x:v>2172.3057428284301</x:v>
      </x:c>
      <x:c r="L288" s="21"/>
    </x:row>
    <x:row r="289" ht="14.399999618530273" customHeight="1">
      <x:c r="C289" s="426" t="s">
        <x:v>186</x:v>
      </x:c>
      <x:c r="D289" s="464"/>
      <x:c r="E289" s="601" t="n">
        <x:f>+E288/D294</x:f>
        <x:v>0.23245052673033376</x:v>
      </x:c>
      <x:c r="F289" s="601" t="n">
        <x:f>+F288/E294</x:f>
        <x:v>0.31261261261261264</x:v>
      </x:c>
      <x:c r="G289" s="558" t="n">
        <x:f>+F289</x:f>
        <x:v>0.31261261261261264</x:v>
      </x:c>
      <x:c r="H289" s="558" t="n">
        <x:f t="shared" ref="H289:K289" si="167">+G289</x:f>
        <x:v>0.31261261261261264</x:v>
      </x:c>
      <x:c r="I289" s="558">
        <x:f t="shared" si="167"/>
        <x:v>0.31261261261261264</x:v>
      </x:c>
      <x:c r="J289" s="558">
        <x:f t="shared" si="167"/>
        <x:v>0.31261261261261264</x:v>
      </x:c>
      <x:c r="K289" s="871">
        <x:f t="shared" si="167"/>
        <x:v>0.31261261261261264</x:v>
      </x:c>
      <x:c r="L289" s="21"/>
    </x:row>
    <x:row r="290" ht="14.399999618530273" customHeight="1">
      <x:c r="C290" s="443"/>
      <x:c r="D290" s="536"/>
      <x:c r="E290" s="424"/>
      <x:c r="F290" s="517"/>
      <x:c r="G290" s="424"/>
      <x:c r="H290" s="424"/>
      <x:c r="I290" s="424"/>
      <x:c r="J290" s="424"/>
      <x:c r="K290" s="425"/>
      <x:c r="L290" s="21"/>
    </x:row>
    <x:row r="291" ht="14.399999618530273" customHeight="1">
      <x:c r="C291" s="443" t="s">
        <x:v>187</x:v>
      </x:c>
      <x:c r="D291" s="637"/>
      <x:c r="E291" s="518"/>
      <x:c r="F291" s="519"/>
      <x:c r="G291" s="482" t="n">
        <x:f>+F294</x:f>
        <x:v>6067</x:v>
      </x:c>
      <x:c r="H291" s="482" t="n">
        <x:f t="shared" ref="H291:K291" si="168">+G294</x:f>
        <x:v>6292.69771329168</x:v>
      </x:c>
      <x:c r="I291" s="482">
        <x:f t="shared" si="168"/>
        <x:v>6477.3484881080676</x:v>
      </x:c>
      <x:c r="J291" s="482">
        <x:f t="shared" si="168"/>
        <x:v>6687.5457700202051</x:v>
      </x:c>
      <x:c r="K291" s="623">
        <x:f t="shared" si="168"/>
        <x:v>6948.8742782119807</x:v>
      </x:c>
      <x:c r="L291" s="21"/>
    </x:row>
    <x:row r="292" ht="14.399999618530273" customHeight="1">
      <x:c r="C292" s="443" t="s">
        <x:v>188</x:v>
      </x:c>
      <x:c r="D292" s="637"/>
      <x:c r="E292" s="518"/>
      <x:c r="F292" s="519"/>
      <x:c r="G292" s="482" t="n">
        <x:f>+G294+G293-G291</x:f>
        <x:v>2122.3184340124008</x:v>
      </x:c>
      <x:c r="H292" s="482" t="n">
        <x:f t="shared" ref="H292:K292" si="169">+H294+H293-H291</x:f>
        <x:v>2151.827447349913</x:v>
      </x:c>
      <x:c r="I292" s="482">
        <x:f t="shared" si="169"/>
        <x:v>2235.0981155819572</x:v>
      </x:c>
      <x:c r="J292" s="482">
        <x:f t="shared" si="169"/>
        <x:v>2351.9396633242186</x:v>
      </x:c>
      <x:c r="K292" s="623">
        <x:f t="shared" si="169"/>
        <x:v>2471.4064691278018</x:v>
      </x:c>
      <x:c r="L292" s="21"/>
    </x:row>
    <x:row r="293" ht="14.399999618530273" customHeight="1">
      <x:c r="C293" s="443" t="s">
        <x:v>189</x:v>
      </x:c>
      <x:c r="D293" s="637"/>
      <x:c r="E293" s="518"/>
      <x:c r="F293" s="519"/>
      <x:c r="G293" s="482" t="n">
        <x:f>+G288</x:f>
        <x:v>1896.6207207207208</x:v>
      </x:c>
      <x:c r="H293" s="482" t="n">
        <x:f t="shared" ref="H293:K293" si="170">+H288</x:f>
        <x:v>1967.1766725335253</x:v>
      </x:c>
      <x:c r="I293" s="482">
        <x:f t="shared" si="170"/>
        <x:v>2024.9008336698196</x:v>
      </x:c>
      <x:c r="J293" s="482">
        <x:f t="shared" si="170"/>
        <x:v>2090.6111551324425</x:v>
      </x:c>
      <x:c r="K293" s="623">
        <x:f t="shared" si="170"/>
        <x:v>2172.3057428284301</x:v>
      </x:c>
      <x:c r="L293" s="21"/>
    </x:row>
    <x:row r="294" ht="14.399999618530273" customHeight="1">
      <x:c r="C294" s="459" t="s">
        <x:v>190</x:v>
      </x:c>
      <x:c r="D294" s="552" t="n">
        <x:f>+D297+D300</x:f>
        <x:v>10157</x:v>
      </x:c>
      <x:c r="E294" s="552" t="n">
        <x:f>+E297+E300</x:f>
        <x:v>8880</x:v>
      </x:c>
      <x:c r="F294" s="552" t="n">
        <x:f>+F297+F300</x:f>
        <x:v>6067</x:v>
      </x:c>
      <x:c r="G294" s="481" t="n">
        <x:f>+G295*G14</x:f>
        <x:v>6292.69771329168</x:v>
      </x:c>
      <x:c r="H294" s="481" t="n">
        <x:f>+H295*H14</x:f>
        <x:v>6477.348488108068</x:v>
      </x:c>
      <x:c r="I294" s="481" t="n">
        <x:f>+I295*I14</x:f>
        <x:v>6687.545770020205</x:v>
      </x:c>
      <x:c r="J294" s="481" t="n">
        <x:f>+J295*J14</x:f>
        <x:v>6948.874278211981</x:v>
      </x:c>
      <x:c r="K294" s="866" t="n">
        <x:f>+K295*K14</x:f>
        <x:v>7247.975004511352</x:v>
      </x:c>
      <x:c r="L294" s="21"/>
    </x:row>
    <x:row r="295" ht="14.399999618530273" customHeight="1">
      <x:c r="C295" s="426" t="s">
        <x:v>191</x:v>
      </x:c>
      <x:c r="D295" s="601" t="n">
        <x:f>+D294/D14</x:f>
        <x:v>0.0029134816148323954</x:v>
      </x:c>
      <x:c r="E295" s="601" t="n">
        <x:f>+E294/E14</x:f>
        <x:v>0.0017728995532612568</x:v>
      </x:c>
      <x:c r="F295" s="601" t="n">
        <x:f>+F294/F14</x:f>
        <x:v>0.0011679224993810992</x:v>
      </x:c>
      <x:c r="G295" s="483" t="n">
        <x:f>+F295</x:f>
        <x:v>0.0011679224993810992</x:v>
      </x:c>
      <x:c r="H295" s="483" t="n">
        <x:f t="shared" ref="H295:K295" si="171">+G295</x:f>
        <x:v>0.0011679224993810992</x:v>
      </x:c>
      <x:c r="I295" s="483">
        <x:f t="shared" si="171"/>
        <x:v>1.1679224993810992E-3</x:v>
      </x:c>
      <x:c r="J295" s="483">
        <x:f t="shared" si="171"/>
        <x:v>1.1679224993810992E-3</x:v>
      </x:c>
      <x:c r="K295" s="869">
        <x:f t="shared" si="171"/>
        <x:v>1.1679224993810992E-3</x:v>
      </x:c>
      <x:c r="L295" s="21"/>
    </x:row>
    <x:row r="296" ht="14.399999618530273" customHeight="1">
      <x:c r="C296" s="443"/>
      <x:c r="D296" s="536"/>
      <x:c r="E296" s="424"/>
      <x:c r="F296" s="517"/>
      <x:c r="G296" s="424"/>
      <x:c r="H296" s="424"/>
      <x:c r="I296" s="424"/>
      <x:c r="J296" s="424"/>
      <x:c r="K296" s="425"/>
      <x:c r="L296" s="21"/>
    </x:row>
    <x:row r="297" ht="14.399999618530273" customHeight="1">
      <x:c r="C297" s="426" t="s">
        <x:v>192</x:v>
      </x:c>
      <x:c r="D297" s="618">
        <x:v>2387</x:v>
      </x:c>
      <x:c r="E297" s="618">
        <x:v>2207</x:v>
      </x:c>
      <x:c r="F297" s="618">
        <x:v>1917</x:v>
      </x:c>
      <x:c r="G297" s="482" t="n">
        <x:f>+G298*G294</x:f>
        <x:v>1988.3140788495384</x:v>
      </x:c>
      <x:c r="H297" s="482" t="n">
        <x:f t="shared" ref="H297:K297" si="172">+H298*H294</x:f>
        <x:v>2046.6584888253115</x:v>
      </x:c>
      <x:c r="I297" s="482">
        <x:f t="shared" si="172"/>
        <x:v>2113.0748707975495</x:v>
      </x:c>
      <x:c r="J297" s="482">
        <x:f t="shared" si="172"/>
        <x:v>2195.6472706992527</x:v>
      </x:c>
      <x:c r="K297" s="623">
        <x:f t="shared" si="172"/>
        <x:v>2290.1546206771486</x:v>
      </x:c>
      <x:c r="L297" s="21"/>
    </x:row>
    <x:row r="298" ht="14.399999618530273" customHeight="1">
      <x:c r="C298" s="426" t="s">
        <x:v>193</x:v>
      </x:c>
      <x:c r="D298" s="674" t="n">
        <x:f>+D297/D294</x:f>
        <x:v>0.23501033769813923</x:v>
      </x:c>
      <x:c r="E298" s="674" t="n">
        <x:f t="shared" ref="E298:F298" si="173">+E297/E294</x:f>
        <x:v>0.24853603603603602</x:v>
      </x:c>
      <x:c r="F298" s="601">
        <x:f t="shared" si="173"/>
        <x:v>0.31597164990934562</x:v>
      </x:c>
      <x:c r="G298" s="675" t="n">
        <x:f>+F298</x:f>
        <x:v>0.3159716499093456</x:v>
      </x:c>
      <x:c r="H298" s="675" t="n">
        <x:f t="shared" ref="H298" si="174">+G298</x:f>
        <x:v>0.3159716499093456</x:v>
      </x:c>
      <x:c r="I298" s="675" t="n">
        <x:f t="shared" ref="I298" si="175">+H298</x:f>
        <x:v>0.3159716499093456</x:v>
      </x:c>
      <x:c r="J298" s="675" t="n">
        <x:f t="shared" ref="J298" si="176">+I298</x:f>
        <x:v>0.3159716499093456</x:v>
      </x:c>
      <x:c r="K298" s="879" t="n">
        <x:f t="shared" ref="K298" si="177">+J298</x:f>
        <x:v>0.3159716499093456</x:v>
      </x:c>
      <x:c r="L298" s="21"/>
    </x:row>
    <x:row r="299" ht="14.399999618530273" customHeight="1">
      <x:c r="C299" s="443"/>
      <x:c r="D299" s="536"/>
      <x:c r="E299" s="424"/>
      <x:c r="F299" s="517"/>
      <x:c r="G299" s="424"/>
      <x:c r="H299" s="424"/>
      <x:c r="I299" s="424"/>
      <x:c r="J299" s="424"/>
      <x:c r="K299" s="425"/>
      <x:c r="L299" s="21"/>
    </x:row>
    <x:row r="300" ht="14.399999618530273" customHeight="1">
      <x:c r="C300" s="426" t="s">
        <x:v>194</x:v>
      </x:c>
      <x:c r="D300" s="618">
        <x:v>7770</x:v>
      </x:c>
      <x:c r="E300" s="618">
        <x:v>6673</x:v>
      </x:c>
      <x:c r="F300" s="618">
        <x:v>4150</x:v>
      </x:c>
      <x:c r="G300" s="482" t="n">
        <x:f>+G294-G297</x:f>
        <x:v>4304.383634442142</x:v>
      </x:c>
      <x:c r="H300" s="482" t="n">
        <x:f t="shared" ref="H300:K300" si="178">+H294-H297</x:f>
        <x:v>4430.689999282757</x:v>
      </x:c>
      <x:c r="I300" s="482">
        <x:f t="shared" si="178"/>
        <x:v>4574.4708992226551</x:v>
      </x:c>
      <x:c r="J300" s="482">
        <x:f t="shared" si="178"/>
        <x:v>4753.2270075127281</x:v>
      </x:c>
      <x:c r="K300" s="623">
        <x:f t="shared" si="178"/>
        <x:v>4957.8203838342033</x:v>
      </x:c>
      <x:c r="L300" s="21"/>
    </x:row>
    <x:row r="301" ht="14.399999618530273" customHeight="1">
      <x:c r="C301" s="443"/>
      <x:c r="D301" s="536"/>
      <x:c r="E301" s="424"/>
      <x:c r="F301" s="517"/>
      <x:c r="G301" s="424"/>
      <x:c r="H301" s="424"/>
      <x:c r="I301" s="424"/>
      <x:c r="J301" s="424"/>
      <x:c r="K301" s="425"/>
      <x:c r="L301" s="21"/>
    </x:row>
    <x:row r="302" ht="14.399999618530273" customHeight="1">
      <x:c r="C302" s="443" t="s">
        <x:v>195</x:v>
      </x:c>
      <x:c r="D302" s="618">
        <x:v>673</x:v>
      </x:c>
      <x:c r="E302" s="618">
        <x:v>2815</x:v>
      </x:c>
      <x:c r="F302" s="618">
        <x:v>2188</x:v>
      </x:c>
      <x:c r="G302" s="482" t="n">
        <x:f>+G303*F308</x:f>
        <x:v>1835.78697156612</x:v>
      </x:c>
      <x:c r="H302" s="482" t="n">
        <x:f t="shared" ref="H302:K302" si="179">+H303*G308</x:f>
        <x:v>1930.1048352388239</x:v>
      </x:c>
      <x:c r="I302" s="482">
        <x:f t="shared" si="179"/>
        <x:v>2003.0895012985595</x:v>
      </x:c>
      <x:c r="J302" s="482">
        <x:f t="shared" si="179"/>
        <x:v>2079.460021541086</x:v>
      </x:c>
      <x:c r="K302" s="623">
        <x:f t="shared" si="179"/>
        <x:v>2169.152432586895</x:v>
      </x:c>
      <x:c r="L302" s="21"/>
    </x:row>
    <x:row r="303" ht="14.399999618530273" customHeight="1">
      <x:c r="C303" s="426" t="s">
        <x:v>196</x:v>
      </x:c>
      <x:c r="D303" s="464"/>
      <x:c r="E303" s="601" t="n">
        <x:f>+E302/D308</x:f>
        <x:v>0.28892538232577236</x:v>
      </x:c>
      <x:c r="F303" s="601" t="n">
        <x:f>+F302/E308</x:f>
        <x:v>0.32917105461110274</x:v>
      </x:c>
      <x:c r="G303" s="558" t="n">
        <x:f>+F303</x:f>
        <x:v>0.32917105461110274</x:v>
      </x:c>
      <x:c r="H303" s="558" t="n">
        <x:f t="shared" ref="H303:K303" si="180">+G303</x:f>
        <x:v>0.32917105461110274</x:v>
      </x:c>
      <x:c r="I303" s="558">
        <x:f t="shared" si="180"/>
        <x:v>0.32917105461110274</x:v>
      </x:c>
      <x:c r="J303" s="558">
        <x:f t="shared" si="180"/>
        <x:v>0.32917105461110274</x:v>
      </x:c>
      <x:c r="K303" s="871">
        <x:f t="shared" si="180"/>
        <x:v>0.32917105461110274</x:v>
      </x:c>
      <x:c r="L303" s="21"/>
    </x:row>
    <x:row r="304" ht="14.399999618530273" customHeight="1">
      <x:c r="C304" s="443"/>
      <x:c r="D304" s="536"/>
      <x:c r="E304" s="424"/>
      <x:c r="F304" s="517"/>
      <x:c r="G304" s="424"/>
      <x:c r="H304" s="424"/>
      <x:c r="I304" s="424"/>
      <x:c r="J304" s="424"/>
      <x:c r="K304" s="425"/>
      <x:c r="L304" s="21"/>
    </x:row>
    <x:row r="305" ht="14.399999618530273" customHeight="1">
      <x:c r="C305" s="443" t="s">
        <x:v>197</x:v>
      </x:c>
      <x:c r="D305" s="637"/>
      <x:c r="E305" s="518"/>
      <x:c r="F305" s="519"/>
      <x:c r="G305" s="482" t="n">
        <x:f>+F308</x:f>
        <x:v>5577</x:v>
      </x:c>
      <x:c r="H305" s="482" t="n">
        <x:f t="shared" ref="H305:K305" si="181">+G308</x:f>
        <x:v>5863.531462446281</x:v>
      </x:c>
      <x:c r="I305" s="482">
        <x:f t="shared" si="181"/>
        <x:v>6085.2540745573697</x:v>
      </x:c>
      <x:c r="J305" s="482">
        <x:f t="shared" si="181"/>
        <x:v>6317.2626888407676</x:v>
      </x:c>
      <x:c r="K305" s="623">
        <x:f t="shared" si="181"/>
        <x:v>6589.7423306238998</x:v>
      </x:c>
      <x:c r="L305" s="21"/>
    </x:row>
    <x:row r="306" ht="14.399999618530273" customHeight="1">
      <x:c r="C306" s="443" t="s">
        <x:v>188</x:v>
      </x:c>
      <x:c r="D306" s="637"/>
      <x:c r="E306" s="518"/>
      <x:c r="F306" s="519"/>
      <x:c r="G306" s="482" t="n">
        <x:f>+G292</x:f>
        <x:v>2122.3184340124008</x:v>
      </x:c>
      <x:c r="H306" s="482" t="n">
        <x:f t="shared" ref="H306:K306" si="182">+H292</x:f>
        <x:v>2151.827447349913</x:v>
      </x:c>
      <x:c r="I306" s="482">
        <x:f t="shared" si="182"/>
        <x:v>2235.0981155819572</x:v>
      </x:c>
      <x:c r="J306" s="482">
        <x:f t="shared" si="182"/>
        <x:v>2351.9396633242186</x:v>
      </x:c>
      <x:c r="K306" s="623">
        <x:f t="shared" si="182"/>
        <x:v>2471.4064691278018</x:v>
      </x:c>
      <x:c r="L306" s="21"/>
    </x:row>
    <x:row r="307" ht="14.399999618530273" customHeight="1">
      <x:c r="C307" s="443" t="s">
        <x:v>198</x:v>
      </x:c>
      <x:c r="D307" s="637"/>
      <x:c r="E307" s="518"/>
      <x:c r="F307" s="519"/>
      <x:c r="G307" s="482" t="n">
        <x:f>+G302</x:f>
        <x:v>1835.78697156612</x:v>
      </x:c>
      <x:c r="H307" s="482" t="n">
        <x:f>+H302</x:f>
        <x:v>1930.1048352388239</x:v>
      </x:c>
      <x:c r="I307" s="482" t="n">
        <x:f>+I302</x:f>
        <x:v>2003.0895012985595</x:v>
      </x:c>
      <x:c r="J307" s="482" t="n">
        <x:f>+J302</x:f>
        <x:v>2079.460021541086</x:v>
      </x:c>
      <x:c r="K307" s="623" t="n">
        <x:f>+K302</x:f>
        <x:v>2169.152432586895</x:v>
      </x:c>
      <x:c r="L307" s="21"/>
    </x:row>
    <x:row r="308" ht="14.399999618530273" customHeight="1">
      <x:c r="C308" s="459" t="s">
        <x:v>199</x:v>
      </x:c>
      <x:c r="D308" s="479">
        <x:v>9743</x:v>
      </x:c>
      <x:c r="E308" s="479">
        <x:v>6647</x:v>
      </x:c>
      <x:c r="F308" s="479">
        <x:v>5577</x:v>
      </x:c>
      <x:c r="G308" s="481" t="n">
        <x:f>+G305+G306-G307</x:f>
        <x:v>5863.531462446281</x:v>
      </x:c>
      <x:c r="H308" s="481" t="n">
        <x:f t="shared" ref="H308:K308" si="183">+H305+H306-H307</x:f>
        <x:v>6085.25407455737</x:v>
      </x:c>
      <x:c r="I308" s="481">
        <x:f t="shared" si="183"/>
        <x:v>6317.2626888407676</x:v>
      </x:c>
      <x:c r="J308" s="481">
        <x:f t="shared" si="183"/>
        <x:v>6589.7423306238998</x:v>
      </x:c>
      <x:c r="K308" s="866">
        <x:f t="shared" si="183"/>
        <x:v>6891.9963671648065</x:v>
      </x:c>
      <x:c r="L308" s="21"/>
    </x:row>
    <x:row r="309" ht="14.399999618530273" customHeight="1">
      <x:c r="C309" s="443"/>
      <x:c r="D309" s="424"/>
      <x:c r="E309" s="424"/>
      <x:c r="F309" s="517"/>
      <x:c r="G309" s="424"/>
      <x:c r="H309" s="424"/>
      <x:c r="I309" s="424"/>
      <x:c r="J309" s="424"/>
      <x:c r="K309" s="425"/>
    </x:row>
    <x:row r="310" ht="14.399999618530273" customHeight="1">
      <x:c r="C310" s="459" t="s">
        <x:v>200</x:v>
      </x:c>
      <x:c r="D310" s="536"/>
      <x:c r="E310" s="424"/>
      <x:c r="F310" s="517"/>
      <x:c r="G310" s="424"/>
      <x:c r="H310" s="424"/>
      <x:c r="I310" s="424"/>
      <x:c r="J310" s="424"/>
      <x:c r="K310" s="425"/>
      <x:c r="L310" s="21"/>
    </x:row>
    <x:row r="311" ht="14.399999618530273" customHeight="1">
      <x:c r="C311" s="426" t="s">
        <x:v>201</x:v>
      </x:c>
      <x:c r="D311" s="618" t="n">
        <x:f>55824+15258-882</x:f>
        <x:v>70200</x:v>
      </x:c>
      <x:c r="E311" s="618" t="n">
        <x:f>75366+18315-780</x:f>
        <x:v>92901</x:v>
      </x:c>
      <x:c r="F311" s="618" t="n">
        <x:f>88292+24275-1022</x:f>
        <x:v>111545</x:v>
      </x:c>
      <x:c r="G311" s="482" t="n">
        <x:f>+G312*G14</x:f>
        <x:v>115694.57168767438</x:v>
      </x:c>
      <x:c r="H311" s="482" t="n">
        <x:f>+H312*H14</x:f>
        <x:v>119089.47372770964</x:v>
      </x:c>
      <x:c r="I311" s="482" t="n">
        <x:f>+I312*I14</x:f>
        <x:v>122954.06179609425</x:v>
      </x:c>
      <x:c r="J311" s="482" t="n">
        <x:f>+J312*J14</x:f>
        <x:v>127758.72447060415</x:v>
      </x:c>
      <x:c r="K311" s="623" t="n">
        <x:f>+K312*K14</x:f>
        <x:v>133257.84932886416</x:v>
      </x:c>
      <x:c r="L311" s="21"/>
    </x:row>
    <x:row r="312" ht="14.399999618530273" customHeight="1">
      <x:c r="C312" s="426" t="s">
        <x:v>202</x:v>
      </x:c>
      <x:c r="D312" s="480" t="n">
        <x:f>+D311/D14</x:f>
        <x:v>0.02013649791879828</x:v>
      </x:c>
      <x:c r="E312" s="480" t="n">
        <x:f>+E311/E14</x:f>
        <x:v>0.018547763670892344</x:v>
      </x:c>
      <x:c r="F312" s="480" t="n">
        <x:f>+F311/F14</x:f>
        <x:v>0.021472872126827875</x:v>
      </x:c>
      <x:c r="G312" s="483" t="n">
        <x:f>+F312</x:f>
        <x:v>0.021472872126827875</x:v>
      </x:c>
      <x:c r="H312" s="483" t="n">
        <x:f t="shared" ref="H312:K312" si="184">+G312</x:f>
        <x:v>0.021472872126827875</x:v>
      </x:c>
      <x:c r="I312" s="483">
        <x:f t="shared" si="184"/>
        <x:v>2.1472872126827875E-2</x:v>
      </x:c>
      <x:c r="J312" s="483">
        <x:f t="shared" si="184"/>
        <x:v>2.1472872126827875E-2</x:v>
      </x:c>
      <x:c r="K312" s="869">
        <x:f t="shared" si="184"/>
        <x:v>2.1472872126827875E-2</x:v>
      </x:c>
      <x:c r="L312" s="21"/>
    </x:row>
    <x:row r="313" ht="14.399999618530273" customHeight="1">
      <x:c r="C313" s="426"/>
      <x:c r="D313" s="541"/>
      <x:c r="E313" s="541"/>
      <x:c r="F313" s="612"/>
      <x:c r="G313" s="473"/>
      <x:c r="H313" s="473"/>
      <x:c r="I313" s="473"/>
      <x:c r="J313" s="473"/>
      <x:c r="K313" s="474"/>
      <x:c r="L313" s="21"/>
    </x:row>
    <x:row r="314" ht="14.399999618530273" customHeight="1">
      <x:c r="C314" s="426" t="s">
        <x:v>203</x:v>
      </x:c>
      <x:c r="D314" s="618">
        <x:v>48125</x:v>
      </x:c>
      <x:c r="E314" s="618">
        <x:v>74135</x:v>
      </x:c>
      <x:c r="F314" s="618">
        <x:v>71667</x:v>
      </x:c>
      <x:c r="G314" s="482" t="n">
        <x:f>+G315*G311</x:f>
        <x:v>74333.07516375059</x:v>
      </x:c>
      <x:c r="H314" s="482" t="n">
        <x:f t="shared" ref="H314:K314" si="185">+H315*H311</x:f>
        <x:v>76514.27956110777</x:v>
      </x:c>
      <x:c r="I314" s="482">
        <x:f t="shared" si="185"/>
        <x:v>78997.254442069898</x:v>
      </x:c>
      <x:c r="J314" s="482">
        <x:f t="shared" si="185"/>
        <x:v>82084.22167407583</x:v>
      </x:c>
      <x:c r="K314" s="623">
        <x:f t="shared" si="185"/>
        <x:v>85617.376734517078</x:v>
      </x:c>
      <x:c r="L314" s="21"/>
    </x:row>
    <x:row r="315" ht="14.399999618530273" customHeight="1">
      <x:c r="C315" s="426" t="s">
        <x:v>204</x:v>
      </x:c>
      <x:c r="D315" s="601" t="n">
        <x:f>+D314/D311</x:f>
        <x:v>0.6855413105413105</x:v>
      </x:c>
      <x:c r="E315" s="601" t="n">
        <x:f t="shared" ref="E315:F315" si="186">+E314/E311</x:f>
        <x:v>0.7980000215282935</x:v>
      </x:c>
      <x:c r="F315" s="480">
        <x:f t="shared" si="186"/>
        <x:v>0.64249406069299386</x:v>
      </x:c>
      <x:c r="G315" s="558" t="n">
        <x:f>+F315</x:f>
        <x:v>0.6424940606929939</x:v>
      </x:c>
      <x:c r="H315" s="558" t="n">
        <x:f t="shared" ref="H315:K315" si="187">+G315</x:f>
        <x:v>0.6424940606929939</x:v>
      </x:c>
      <x:c r="I315" s="558">
        <x:f t="shared" si="187"/>
        <x:v>0.64249406069299386</x:v>
      </x:c>
      <x:c r="J315" s="558">
        <x:f t="shared" si="187"/>
        <x:v>0.64249406069299386</x:v>
      </x:c>
      <x:c r="K315" s="871">
        <x:f t="shared" si="187"/>
        <x:v>0.64249406069299386</x:v>
      </x:c>
      <x:c r="L315" s="21"/>
    </x:row>
    <x:row r="316" ht="14.399999618530273" customHeight="1">
      <x:c r="C316" s="426"/>
      <x:c r="D316" s="568"/>
      <x:c r="E316" s="568"/>
      <x:c r="F316" s="569"/>
      <x:c r="G316" s="590"/>
      <x:c r="H316" s="590"/>
      <x:c r="I316" s="590"/>
      <x:c r="J316" s="590"/>
      <x:c r="K316" s="592"/>
      <x:c r="L316" s="21"/>
    </x:row>
    <x:row r="317" ht="14.399999618530273" customHeight="1">
      <x:c r="C317" s="426" t="s">
        <x:v>205</x:v>
      </x:c>
      <x:c r="D317" s="464"/>
      <x:c r="E317" s="464"/>
      <x:c r="F317" s="669"/>
      <x:c r="G317" s="503">
        <x:v>0.03</x:v>
      </x:c>
      <x:c r="H317" s="503">
        <x:v>0.03</x:v>
      </x:c>
      <x:c r="I317" s="503">
        <x:v>0.03</x:v>
      </x:c>
      <x:c r="J317" s="503">
        <x:v>0.03</x:v>
      </x:c>
      <x:c r="K317" s="878">
        <x:v>0.03</x:v>
      </x:c>
      <x:c r="L317" s="21"/>
    </x:row>
    <x:row r="318" ht="14.399999618530273" customHeight="1">
      <x:c r="C318" s="426"/>
      <x:c r="D318" s="568"/>
      <x:c r="E318" s="568"/>
      <x:c r="F318" s="569"/>
      <x:c r="G318" s="590"/>
      <x:c r="H318" s="590"/>
      <x:c r="I318" s="590"/>
      <x:c r="J318" s="590"/>
      <x:c r="K318" s="592"/>
      <x:c r="L318" s="21"/>
    </x:row>
    <x:row r="319" ht="14.399999618530273" customHeight="1">
      <x:c r="C319" s="426" t="s">
        <x:v>206</x:v>
      </x:c>
      <x:c r="D319" s="464"/>
      <x:c r="E319" s="464"/>
      <x:c r="F319" s="669"/>
      <x:c r="G319" s="580" t="n">
        <x:f>+F323</x:f>
        <x:v>211993</x:v>
      </x:c>
      <x:c r="H319" s="580" t="n">
        <x:f t="shared" ref="H319:K319" si="188">+G323</x:f>
        <x:v>219879.32525693806</x:v>
      </x:c>
      <x:c r="I319" s="580">
        <x:f t="shared" si="188"/>
        <x:v>226331.38916095163</x:v>
      </x:c>
      <x:c r="J319" s="580">
        <x:f t="shared" si="188"/>
        <x:v>233676.09863588156</x:v>
      </x:c>
      <x:c r="K319" s="867">
        <x:f t="shared" si="188"/>
        <x:v>242807.43445870982</x:v>
      </x:c>
      <x:c r="L319" s="21"/>
    </x:row>
    <x:row r="320" ht="14.399999618530273" customHeight="1">
      <x:c r="C320" s="426" t="s">
        <x:v>207</x:v>
      </x:c>
      <x:c r="D320" s="464"/>
      <x:c r="E320" s="464"/>
      <x:c r="F320" s="669"/>
      <x:c r="G320" s="580" t="n">
        <x:f>+G323+G322-G321-G319</x:f>
        <x:v>75741.31554183463</x:v>
      </x:c>
      <x:c r="H320" s="580" t="n">
        <x:f t="shared" ref="H320:K320" si="189">+H323+H322-H321-H319</x:f>
        <x:v>76273.182748853</x:v>
      </x:c>
      <x:c r="I320" s="580">
        <x:f t="shared" si="189"/>
        <x:v>79441.851600047346</x:v>
      </x:c>
      <x:c r="J320" s="580">
        <x:f t="shared" si="189"/>
        <x:v>84068.304500485247</x:v>
      </x:c>
      <x:c r="K320" s="867">
        <x:f t="shared" si="189"/>
        <x:v>88627.558079580107</x:v>
      </x:c>
      <x:c r="L320" s="21"/>
    </x:row>
    <x:row r="321" ht="14.399999618530273" customHeight="1">
      <x:c r="C321" s="426" t="s">
        <x:v>208</x:v>
      </x:c>
      <x:c r="D321" s="464"/>
      <x:c r="E321" s="464"/>
      <x:c r="F321" s="669"/>
      <x:c r="G321" s="580" t="n">
        <x:f>+IF($J$5=0,0,G317*AVERAGE(F323:G323))</x:f>
        <x:v>6478.084878854071</x:v>
      </x:c>
      <x:c r="H321" s="580" t="n">
        <x:f t="shared" ref="H321:K321" si="190">+IF($J$5=0,0,H317*AVERAGE(G323:H323))</x:f>
        <x:v>6693.160716268346</x:v>
      </x:c>
      <x:c r="I321" s="580">
        <x:f t="shared" si="190"/>
        <x:v>6900.1123169524972</x:v>
      </x:c>
      <x:c r="J321" s="580">
        <x:f t="shared" si="190"/>
        <x:v>7147.2529964188698</x:v>
      </x:c>
      <x:c r="K321" s="867">
        <x:f t="shared" si="190"/>
        <x:v>7440.9906131342532</x:v>
      </x:c>
      <x:c r="L321" s="21"/>
    </x:row>
    <x:row r="322" ht="14.399999618530273" customHeight="1">
      <x:c r="C322" s="426" t="s">
        <x:v>209</x:v>
      </x:c>
      <x:c r="D322" s="464"/>
      <x:c r="E322" s="464"/>
      <x:c r="F322" s="669"/>
      <x:c r="G322" s="580" t="n">
        <x:f>+G314</x:f>
        <x:v>74333.07516375059</x:v>
      </x:c>
      <x:c r="H322" s="580" t="n">
        <x:f t="shared" ref="H322:K322" si="191">+H314</x:f>
        <x:v>76514.27956110777</x:v>
      </x:c>
      <x:c r="I322" s="580">
        <x:f t="shared" si="191"/>
        <x:v>78997.254442069898</x:v>
      </x:c>
      <x:c r="J322" s="580">
        <x:f t="shared" si="191"/>
        <x:v>82084.22167407583</x:v>
      </x:c>
      <x:c r="K322" s="867">
        <x:f t="shared" si="191"/>
        <x:v>85617.376734517078</x:v>
      </x:c>
      <x:c r="L322" s="21"/>
    </x:row>
    <x:row r="323" ht="14.399999618530273" customHeight="1">
      <x:c r="C323" s="472" t="s">
        <x:v>210</x:v>
      </x:c>
      <x:c r="D323" s="552" t="n">
        <x:f>+D326+D329</x:f>
        <x:v>179930</x:v>
      </x:c>
      <x:c r="E323" s="552" t="n">
        <x:f t="shared" ref="E323:F323" si="192">+E326+E329</x:f>
        <x:v>210823</x:v>
      </x:c>
      <x:c r="F323" s="552">
        <x:f t="shared" si="192"/>
        <x:v>211993</x:v>
      </x:c>
      <x:c r="G323" s="481" t="n">
        <x:f>+G324*G14</x:f>
        <x:v>219879.32525693806</x:v>
      </x:c>
      <x:c r="H323" s="481" t="n">
        <x:f>+H324*H14</x:f>
        <x:v>226331.38916095163</x:v>
      </x:c>
      <x:c r="I323" s="481" t="n">
        <x:f>+I324*I14</x:f>
        <x:v>233676.09863588156</x:v>
      </x:c>
      <x:c r="J323" s="481" t="n">
        <x:f>+J324*J14</x:f>
        <x:v>242807.43445870982</x:v>
      </x:c>
      <x:c r="K323" s="866" t="n">
        <x:f>+K324*K14</x:f>
        <x:v>253258.60641690707</x:v>
      </x:c>
      <x:c r="L323" s="21"/>
    </x:row>
    <x:row r="324" ht="14.399999618530273" customHeight="1">
      <x:c r="C324" s="426" t="s">
        <x:v>211</x:v>
      </x:c>
      <x:c r="D324" s="601" t="n">
        <x:f>+D323/D14</x:f>
        <x:v>0.05161196681665776</x:v>
      </x:c>
      <x:c r="E324" s="601" t="n">
        <x:f>+E323/E14</x:f>
        <x:v>0.04209099127445923</x:v>
      </x:c>
      <x:c r="F324" s="601" t="n">
        <x:f>+F323/F14</x:f>
        <x:v>0.04080952602790463</x:v>
      </x:c>
      <x:c r="G324" s="483" t="n">
        <x:f>+F324</x:f>
        <x:v>0.04080952602790463</x:v>
      </x:c>
      <x:c r="H324" s="483" t="n">
        <x:f t="shared" ref="H324:K324" si="193">+G324</x:f>
        <x:v>0.04080952602790463</x:v>
      </x:c>
      <x:c r="I324" s="483">
        <x:f t="shared" si="193"/>
        <x:v>4.0809526027904629E-2</x:v>
      </x:c>
      <x:c r="J324" s="483">
        <x:f t="shared" si="193"/>
        <x:v>4.0809526027904629E-2</x:v>
      </x:c>
      <x:c r="K324" s="869">
        <x:f t="shared" si="193"/>
        <x:v>4.0809526027904629E-2</x:v>
      </x:c>
      <x:c r="L324" s="21"/>
    </x:row>
    <x:row r="325" ht="14.399999618530273" customHeight="1">
      <x:c r="C325" s="443"/>
      <x:c r="D325" s="536"/>
      <x:c r="E325" s="424"/>
      <x:c r="F325" s="517"/>
      <x:c r="G325" s="424"/>
      <x:c r="H325" s="424"/>
      <x:c r="I325" s="424"/>
      <x:c r="J325" s="424"/>
      <x:c r="K325" s="425"/>
      <x:c r="L325" s="21"/>
    </x:row>
    <x:row r="326" ht="14.399999618530273" customHeight="1">
      <x:c r="C326" s="426" t="s">
        <x:v>192</x:v>
      </x:c>
      <x:c r="D326" s="551" t="n">
        <x:f>+D58-D271-D258-D297</x:f>
        <x:v>54591</x:v>
      </x:c>
      <x:c r="E326" s="551" t="n">
        <x:f>+E58-E271-E258-E297</x:f>
        <x:v>60880</x:v>
      </x:c>
      <x:c r="F326" s="551" t="n">
        <x:f>+F58-F271-F258-F297</x:f>
        <x:v>65780</x:v>
      </x:c>
      <x:c r="G326" s="482" t="n">
        <x:f>+G323*G327</x:f>
        <x:v>68227.07360809737</x:v>
      </x:c>
      <x:c r="H326" s="482" t="n">
        <x:f t="shared" ref="H326:K326" si="194">+H323*H327</x:f>
        <x:v>70229.10557899269</x:v>
      </x:c>
      <x:c r="I326" s="482">
        <x:f t="shared" si="194"/>
        <x:v>72508.119458040077</x:v>
      </x:c>
      <x:c r="J326" s="482">
        <x:f t="shared" si="194"/>
        <x:v>75341.511458840294</x:v>
      </x:c>
      <x:c r="K326" s="623">
        <x:f t="shared" si="194"/>
        <x:v>78584.439722557567</x:v>
      </x:c>
      <x:c r="L326" s="21"/>
    </x:row>
    <x:row r="327" ht="14.399999618530273" customHeight="1">
      <x:c r="C327" s="426" t="s">
        <x:v>193</x:v>
      </x:c>
      <x:c r="D327" s="674" t="n">
        <x:f>+D326/D323</x:f>
        <x:v>0.3034013227366198</x:v>
      </x:c>
      <x:c r="E327" s="674" t="n">
        <x:f t="shared" ref="E327:F327" si="195">+E326/E323</x:f>
        <x:v>0.28877304658410136</x:v>
      </x:c>
      <x:c r="F327" s="601">
        <x:f t="shared" si="195"/>
        <x:v>0.31029326440023963</x:v>
      </x:c>
      <x:c r="G327" s="675" t="n">
        <x:f>+F327</x:f>
        <x:v>0.31029326440023963</x:v>
      </x:c>
      <x:c r="H327" s="675" t="n">
        <x:f t="shared" ref="H327:K327" si="196">+G327</x:f>
        <x:v>0.31029326440023963</x:v>
      </x:c>
      <x:c r="I327" s="675">
        <x:f t="shared" si="196"/>
        <x:v>0.31029326440023963</x:v>
      </x:c>
      <x:c r="J327" s="675">
        <x:f t="shared" si="196"/>
        <x:v>0.31029326440023963</x:v>
      </x:c>
      <x:c r="K327" s="879">
        <x:f t="shared" si="196"/>
        <x:v>0.31029326440023963</x:v>
      </x:c>
      <x:c r="L327" s="21"/>
      <x:c r="O327" s="368"/>
    </x:row>
    <x:row r="328" ht="14.399999618530273" customHeight="1">
      <x:c r="C328" s="426"/>
      <x:c r="D328" s="536"/>
      <x:c r="E328" s="536"/>
      <x:c r="F328" s="670"/>
      <x:c r="G328" s="536"/>
      <x:c r="H328" s="536"/>
      <x:c r="I328" s="536"/>
      <x:c r="J328" s="536"/>
      <x:c r="K328" s="560"/>
      <x:c r="L328" s="21"/>
      <x:c r="O328" s="368"/>
    </x:row>
    <x:row r="329" ht="14.399999618530273" customHeight="1">
      <x:c r="C329" s="426" t="s">
        <x:v>194</x:v>
      </x:c>
      <x:c r="D329" s="551" t="n">
        <x:f>+D64-D259-D300</x:f>
        <x:v>125339</x:v>
      </x:c>
      <x:c r="E329" s="551" t="n">
        <x:f>+E64-E259-E300</x:f>
        <x:v>149943</x:v>
      </x:c>
      <x:c r="F329" s="551" t="n">
        <x:f>+F64-F259-F300</x:f>
        <x:v>146213</x:v>
      </x:c>
      <x:c r="G329" s="482" t="n">
        <x:f>+G323-G326</x:f>
        <x:v>151652.25164884067</x:v>
      </x:c>
      <x:c r="H329" s="482" t="n">
        <x:f t="shared" ref="H329:K329" si="197">+H323-H326</x:f>
        <x:v>156102.28358195894</x:v>
      </x:c>
      <x:c r="I329" s="482">
        <x:f t="shared" si="197"/>
        <x:v>161167.97917784148</x:v>
      </x:c>
      <x:c r="J329" s="482">
        <x:f t="shared" si="197"/>
        <x:v>167465.92299986951</x:v>
      </x:c>
      <x:c r="K329" s="623">
        <x:f t="shared" si="197"/>
        <x:v>174674.16669434949</x:v>
      </x:c>
      <x:c r="L329" s="21"/>
      <x:c r="O329" s="368"/>
    </x:row>
    <x:row r="330" ht="14.399999618530273" customHeight="1">
      <x:c r="C330" s="671"/>
      <x:c r="D330" s="625"/>
      <x:c r="E330" s="625"/>
      <x:c r="F330" s="672"/>
      <x:c r="G330" s="625"/>
      <x:c r="H330" s="625"/>
      <x:c r="I330" s="625"/>
      <x:c r="J330" s="625"/>
      <x:c r="K330" s="626"/>
      <x:c r="L330" s="21"/>
      <x:c r="O330" s="368"/>
    </x:row>
    <x:row r="331" ht="14.399999618530273" customHeight="1">
      <x:c r="C331" s="443" t="s">
        <x:v>212</x:v>
      </x:c>
      <x:c r="D331" s="582"/>
      <x:c r="E331" s="582"/>
      <x:c r="F331" s="673"/>
      <x:c r="G331" s="482" t="n">
        <x:f>+F334</x:f>
        <x:v>204630</x:v>
      </x:c>
      <x:c r="H331" s="482" t="n">
        <x:f t="shared" ref="H331:K331" si="198">+G334</x:f>
        <x:v>171154.82873301432</x:v>
      </x:c>
      <x:c r="I331" s="482">
        <x:f t="shared" si="198"/>
        <x:v>135031.69847042602</x:v>
      </x:c>
      <x:c r="J331" s="482">
        <x:f t="shared" si="198"/>
        <x:v>98419.600591331618</x:v>
      </x:c>
      <x:c r="K331" s="623">
        <x:f t="shared" si="198"/>
        <x:v>61876.43361763157</x:v>
      </x:c>
      <x:c r="L331" s="21"/>
      <x:c r="O331" s="368"/>
    </x:row>
    <x:row r="332" ht="14.399999618530273" customHeight="1">
      <x:c r="C332" s="443" t="s">
        <x:v>207</x:v>
      </x:c>
      <x:c r="D332" s="582"/>
      <x:c r="E332" s="582"/>
      <x:c r="F332" s="673"/>
      <x:c r="G332" s="482" t="n">
        <x:f>+G320</x:f>
        <x:v>75741.31554183463</x:v>
      </x:c>
      <x:c r="H332" s="482" t="n">
        <x:f t="shared" ref="H332:K332" si="199">+H320</x:f>
        <x:v>76273.182748853</x:v>
      </x:c>
      <x:c r="I332" s="482">
        <x:f t="shared" si="199"/>
        <x:v>79441.851600047346</x:v>
      </x:c>
      <x:c r="J332" s="482">
        <x:f t="shared" si="199"/>
        <x:v>84068.304500485247</x:v>
      </x:c>
      <x:c r="K332" s="623">
        <x:f t="shared" si="199"/>
        <x:v>88627.558079580107</x:v>
      </x:c>
      <x:c r="L332" s="21"/>
      <x:c r="O332" s="368"/>
    </x:row>
    <x:row r="333" ht="14.399999618530273" customHeight="1">
      <x:c r="C333" s="443" t="s">
        <x:v>213</x:v>
      </x:c>
      <x:c r="D333" s="582"/>
      <x:c r="E333" s="582"/>
      <x:c r="F333" s="673"/>
      <x:c r="G333" s="482" t="n">
        <x:f>+G311-G321</x:f>
        <x:v>109216.48680882031</x:v>
      </x:c>
      <x:c r="H333" s="482" t="n">
        <x:f t="shared" ref="H333:K333" si="200">+H311-H321</x:f>
        <x:v>112396.31301144129</x:v>
      </x:c>
      <x:c r="I333" s="482">
        <x:f t="shared" si="200"/>
        <x:v>116053.94947914175</x:v>
      </x:c>
      <x:c r="J333" s="482">
        <x:f t="shared" si="200"/>
        <x:v>120611.47147418528</x:v>
      </x:c>
      <x:c r="K333" s="623">
        <x:f t="shared" si="200"/>
        <x:v>125816.8587157299</x:v>
      </x:c>
      <x:c r="L333" s="21"/>
      <x:c r="O333" s="368"/>
    </x:row>
    <x:row r="334" ht="14.399999618530273" customHeight="1">
      <x:c r="C334" s="576" t="s">
        <x:v>214</x:v>
      </x:c>
      <x:c r="D334" s="577" t="n">
        <x:f>+D51-D184-D308</x:f>
        <x:v>177177</x:v>
      </x:c>
      <x:c r="E334" s="577" t="n">
        <x:f>+E51-E184-E308</x:f>
        <x:v>205892</x:v>
      </x:c>
      <x:c r="F334" s="577" t="n">
        <x:f>+F51-F184-F308</x:f>
        <x:v>204630</x:v>
      </x:c>
      <x:c r="G334" s="577" t="n">
        <x:f>+G331+G332-G333</x:f>
        <x:v>171154.82873301432</x:v>
      </x:c>
      <x:c r="H334" s="577" t="n">
        <x:f t="shared" ref="H334:K334" si="201">+H331+H332-H333</x:f>
        <x:v>135031.69847042602</x:v>
      </x:c>
      <x:c r="I334" s="577">
        <x:f t="shared" si="201"/>
        <x:v>98419.600591331618</x:v>
      </x:c>
      <x:c r="J334" s="577">
        <x:f t="shared" si="201"/>
        <x:v>61876.43361763157</x:v>
      </x:c>
      <x:c r="K334" s="579">
        <x:f t="shared" si="201"/>
        <x:v>24687.132981481787</x:v>
      </x:c>
      <x:c r="O334" s="368"/>
    </x:row>
    <x:row r="336" ht="14.399999618530273" customHeight="1">
      <x:c r="C336" s="436" t="s">
        <x:v>215</x:v>
      </x:c>
      <x:c r="D336" s="437" t="s">
        <x:v>9</x:v>
      </x:c>
      <x:c r="E336" s="438"/>
      <x:c r="F336" s="439"/>
      <x:c r="G336" s="437" t="s">
        <x:v>10</x:v>
      </x:c>
      <x:c r="H336" s="438"/>
      <x:c r="I336" s="438"/>
      <x:c r="J336" s="438"/>
      <x:c r="K336" s="440"/>
    </x:row>
    <x:row r="337" ht="14.399999618530273" customHeight="1">
      <x:c r="C337" s="441"/>
      <x:c r="D337" s="453" t="n">
        <x:f>+D$12</x:f>
        <x:v>44561</x:v>
      </x:c>
      <x:c r="E337" s="453" t="n">
        <x:f t="shared" ref="E337:K337" si="202">+E$12</x:f>
        <x:v>44926</x:v>
      </x:c>
      <x:c r="F337" s="453">
        <x:f t="shared" si="202"/>
        <x:v>45291</x:v>
      </x:c>
      <x:c r="G337" s="456">
        <x:f t="shared" si="202"/>
        <x:v>45657</x:v>
      </x:c>
      <x:c r="H337" s="456">
        <x:f t="shared" si="202"/>
        <x:v>46022</x:v>
      </x:c>
      <x:c r="I337" s="456">
        <x:f t="shared" si="202"/>
        <x:v>46387</x:v>
      </x:c>
      <x:c r="J337" s="456">
        <x:f t="shared" si="202"/>
        <x:v>46752</x:v>
      </x:c>
      <x:c r="K337" s="865">
        <x:f t="shared" si="202"/>
        <x:v>47118</x:v>
      </x:c>
    </x:row>
    <x:row r="338" ht="14.399999618530273" customHeight="1">
      <x:c r="C338" s="443"/>
      <x:c r="D338" s="536"/>
      <x:c r="E338" s="424"/>
      <x:c r="F338" s="424"/>
      <x:c r="G338" s="424"/>
      <x:c r="H338" s="424"/>
      <x:c r="I338" s="424"/>
      <x:c r="J338" s="424"/>
      <x:c r="K338" s="425"/>
    </x:row>
    <x:row r="339" ht="14.399999618530273" customHeight="1">
      <x:c r="C339" s="443" t="s">
        <x:v>216</x:v>
      </x:c>
      <x:c r="D339" s="518"/>
      <x:c r="E339" s="518"/>
      <x:c r="F339" s="519"/>
      <x:c r="G339" s="482">
        <x:f ca="1">+IF($J$5=0,0,G86+G88)</x:f>
        <x:v>760338.02147926425</x:v>
      </x:c>
      <x:c r="H339" s="482">
        <x:f ca="1">+IF($J$5=0,0,H86+H88)</x:f>
        <x:v>838934.40764945955</x:v>
      </x:c>
      <x:c r="I339" s="482" t="n">
        <x:f ca="1">+IF($J$5=0,0,I86+I88)</x:f>
        <x:v>914144.8137446102</x:v>
      </x:c>
      <x:c r="J339" s="482" t="n">
        <x:f ca="1">+IF($J$5=0,0,J86+J88)</x:f>
        <x:v>989254.6601577937</x:v>
      </x:c>
      <x:c r="K339" s="623" t="n">
        <x:f ca="1">+IF($J$5=0,0,K86+K88)</x:f>
        <x:v>1071800.0697723476</x:v>
      </x:c>
    </x:row>
    <x:row r="340" ht="14.399999618530273" customHeight="1">
      <x:c r="C340" s="443"/>
      <x:c r="D340" s="424"/>
      <x:c r="E340" s="424"/>
      <x:c r="F340" s="517"/>
      <x:c r="G340" s="424"/>
      <x:c r="H340" s="424"/>
      <x:c r="I340" s="424"/>
      <x:c r="J340" s="424"/>
      <x:c r="K340" s="425"/>
    </x:row>
    <x:row r="341" ht="14.399999618530273" customHeight="1">
      <x:c r="C341" s="443" t="s">
        <x:v>217</x:v>
      </x:c>
      <x:c r="D341" s="518"/>
      <x:c r="E341" s="518"/>
      <x:c r="F341" s="519"/>
      <x:c r="G341" s="482">
        <x:f ca="1">+G339*G342</x:f>
        <x:v>228101.40644377927</x:v>
      </x:c>
      <x:c r="H341" s="482">
        <x:f t="shared" ref="H341:K341" ca="1" si="203">+H339*H342</x:f>
        <x:v>251680.32229483785</x:v>
      </x:c>
      <x:c r="I341" s="482">
        <x:f t="shared" ca="1" si="203"/>
        <x:v>274243.44412338303</x:v>
      </x:c>
      <x:c r="J341" s="482">
        <x:f t="shared" ca="1" si="203"/>
        <x:v>296776.39804733807</x:v>
      </x:c>
      <x:c r="K341" s="623">
        <x:f t="shared" ca="1" si="203"/>
        <x:v>321540.02093170426</x:v>
      </x:c>
      <x:c r="O341" s="404"/>
      <x:c r="P341" s="404"/>
      <x:c r="Q341" s="404"/>
      <x:c r="R341" s="404"/>
      <x:c r="S341" s="404"/>
      <x:c r="T341" s="404"/>
      <x:c r="U341" s="404"/>
      <x:c r="V341" s="404"/>
      <x:c r="W341" s="404"/>
      <x:c r="X341" s="404"/>
      <x:c r="Y341" s="404"/>
      <x:c r="Z341" s="404"/>
      <x:c r="AA341" s="404"/>
    </x:row>
    <x:row r="342" ht="14.399999618530273" customHeight="1">
      <x:c r="C342" s="426" t="s">
        <x:v>218</x:v>
      </x:c>
      <x:c r="D342" s="518"/>
      <x:c r="E342" s="518"/>
      <x:c r="F342" s="519"/>
      <x:c r="G342" s="503">
        <x:v>0.3</x:v>
      </x:c>
      <x:c r="H342" s="503">
        <x:v>0.3</x:v>
      </x:c>
      <x:c r="I342" s="503">
        <x:v>0.3</x:v>
      </x:c>
      <x:c r="J342" s="503">
        <x:v>0.3</x:v>
      </x:c>
      <x:c r="K342" s="878">
        <x:v>0.3</x:v>
      </x:c>
      <x:c r="O342" s="404"/>
      <x:c r="P342" s="404"/>
      <x:c r="Q342" s="404"/>
      <x:c r="R342" s="404"/>
      <x:c r="S342" s="404"/>
      <x:c r="T342" s="404"/>
      <x:c r="U342" s="404"/>
      <x:c r="V342" s="404"/>
      <x:c r="W342" s="404"/>
      <x:c r="X342" s="404"/>
      <x:c r="Y342" s="404"/>
      <x:c r="Z342" s="404"/>
      <x:c r="AA342" s="404"/>
    </x:row>
    <x:row r="343" ht="14.399999618530273" customHeight="1">
      <x:c r="C343" s="443"/>
      <x:c r="D343" s="424"/>
      <x:c r="E343" s="424"/>
      <x:c r="F343" s="517"/>
      <x:c r="G343" s="424"/>
      <x:c r="H343" s="424"/>
      <x:c r="I343" s="424"/>
      <x:c r="J343" s="424"/>
      <x:c r="K343" s="425"/>
      <x:c r="O343" s="404"/>
      <x:c r="P343" s="404"/>
      <x:c r="Q343" s="404"/>
      <x:c r="R343" s="404"/>
      <x:c r="S343" s="404"/>
      <x:c r="T343" s="404"/>
      <x:c r="U343" s="404"/>
      <x:c r="V343" s="404"/>
      <x:c r="W343" s="404"/>
      <x:c r="X343" s="404"/>
      <x:c r="Y343" s="404"/>
      <x:c r="Z343" s="404"/>
      <x:c r="AA343" s="404"/>
    </x:row>
    <x:row r="344" ht="14.399999618530273" customHeight="1">
      <x:c r="C344" s="443" t="s">
        <x:v>219</x:v>
      </x:c>
      <x:c r="D344" s="518"/>
      <x:c r="E344" s="518"/>
      <x:c r="F344" s="519"/>
      <x:c r="G344" s="482" t="n">
        <x:f ca="1">+G$341*'Revenue Build &amp; Growth Drivers'!G54</x:f>
        <x:v>114050.70322188963</x:v>
      </x:c>
      <x:c r="H344" s="482" t="n">
        <x:f ca="1">+H$341*'Revenue Build &amp; Growth Drivers'!H54</x:f>
        <x:v>125840.16114741893</x:v>
      </x:c>
      <x:c r="I344" s="482" t="n">
        <x:f ca="1">+I$341*'Revenue Build &amp; Growth Drivers'!I54</x:f>
        <x:v>137121.72206169151</x:v>
      </x:c>
      <x:c r="J344" s="482" t="n">
        <x:f ca="1">+J$341*'Revenue Build &amp; Growth Drivers'!J54</x:f>
        <x:v>148388.19902366903</x:v>
      </x:c>
      <x:c r="K344" s="623" t="n">
        <x:f ca="1">+K$341*'Revenue Build &amp; Growth Drivers'!K54</x:f>
        <x:v>160770.01046585213</x:v>
      </x:c>
      <x:c r="O344" s="379"/>
      <x:c r="P344" s="379"/>
      <x:c r="Q344" s="379"/>
      <x:c r="R344" s="379"/>
      <x:c r="S344" s="379"/>
      <x:c r="T344" s="379"/>
      <x:c r="U344" s="379"/>
      <x:c r="V344" s="379"/>
      <x:c r="W344" s="379"/>
      <x:c r="X344" s="379"/>
      <x:c r="Y344" s="379"/>
      <x:c r="Z344" s="379"/>
      <x:c r="AA344" s="379"/>
    </x:row>
    <x:row r="345" ht="14.399999618530273" customHeight="1">
      <x:c r="C345" s="443" t="s">
        <x:v>220</x:v>
      </x:c>
      <x:c r="D345" s="518"/>
      <x:c r="E345" s="518"/>
      <x:c r="F345" s="519"/>
      <x:c r="G345" s="482" t="n">
        <x:f ca="1">+G$341*'Revenue Build &amp; Growth Drivers'!G55</x:f>
        <x:v>68430.42193313378</x:v>
      </x:c>
      <x:c r="H345" s="482" t="n">
        <x:f ca="1">+H$341*'Revenue Build &amp; Growth Drivers'!H55</x:f>
        <x:v>75504.09668845135</x:v>
      </x:c>
      <x:c r="I345" s="482" t="n">
        <x:f ca="1">+I$341*'Revenue Build &amp; Growth Drivers'!I55</x:f>
        <x:v>82273.03323701491</x:v>
      </x:c>
      <x:c r="J345" s="482" t="n">
        <x:f ca="1">+J$341*'Revenue Build &amp; Growth Drivers'!J55</x:f>
        <x:v>89032.91941420142</x:v>
      </x:c>
      <x:c r="K345" s="623" t="n">
        <x:f ca="1">+K$341*'Revenue Build &amp; Growth Drivers'!K55</x:f>
        <x:v>96462.00627951128</x:v>
      </x:c>
      <x:c r="O345" s="379"/>
      <x:c r="P345" s="379"/>
      <x:c r="Q345" s="379"/>
      <x:c r="R345" s="379"/>
      <x:c r="S345" s="379"/>
      <x:c r="T345" s="379"/>
      <x:c r="U345" s="379"/>
      <x:c r="V345" s="379"/>
      <x:c r="W345" s="379"/>
      <x:c r="X345" s="379"/>
      <x:c r="Y345" s="379"/>
      <x:c r="Z345" s="379"/>
      <x:c r="AA345" s="379"/>
    </x:row>
    <x:row r="346" ht="14.399999618530273" customHeight="1">
      <x:c r="C346" s="520" t="s">
        <x:v>221</x:v>
      </x:c>
      <x:c r="D346" s="521"/>
      <x:c r="E346" s="521"/>
      <x:c r="F346" s="522"/>
      <x:c r="G346" s="566" t="n">
        <x:f ca="1">+G$341*'Revenue Build &amp; Growth Drivers'!G56</x:f>
        <x:v>45620.281288755854</x:v>
      </x:c>
      <x:c r="H346" s="566" t="n">
        <x:f ca="1">+H$341*'Revenue Build &amp; Growth Drivers'!H56</x:f>
        <x:v>50336.06445896757</x:v>
      </x:c>
      <x:c r="I346" s="566" t="n">
        <x:f ca="1">+I$341*'Revenue Build &amp; Growth Drivers'!I56</x:f>
        <x:v>54848.68882467661</x:v>
      </x:c>
      <x:c r="J346" s="566" t="n">
        <x:f ca="1">+J$341*'Revenue Build &amp; Growth Drivers'!J56</x:f>
        <x:v>59355.279609467616</x:v>
      </x:c>
      <x:c r="K346" s="607" t="n">
        <x:f ca="1">+K$341*'Revenue Build &amp; Growth Drivers'!K56</x:f>
        <x:v>64308.004186340855</x:v>
      </x:c>
      <x:c r="O346" s="379"/>
      <x:c r="P346" s="379"/>
      <x:c r="Q346" s="379"/>
      <x:c r="R346" s="379"/>
      <x:c r="S346" s="379"/>
      <x:c r="T346" s="379"/>
      <x:c r="U346" s="379"/>
      <x:c r="V346" s="379"/>
      <x:c r="W346" s="379"/>
      <x:c r="X346" s="379"/>
      <x:c r="Y346" s="379"/>
      <x:c r="Z346" s="379"/>
      <x:c r="AA346" s="379"/>
    </x:row>
  </x:sheetData>
  <x:mergeCells>
    <x:mergeCell ref="O341:AA343"/>
    <x:mergeCell ref="D43:F43"/>
    <x:mergeCell ref="G43:K43"/>
    <x:mergeCell ref="D77:F77"/>
    <x:mergeCell ref="G77:K77"/>
    <x:mergeCell ref="O269:AA271"/>
    <x:mergeCell ref="O258:AA261"/>
    <x:mergeCell ref="D221:F221"/>
    <x:mergeCell ref="G221:K221"/>
    <x:mergeCell ref="D134:F134"/>
    <x:mergeCell ref="G134:K134"/>
    <x:mergeCell ref="G148:K148"/>
    <x:mergeCell ref="D11:F11"/>
    <x:mergeCell ref="G11:K11"/>
    <x:mergeCell ref="D336:F336"/>
    <x:mergeCell ref="G336:K336"/>
    <x:mergeCell ref="D281:F281"/>
    <x:mergeCell ref="G281:K281"/>
    <x:mergeCell ref="G107:K107"/>
    <x:mergeCell ref="D231:F231"/>
    <x:mergeCell ref="G231:K231"/>
    <x:mergeCell ref="D107:F107"/>
    <x:mergeCell ref="D176:F176"/>
    <x:mergeCell ref="G176:K176"/>
    <x:mergeCell ref="D210:F210"/>
    <x:mergeCell ref="G210:K210"/>
    <x:mergeCell ref="D148:F148"/>
  </x:mergeCells>
  <x:dataValidations count="2">
    <x:dataValidation type="list" allowBlank="1" showErrorMessage="1" sqref="E115 E126 E142">
      <x:formula1>"1,2"</x:formula1>
    </x:dataValidation>
    <x:dataValidation type="list" allowBlank="1" showErrorMessage="1" sqref="J5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be497bd1cb92421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77" customWidth="1"/>
    <x:col min="2" max="2" width="2.6640625" style="77" customWidth="1"/>
    <x:col min="3" max="3" width="45.6640625" style="77" customWidth="1"/>
    <x:col min="4" max="12" width="12.5546875" style="77" customWidth="1"/>
    <x:col min="13" max="13" width="2.6640625" style="77" customWidth="1"/>
    <x:col min="14" max="14" width="12.5546875" style="77" customWidth="1"/>
    <x:col min="15" max="15" width="2.6640625" style="77" customWidth="1"/>
    <x:col min="16" max="19" width="11.33203125" style="77" customWidth="1"/>
    <x:col min="20" max="26" width="8.6640625" style="77" customWidth="1"/>
    <x:col min="27" max="16384" width="14.44140625" style="77" customWidth="0"/>
  </x:cols>
  <x:sheetData>
    <x:row r="1" ht="14.399999618530273" customHeight="1"/>
    <x:row r="2" ht="18" customHeight="1">
      <x:c r="C2" s="417" t="str">
        <x:f>"Discounted Cash Flow Model For "&amp;D5</x:f>
        <x:v>Discounted Cash Flow Model For TopBuild Corp.</x:v>
      </x:c>
      <x:c r="D2" s="676"/>
      <x:c r="E2" s="418"/>
      <x:c r="F2" s="418"/>
      <x:c r="G2" s="418"/>
      <x:c r="H2" s="418"/>
      <x:c r="I2" s="418"/>
      <x:c r="J2" s="418"/>
      <x:c r="K2" s="418"/>
      <x:c r="L2" s="418"/>
      <x:c r="M2" s="418"/>
      <x:c r="N2" s="419"/>
    </x:row>
    <x:row r="3" ht="14.399999618530273" customHeight="1">
      <x:c r="C3" s="420" t="s">
        <x:v>37</x:v>
      </x:c>
      <x:c r="D3" s="677"/>
      <x:c r="E3" s="421"/>
      <x:c r="F3" s="421"/>
      <x:c r="G3" s="421"/>
      <x:c r="H3" s="421"/>
      <x:c r="I3" s="421"/>
      <x:c r="J3" s="678" t="s">
        <x:v>222</x:v>
      </x:c>
      <x:c r="K3" s="421"/>
      <x:c r="L3" s="421"/>
      <x:c r="M3" s="421"/>
      <x:c r="N3" s="422"/>
    </x:row>
    <x:row r="4" ht="14.399999618530273" customHeight="1">
      <x:c r="C4" s="423"/>
      <x:c r="D4" s="679"/>
      <x:c r="E4" s="424"/>
      <x:c r="F4" s="424"/>
      <x:c r="G4" s="424"/>
      <x:c r="H4" s="424"/>
      <x:c r="I4" s="424"/>
      <x:c r="J4" s="424"/>
      <x:c r="K4" s="424"/>
      <x:c r="L4" s="424"/>
      <x:c r="M4" s="424"/>
      <x:c r="N4" s="425"/>
    </x:row>
    <x:row r="5" ht="14.399999618530273" customHeight="1">
      <x:c r="C5" s="426" t="s">
        <x:v>1</x:v>
      </x:c>
      <x:c r="D5" s="427" t="str">
        <x:f>'Revenue Build &amp; Growth Drivers'!D5</x:f>
        <x:v>TopBuild Corp.</x:v>
      </x:c>
      <x:c r="E5" s="424"/>
      <x:c r="F5" s="424"/>
      <x:c r="G5" s="427" t="s">
        <x:v>223</x:v>
      </x:c>
      <x:c r="H5" s="424"/>
      <x:c r="I5" s="424"/>
      <x:c r="J5" s="680" t="n">
        <x:f>+D66</x:f>
        <x:v>31775.877</x:v>
      </x:c>
      <x:c r="K5" s="424"/>
      <x:c r="L5" s="424"/>
      <x:c r="M5" s="424"/>
      <x:c r="N5" s="425"/>
    </x:row>
    <x:row r="6" ht="14.399999618530273" customHeight="1">
      <x:c r="C6" s="426" t="s">
        <x:v>3</x:v>
      </x:c>
      <x:c r="D6" s="428" t="str">
        <x:f>'Revenue Build &amp; Growth Drivers'!D6</x:f>
        <x:v>BLD</x:v>
      </x:c>
      <x:c r="E6" s="424"/>
      <x:c r="F6" s="424"/>
      <x:c r="G6" s="427" t="s">
        <x:v>224</x:v>
      </x:c>
      <x:c r="H6" s="424"/>
      <x:c r="I6" s="424"/>
      <x:c r="J6" s="680" t="n">
        <x:f>+D71</x:f>
        <x:v>32100.077</x:v>
      </x:c>
      <x:c r="K6" s="424"/>
      <x:c r="L6" s="424"/>
      <x:c r="M6" s="424"/>
      <x:c r="N6" s="425"/>
    </x:row>
    <x:row r="7" ht="14.399999618530273" customHeight="1">
      <x:c r="C7" s="426" t="s">
        <x:v>5</x:v>
      </x:c>
      <x:c r="D7" s="531" t="n">
        <x:f>'Revenue Build &amp; Growth Drivers'!D7</x:f>
        <x:v>45394</x:v>
      </x:c>
      <x:c r="E7" s="424"/>
      <x:c r="F7" s="424"/>
      <x:c r="G7" s="427" t="s">
        <x:v>225</x:v>
      </x:c>
      <x:c r="H7" s="424"/>
      <x:c r="I7" s="424"/>
      <x:c r="J7" s="681" t="n">
        <x:f>+'WACC Build'!D43</x:f>
        <x:v>0.11325885865021967</x:v>
      </x:c>
      <x:c r="K7" s="424"/>
      <x:c r="L7" s="424"/>
      <x:c r="M7" s="424"/>
      <x:c r="N7" s="425"/>
    </x:row>
    <x:row r="8" ht="14.399999618530273" customHeight="1">
      <x:c r="C8" s="426" t="s">
        <x:v>6</x:v>
      </x:c>
      <x:c r="D8" s="531" t="n">
        <x:f>'Revenue Build &amp; Growth Drivers'!D8</x:f>
        <x:v>45393</x:v>
      </x:c>
      <x:c r="E8" s="424"/>
      <x:c r="F8" s="424"/>
      <x:c r="G8" s="427" t="s">
        <x:v>226</x:v>
      </x:c>
      <x:c r="H8" s="427"/>
      <x:c r="I8" s="427"/>
      <x:c r="J8" s="529">
        <x:v>0</x:v>
      </x:c>
      <x:c r="K8" s="424"/>
      <x:c r="L8" s="424"/>
      <x:c r="M8" s="424"/>
      <x:c r="N8" s="425"/>
    </x:row>
    <x:row r="9" ht="14.399999618530273" customHeight="1">
      <x:c r="C9" s="432" t="s">
        <x:v>7</x:v>
      </x:c>
      <x:c r="D9" s="533" t="n">
        <x:f>'Revenue Build &amp; Growth Drivers'!D9</x:f>
        <x:v>421.45</x:v>
      </x:c>
      <x:c r="E9" s="434"/>
      <x:c r="F9" s="434"/>
      <x:c r="G9" s="434"/>
      <x:c r="H9" s="434"/>
      <x:c r="I9" s="434"/>
      <x:c r="J9" s="434"/>
      <x:c r="K9" s="434"/>
      <x:c r="L9" s="434"/>
      <x:c r="M9" s="434"/>
      <x:c r="N9" s="435"/>
    </x:row>
    <x:row r="10" ht="14.399999618530273" customHeight="1">
      <x:c r="H10" s="90"/>
    </x:row>
    <x:row r="11" ht="14.399999618530273" customHeight="1">
      <x:c r="C11" s="436" t="s">
        <x:v>227</x:v>
      </x:c>
      <x:c r="D11" s="682"/>
      <x:c r="E11" s="437" t="s">
        <x:v>9</x:v>
      </x:c>
      <x:c r="F11" s="438"/>
      <x:c r="G11" s="439"/>
      <x:c r="H11" s="437" t="s">
        <x:v>10</x:v>
      </x:c>
      <x:c r="I11" s="438"/>
      <x:c r="J11" s="438"/>
      <x:c r="K11" s="438"/>
      <x:c r="L11" s="438"/>
      <x:c r="M11" s="418"/>
      <x:c r="N11" s="535" t="s">
        <x:v>41</x:v>
      </x:c>
    </x:row>
    <x:row r="12" ht="14.399999618530273" customHeight="1">
      <x:c r="C12" s="441"/>
      <x:c r="D12" s="683"/>
      <x:c r="E12" s="453" t="n">
        <x:f>'Financial Statement Model'!D12</x:f>
        <x:v>44561</x:v>
      </x:c>
      <x:c r="F12" s="453" t="n">
        <x:f>'Financial Statement Model'!E12</x:f>
        <x:v>44926</x:v>
      </x:c>
      <x:c r="G12" s="453" t="n">
        <x:f>'Financial Statement Model'!F12</x:f>
        <x:v>45291</x:v>
      </x:c>
      <x:c r="H12" s="456" t="n">
        <x:f>'Financial Statement Model'!G12</x:f>
        <x:v>45657</x:v>
      </x:c>
      <x:c r="I12" s="456" t="n">
        <x:f>'Financial Statement Model'!H12</x:f>
        <x:v>46022</x:v>
      </x:c>
      <x:c r="J12" s="456" t="n">
        <x:f>'Financial Statement Model'!I12</x:f>
        <x:v>46387</x:v>
      </x:c>
      <x:c r="K12" s="456" t="n">
        <x:f>'Financial Statement Model'!J12</x:f>
        <x:v>46752</x:v>
      </x:c>
      <x:c r="L12" s="456" t="n">
        <x:f>'Financial Statement Model'!K12</x:f>
        <x:v>47118</x:v>
      </x:c>
      <x:c r="M12" s="424"/>
      <x:c r="N12" s="442" t="s">
        <x:v>42</x:v>
      </x:c>
    </x:row>
    <x:row r="13">
      <x:c r="C13" s="443"/>
      <x:c r="D13" s="424"/>
      <x:c r="E13" s="424"/>
      <x:c r="F13" s="424"/>
      <x:c r="G13" s="424"/>
      <x:c r="H13" s="424"/>
      <x:c r="I13" s="424"/>
      <x:c r="J13" s="424"/>
      <x:c r="K13" s="424"/>
      <x:c r="L13" s="424"/>
      <x:c r="M13" s="424"/>
      <x:c r="N13" s="425"/>
    </x:row>
    <x:row r="14" ht="14.399999618530273" customHeight="1">
      <x:c r="C14" s="443" t="s">
        <x:v>11</x:v>
      </x:c>
      <x:c r="D14" s="424"/>
      <x:c r="E14" s="694" t="n">
        <x:f>+'Financial Statement Model'!D14</x:f>
        <x:v>3486207</x:v>
      </x:c>
      <x:c r="F14" s="694" t="n">
        <x:f>+'Financial Statement Model'!E14</x:f>
        <x:v>5008744</x:v>
      </x:c>
      <x:c r="G14" s="694" t="n">
        <x:f>+'Financial Statement Model'!F14</x:f>
        <x:v>5194694</x:v>
      </x:c>
      <x:c r="H14" s="696" t="n">
        <x:f>+'Financial Statement Model'!G14</x:f>
        <x:v>5387941.166152961</x:v>
      </x:c>
      <x:c r="I14" s="696" t="n">
        <x:f>+'Financial Statement Model'!H14</x:f>
        <x:v>5546043.073526298</x:v>
      </x:c>
      <x:c r="J14" s="696" t="n">
        <x:f>+'Financial Statement Model'!I14</x:f>
        <x:v>5726018.441775069</x:v>
      </x:c>
      <x:c r="K14" s="696" t="n">
        <x:f>+'Financial Statement Model'!J14</x:f>
        <x:v>5949773.449774535</x:v>
      </x:c>
      <x:c r="L14" s="696" t="n">
        <x:f>+'Financial Statement Model'!K14</x:f>
        <x:v>6205869.831561743</x:v>
      </x:c>
      <x:c r="M14" s="424"/>
      <x:c r="N14" s="425"/>
    </x:row>
    <x:row r="15" ht="14.399999618530273" customHeight="1">
      <x:c r="C15" s="423" t="s">
        <x:v>228</x:v>
      </x:c>
      <x:c r="D15" s="679"/>
      <x:c r="E15" s="686"/>
      <x:c r="F15" s="455" t="n">
        <x:f>+F14/E14-1</x:f>
        <x:v>0.4367316685440652</x:v>
      </x:c>
      <x:c r="G15" s="455" t="n">
        <x:f t="shared" ref="G15:L15" si="0">+G14/F14-1</x:f>
        <x:v>0.037125075667672425</x:v>
      </x:c>
      <x:c r="H15" s="458">
        <x:f t="shared" si="0"/>
        <x:v>3.7200875769190844E-2</x:v>
      </x:c>
      <x:c r="I15" s="458">
        <x:f t="shared" si="0"/>
        <x:v>2.9343658829560582E-2</x:v>
      </x:c>
      <x:c r="J15" s="458">
        <x:f t="shared" si="0"/>
        <x:v>3.2451130628226244E-2</x:v>
      </x:c>
      <x:c r="K15" s="458">
        <x:f t="shared" si="0"/>
        <x:v>3.9076892656689122E-2</x:v>
      </x:c>
      <x:c r="L15" s="458">
        <x:f t="shared" si="0"/>
        <x:v>4.3043047596528661E-2</x:v>
      </x:c>
      <x:c r="M15" s="687"/>
      <x:c r="N15" s="425"/>
    </x:row>
    <x:row r="16" ht="14.399999618530273" customHeight="1">
      <x:c r="C16" s="423"/>
      <x:c r="D16" s="679"/>
      <x:c r="E16" s="424"/>
      <x:c r="F16" s="424"/>
      <x:c r="G16" s="589"/>
      <x:c r="H16" s="424"/>
      <x:c r="I16" s="424"/>
      <x:c r="J16" s="424"/>
      <x:c r="K16" s="424"/>
      <x:c r="L16" s="424"/>
      <x:c r="M16" s="424"/>
      <x:c r="N16" s="425"/>
    </x:row>
    <x:row r="17" ht="14.399999618530273" customHeight="1">
      <x:c r="C17" s="443" t="s">
        <x:v>44</x:v>
      </x:c>
      <x:c r="D17" s="424"/>
      <x:c r="E17" s="694" t="n">
        <x:f>+'Financial Statement Model'!D16</x:f>
        <x:v>974389</x:v>
      </x:c>
      <x:c r="F17" s="694" t="n">
        <x:f>+'Financial Statement Model'!E16</x:f>
        <x:v>1486719</x:v>
      </x:c>
      <x:c r="G17" s="694" t="n">
        <x:f>+'Financial Statement Model'!F16</x:f>
        <x:v>1603820</x:v>
      </x:c>
      <x:c r="H17" s="696" t="n">
        <x:f>+'Financial Statement Model'!G16</x:f>
        <x:v>1670261.7615074178</x:v>
      </x:c>
      <x:c r="I17" s="696" t="n">
        <x:f>+'Financial Statement Model'!H16</x:f>
        <x:v>1747003.5681607837</x:v>
      </x:c>
      <x:c r="J17" s="696" t="n">
        <x:f>+'Financial Statement Model'!I16</x:f>
        <x:v>1815147.8460426969</x:v>
      </x:c>
      <x:c r="K17" s="696" t="n">
        <x:f>+'Financial Statement Model'!J16</x:f>
        <x:v>1897977.7304780767</x:v>
      </x:c>
      <x:c r="L17" s="696" t="n">
        <x:f>+'Financial Statement Model'!K16</x:f>
        <x:v>1992084.2159313196</x:v>
      </x:c>
      <x:c r="M17" s="424"/>
      <x:c r="N17" s="425"/>
    </x:row>
    <x:row r="18" ht="14.399999618530273" customHeight="1">
      <x:c r="C18" s="423" t="s">
        <x:v>229</x:v>
      </x:c>
      <x:c r="D18" s="679"/>
      <x:c r="E18" s="455" t="n">
        <x:f>+E17/E$14</x:f>
        <x:v>0.2794983200940162</x:v>
      </x:c>
      <x:c r="F18" s="455" t="n">
        <x:f t="shared" ref="F18:L18" si="1">+F17/F$14</x:f>
        <x:v>0.296824712942007</x:v>
      </x:c>
      <x:c r="G18" s="455">
        <x:f t="shared" si="1"/>
        <x:v>0.30874195862162429</x:v>
      </x:c>
      <x:c r="H18" s="458">
        <x:f t="shared" si="1"/>
        <x:v>0.31</x:v>
      </x:c>
      <x:c r="I18" s="458">
        <x:f t="shared" si="1"/>
        <x:v>0.315</x:v>
      </x:c>
      <x:c r="J18" s="458">
        <x:f t="shared" si="1"/>
        <x:v>0.317</x:v>
      </x:c>
      <x:c r="K18" s="458">
        <x:f t="shared" si="1"/>
        <x:v>0.31900000000000001</x:v>
      </x:c>
      <x:c r="L18" s="458">
        <x:f t="shared" si="1"/>
        <x:v>0.32100000000000001</x:v>
      </x:c>
      <x:c r="M18" s="424"/>
      <x:c r="N18" s="425"/>
    </x:row>
    <x:row r="19" ht="14.399999618530273" customHeight="1">
      <x:c r="C19" s="423"/>
      <x:c r="D19" s="679"/>
      <x:c r="E19" s="424"/>
      <x:c r="F19" s="424"/>
      <x:c r="G19" s="589"/>
      <x:c r="H19" s="424"/>
      <x:c r="I19" s="424"/>
      <x:c r="J19" s="424"/>
      <x:c r="K19" s="424"/>
      <x:c r="L19" s="424"/>
      <x:c r="M19" s="424"/>
      <x:c r="N19" s="425"/>
    </x:row>
    <x:row r="20" ht="14.399999618530273" customHeight="1">
      <x:c r="C20" s="443" t="s">
        <x:v>56</x:v>
      </x:c>
      <x:c r="D20" s="424"/>
      <x:c r="E20" s="694" t="n">
        <x:f>+'Financial Statement Model'!D29</x:f>
        <x:v>571682</x:v>
      </x:c>
      <x:c r="F20" s="694" t="n">
        <x:f>+'Financial Statement Model'!E29</x:f>
        <x:v>921799</x:v>
      </x:c>
      <x:c r="G20" s="694" t="n">
        <x:f>+'Financial Statement Model'!F29</x:f>
        <x:v>1027903</x:v>
      </x:c>
      <x:c r="H20" s="696" t="n">
        <x:f ca="1">+'Financial Statement Model'!G29</x:f>
        <x:v>1060470.4584018602</x:v>
      </x:c>
      <x:c r="I20" s="696" t="n">
        <x:f ca="1">+'Financial Statement Model'!H29</x:f>
        <x:v>1136324.3360035452</x:v>
      </x:c>
      <x:c r="J20" s="696" t="n">
        <x:f ca="1">+'Financial Statement Model'!I29</x:f>
        <x:v>1201752.9319001858</x:v>
      </x:c>
      <x:c r="K20" s="696" t="n">
        <x:f ca="1">+'Financial Statement Model'!J29</x:f>
        <x:v>1276429.3616330677</x:v>
      </x:c>
      <x:c r="L20" s="696" t="n">
        <x:f ca="1">+'Financial Statement Model'!K29</x:f>
        <x:v>1360256.5117919957</x:v>
      </x:c>
      <x:c r="M20" s="424"/>
      <x:c r="N20" s="697" t="n">
        <x:f ca="1">+_xlfn.RRI(YEAR($L$12)-YEAR($G$12),G20,L20)</x:f>
        <x:v>0.05762993862485155</x:v>
      </x:c>
    </x:row>
    <x:row r="21" ht="14.399999618530273" customHeight="1">
      <x:c r="C21" s="423" t="s">
        <x:v>230</x:v>
      </x:c>
      <x:c r="D21" s="679"/>
      <x:c r="E21" s="455" t="n">
        <x:f>+E20/E$14</x:f>
        <x:v>0.1639839516127413</x:v>
      </x:c>
      <x:c r="F21" s="455" t="n">
        <x:f t="shared" ref="F21" si="2">+F20/F$14</x:f>
        <x:v>0.18403795442530102</x:v>
      </x:c>
      <x:c r="G21" s="455" t="n">
        <x:f t="shared" ref="G21" si="3">+G20/G$14</x:f>
        <x:v>0.1978755630264266</x:v>
      </x:c>
      <x:c r="H21" s="458" t="n">
        <x:f t="shared" ref="H21" ca="1" si="4">+H20/H$14</x:f>
        <x:v>0.19682294696603858</x:v>
      </x:c>
      <x:c r="I21" s="458" t="n">
        <x:f t="shared" ref="I21" ca="1" si="5">+I20/I$14</x:f>
        <x:v>0.20488920135289265</x:v>
      </x:c>
      <x:c r="J21" s="458" t="n">
        <x:f t="shared" ref="J21" ca="1" si="6">+J20/J$14</x:f>
        <x:v>0.2098758402754361</x:v>
      </x:c>
      <x:c r="K21" s="458" t="n">
        <x:f t="shared" ref="K21" ca="1" si="7">+K20/K$14</x:f>
        <x:v>0.21453411166124947</x:v>
      </x:c>
      <x:c r="L21" s="458" t="n">
        <x:f t="shared" ref="L21" ca="1" si="8">+L20/L$14</x:f>
        <x:v>0.21918869533389476</x:v>
      </x:c>
      <x:c r="M21" s="424"/>
      <x:c r="N21" s="425"/>
    </x:row>
    <x:row r="22" ht="14.399999618530273" customHeight="1">
      <x:c r="C22" s="423"/>
      <x:c r="D22" s="679"/>
      <x:c r="E22" s="424"/>
      <x:c r="F22" s="424"/>
      <x:c r="G22" s="589"/>
      <x:c r="H22" s="424"/>
      <x:c r="I22" s="424"/>
      <x:c r="J22" s="424"/>
      <x:c r="K22" s="424"/>
      <x:c r="L22" s="424"/>
      <x:c r="M22" s="424"/>
      <x:c r="N22" s="425"/>
    </x:row>
    <x:row r="23" ht="14.399999618530273" customHeight="1">
      <x:c r="C23" s="443" t="s">
        <x:v>47</x:v>
      </x:c>
      <x:c r="D23" s="424"/>
      <x:c r="E23" s="694" t="n">
        <x:f>+'Financial Statement Model'!D19</x:f>
        <x:v>492292</x:v>
      </x:c>
      <x:c r="F23" s="694" t="n">
        <x:f>+'Financial Statement Model'!E19</x:f>
        <x:v>798464</x:v>
      </x:c>
      <x:c r="G23" s="694" t="n">
        <x:f>+'Financial Statement Model'!F19</x:f>
        <x:v>895025</x:v>
      </x:c>
      <x:c r="H23" s="696" t="n">
        <x:f>+'Financial Statement Model'!G19</x:f>
        <x:v>942889.704076768</x:v>
      </x:c>
      <x:c r="I23" s="696" t="n">
        <x:f>+'Financial Statement Model'!H19</x:f>
        <x:v>998287.7532347335</x:v>
      </x:c>
      <x:c r="J23" s="696" t="n">
        <x:f>+'Financial Statement Model'!I19</x:f>
        <x:v>1042135.3564030626</x:v>
      </x:c>
      <x:c r="K23" s="696" t="n">
        <x:f>+'Financial Statement Model'!J19</x:f>
        <x:v>1094758.3147585145</x:v>
      </x:c>
      <x:c r="L23" s="696" t="n">
        <x:f>+'Financial Statement Model'!K19</x:f>
        <x:v>1154291.7886704842</x:v>
      </x:c>
      <x:c r="M23" s="424"/>
      <x:c r="N23" s="425"/>
    </x:row>
    <x:row r="24" ht="14.399999618530273" customHeight="1">
      <x:c r="C24" s="423" t="s">
        <x:v>231</x:v>
      </x:c>
      <x:c r="D24" s="679"/>
      <x:c r="E24" s="455" t="n">
        <x:f>+E23/E$14</x:f>
        <x:v>0.14121135090371856</x:v>
      </x:c>
      <x:c r="F24" s="455" t="n">
        <x:f t="shared" ref="F24" si="9">+F23/F$14</x:f>
        <x:v>0.15941401676747705</x:v>
      </x:c>
      <x:c r="G24" s="455" t="n">
        <x:f t="shared" ref="G24" si="10">+G23/G$14</x:f>
        <x:v>0.1722960004958906</x:v>
      </x:c>
      <x:c r="H24" s="458" t="n">
        <x:f t="shared" ref="H24" si="11">+H23/H$14</x:f>
        <x:v>0.175</x:v>
      </x:c>
      <x:c r="I24" s="458" t="n">
        <x:f t="shared" ref="I24" si="12">+I23/I$14</x:f>
        <x:v>0.18</x:v>
      </x:c>
      <x:c r="J24" s="458" t="n">
        <x:f t="shared" ref="J24" si="13">+J23/J$14</x:f>
        <x:v>0.18200000000000002</x:v>
      </x:c>
      <x:c r="K24" s="458" t="n">
        <x:f t="shared" ref="K24" si="14">+K23/K$14</x:f>
        <x:v>0.184</x:v>
      </x:c>
      <x:c r="L24" s="458" t="n">
        <x:f t="shared" ref="L24" si="15">+L23/L$14</x:f>
        <x:v>0.186</x:v>
      </x:c>
      <x:c r="M24" s="424"/>
      <x:c r="N24" s="425"/>
    </x:row>
    <x:row r="25" ht="14.399999618530273" customHeight="1">
      <x:c r="C25" s="423"/>
      <x:c r="D25" s="679"/>
      <x:c r="E25" s="424"/>
      <x:c r="F25" s="424"/>
      <x:c r="G25" s="589"/>
      <x:c r="H25" s="424"/>
      <x:c r="I25" s="424"/>
      <x:c r="J25" s="424"/>
      <x:c r="K25" s="424"/>
      <x:c r="L25" s="424"/>
      <x:c r="M25" s="424"/>
      <x:c r="N25" s="425"/>
    </x:row>
    <x:row r="26" ht="14.399999618530273" customHeight="1">
      <x:c r="C26" s="443" t="s">
        <x:v>232</x:v>
      </x:c>
      <x:c r="D26" s="424"/>
      <x:c r="E26" s="619" t="n">
        <x:f>+E23*E27</x:f>
        <x:v>124284.01585444913</x:v>
      </x:c>
      <x:c r="F26" s="619" t="n">
        <x:f t="shared" ref="F26:L26" si="16">+F23*F27</x:f>
        <x:v>200274.7205616229</x:v>
      </x:c>
      <x:c r="G26" s="619">
        <x:f t="shared" si="16"/>
        <x:v>229023.77847272446</x:v>
      </x:c>
      <x:c r="H26" s="580">
        <x:f t="shared" si="16"/>
        <x:v>241271.65465846253</x:v>
      </x:c>
      <x:c r="I26" s="580">
        <x:f t="shared" si="16"/>
        <x:v>255447.20342880412</x:v>
      </x:c>
      <x:c r="J26" s="580">
        <x:f t="shared" si="16"/>
        <x:v>266667.16237361945</x:v>
      </x:c>
      <x:c r="K26" s="580">
        <x:f t="shared" si="16"/>
        <x:v>280132.6060841062</x:v>
      </x:c>
      <x:c r="L26" s="580">
        <x:f t="shared" si="16"/>
        <x:v>295366.34943309275</x:v>
      </x:c>
      <x:c r="M26" s="424"/>
      <x:c r="N26" s="425"/>
    </x:row>
    <x:row r="27" ht="14.399999618530273" customHeight="1">
      <x:c r="C27" s="423" t="s">
        <x:v>233</x:v>
      </x:c>
      <x:c r="D27" s="679"/>
      <x:c r="E27" s="695" t="n">
        <x:f>+'Financial Statement Model'!D41</x:f>
        <x:v>0.2524599543653952</x:v>
      </x:c>
      <x:c r="F27" s="695" t="n">
        <x:f>+'Financial Statement Model'!E41</x:f>
        <x:v>0.2508249846726</x:v>
      </x:c>
      <x:c r="G27" s="695" t="n">
        <x:f>+'Financial Statement Model'!F41</x:f>
        <x:v>0.25588534227839943</x:v>
      </x:c>
      <x:c r="H27" s="698" t="n">
        <x:f>+'Financial Statement Model'!G41</x:f>
        <x:v>0.25588534227839943</x:v>
      </x:c>
      <x:c r="I27" s="698" t="n">
        <x:f>+'Financial Statement Model'!H41</x:f>
        <x:v>0.25588534227839943</x:v>
      </x:c>
      <x:c r="J27" s="698" t="n">
        <x:f>+'Financial Statement Model'!I41</x:f>
        <x:v>0.25588534227839943</x:v>
      </x:c>
      <x:c r="K27" s="698" t="n">
        <x:f>+'Financial Statement Model'!J41</x:f>
        <x:v>0.25588534227839943</x:v>
      </x:c>
      <x:c r="L27" s="698" t="n">
        <x:f>+'Financial Statement Model'!K41</x:f>
        <x:v>0.25588534227839943</x:v>
      </x:c>
      <x:c r="M27" s="424"/>
      <x:c r="N27" s="425"/>
    </x:row>
    <x:row r="28" ht="14.399999618530273" customHeight="1">
      <x:c r="C28" s="443"/>
      <x:c r="D28" s="424"/>
      <x:c r="E28" s="424"/>
      <x:c r="F28" s="424"/>
      <x:c r="G28" s="589"/>
      <x:c r="H28" s="424"/>
      <x:c r="I28" s="424"/>
      <x:c r="J28" s="424"/>
      <x:c r="K28" s="424"/>
      <x:c r="L28" s="424"/>
      <x:c r="M28" s="424"/>
      <x:c r="N28" s="425"/>
    </x:row>
    <x:row r="29" ht="14.399999618530273" customHeight="1">
      <x:c r="C29" s="459" t="s">
        <x:v>234</x:v>
      </x:c>
      <x:c r="D29" s="691"/>
      <x:c r="E29" s="552" t="n">
        <x:f>+E23-E26</x:f>
        <x:v>368007.9841455509</x:v>
      </x:c>
      <x:c r="F29" s="552" t="n">
        <x:f t="shared" ref="F29:L29" si="17">+F23-F26</x:f>
        <x:v>598189.2794383771</x:v>
      </x:c>
      <x:c r="G29" s="552">
        <x:f t="shared" si="17"/>
        <x:v>666001.22152727551</x:v>
      </x:c>
      <x:c r="H29" s="481">
        <x:f t="shared" si="17"/>
        <x:v>701618.04941830551</x:v>
      </x:c>
      <x:c r="I29" s="481">
        <x:f t="shared" si="17"/>
        <x:v>742840.54980592942</x:v>
      </x:c>
      <x:c r="J29" s="481">
        <x:f t="shared" si="17"/>
        <x:v>775468.1940294432</x:v>
      </x:c>
      <x:c r="K29" s="481">
        <x:f t="shared" si="17"/>
        <x:v>814625.70867440826</x:v>
      </x:c>
      <x:c r="L29" s="481">
        <x:f t="shared" si="17"/>
        <x:v>858925.43923739146</x:v>
      </x:c>
      <x:c r="M29" s="424"/>
      <x:c r="N29" s="425"/>
    </x:row>
    <x:row r="30" ht="14.399999618530273" customHeight="1">
      <x:c r="C30" s="443"/>
      <x:c r="D30" s="424"/>
      <x:c r="E30" s="424"/>
      <x:c r="F30" s="424"/>
      <x:c r="G30" s="589"/>
      <x:c r="H30" s="424"/>
      <x:c r="I30" s="424"/>
      <x:c r="J30" s="424"/>
      <x:c r="K30" s="424"/>
      <x:c r="L30" s="424"/>
      <x:c r="M30" s="424"/>
      <x:c r="N30" s="425"/>
    </x:row>
    <x:row r="31" ht="14.399999618530273" customHeight="1">
      <x:c r="C31" s="443" t="s">
        <x:v>235</x:v>
      </x:c>
      <x:c r="D31" s="424"/>
      <x:c r="E31" s="582"/>
      <x:c r="F31" s="694" t="n">
        <x:f>+'Financial Statement Model'!E28</x:f>
        <x:v>123335</x:v>
      </x:c>
      <x:c r="G31" s="694" t="n">
        <x:f>+'Financial Statement Model'!F28</x:f>
        <x:v>132878</x:v>
      </x:c>
      <x:c r="H31" s="696" t="n">
        <x:f ca="1">+'Financial Statement Model'!G28</x:f>
        <x:v>117580.7543250923</x:v>
      </x:c>
      <x:c r="I31" s="696" t="n">
        <x:f ca="1">+'Financial Statement Model'!H28</x:f>
        <x:v>138036.5827688118</x:v>
      </x:c>
      <x:c r="J31" s="696" t="n">
        <x:f ca="1">+'Financial Statement Model'!I28</x:f>
        <x:v>159617.5754971231</x:v>
      </x:c>
      <x:c r="K31" s="696" t="n">
        <x:f ca="1">+'Financial Statement Model'!J28</x:f>
        <x:v>181671.0468745531</x:v>
      </x:c>
      <x:c r="L31" s="696" t="n">
        <x:f ca="1">+'Financial Statement Model'!K28</x:f>
        <x:v>205964.7231215114</x:v>
      </x:c>
      <x:c r="M31" s="424"/>
      <x:c r="N31" s="425"/>
    </x:row>
    <x:row r="32" ht="14.399999618530273" customHeight="1">
      <x:c r="C32" s="443" t="s">
        <x:v>236</x:v>
      </x:c>
      <x:c r="D32" s="424"/>
      <x:c r="E32" s="582"/>
      <x:c r="F32" s="694" t="n">
        <x:f>+'Financial Statement Model'!E31</x:f>
        <x:v>12310</x:v>
      </x:c>
      <x:c r="G32" s="694" t="n">
        <x:f>+'Financial Statement Model'!F31</x:f>
        <x:v>15838</x:v>
      </x:c>
      <x:c r="H32" s="696" t="n">
        <x:f>+'Financial Statement Model'!G31</x:f>
        <x:v>13154.666666666666</x:v>
      </x:c>
      <x:c r="I32" s="696" t="n">
        <x:f>+'Financial Statement Model'!H31</x:f>
        <x:v>13767.555555555555</x:v>
      </x:c>
      <x:c r="J32" s="696" t="n">
        <x:f>+'Financial Statement Model'!I31</x:f>
        <x:v>14253.407407407407</x:v>
      </x:c>
      <x:c r="K32" s="696" t="n">
        <x:f>+'Financial Statement Model'!J31</x:f>
        <x:v>13725.20987654321</x:v>
      </x:c>
      <x:c r="L32" s="696" t="n">
        <x:f>+'Financial Statement Model'!K31</x:f>
        <x:v>13915.390946502057</x:v>
      </x:c>
      <x:c r="M32" s="424"/>
      <x:c r="N32" s="425"/>
    </x:row>
    <x:row r="33" ht="14.399999618530273" customHeight="1">
      <x:c r="C33" s="443" t="s">
        <x:v>237</x:v>
      </x:c>
      <x:c r="D33" s="424"/>
      <x:c r="E33" s="582"/>
      <x:c r="F33" s="551" t="n">
        <x:f>F52</x:f>
        <x:v>212384</x:v>
      </x:c>
      <x:c r="G33" s="551" t="n">
        <x:f t="shared" ref="G33:L33" si="18">G52</x:f>
        <x:v>-78611</x:v>
      </x:c>
      <x:c r="H33" s="482">
        <x:f t="shared" si="18"/>
        <x:v>20430.626600867137</x:v>
      </x:c>
      <x:c r="I33" s="482">
        <x:f t="shared" si="18"/>
        <x:v>17368.576459210599</x:v>
      </x:c>
      <x:c r="J33" s="482">
        <x:f t="shared" si="18"/>
        <x:v>19210.451454100315</x:v>
      </x:c>
      <x:c r="K33" s="482">
        <x:f t="shared" si="18"/>
        <x:v>23828.25165474182</x:v>
      </x:c>
      <x:c r="L33" s="482">
        <x:f t="shared" si="18"/>
        <x:v>27252.057894992293</x:v>
      </x:c>
      <x:c r="M33" s="424"/>
      <x:c r="N33" s="425"/>
    </x:row>
    <x:row r="34" ht="14.399999618530273" customHeight="1">
      <x:c r="C34" s="443" t="s">
        <x:v>238</x:v>
      </x:c>
      <x:c r="D34" s="424"/>
      <x:c r="E34" s="582"/>
      <x:c r="F34" s="694" t="n">
        <x:f>+'Financial Statement Model'!E181-'Financial Statement Model'!E89</x:f>
        <x:v>96882</x:v>
      </x:c>
      <x:c r="G34" s="694" t="n">
        <x:f>+'Financial Statement Model'!F181-'Financial Statement Model'!F89</x:f>
        <x:v>213152</x:v>
      </x:c>
      <x:c r="H34" s="696" t="n">
        <x:f ca="1">+'Financial Statement Model'!G181-'Financial Statement Model'!G89</x:f>
        <x:v>306231.3767571515</x:v>
      </x:c>
      <x:c r="I34" s="696" t="n">
        <x:f ca="1">+'Financial Statement Model'!H181-'Financial Statement Model'!H89</x:f>
        <x:v>329455.2669478864</x:v>
      </x:c>
      <x:c r="J34" s="696" t="n">
        <x:f ca="1">+'Financial Statement Model'!I181-'Financial Statement Model'!I89</x:f>
        <x:v>352201.8026842076</x:v>
      </x:c>
      <x:c r="K34" s="696" t="n">
        <x:f ca="1">+'Financial Statement Model'!J181-'Financial Statement Model'!J89</x:f>
        <x:v>380349.20759554376</x:v>
      </x:c>
      <x:c r="L34" s="696" t="n">
        <x:f ca="1">+'Financial Statement Model'!K181-'Financial Statement Model'!K89</x:f>
        <x:v>407769.84882497735</x:v>
      </x:c>
      <x:c r="M34" s="424"/>
      <x:c r="N34" s="425"/>
    </x:row>
    <x:row r="35" ht="14.399999618530273" customHeight="1">
      <x:c r="C35" s="443"/>
      <x:c r="D35" s="424"/>
      <x:c r="E35" s="473"/>
      <x:c r="F35" s="473"/>
      <x:c r="G35" s="537"/>
      <x:c r="H35" s="473"/>
      <x:c r="I35" s="473"/>
      <x:c r="J35" s="473"/>
      <x:c r="K35" s="473"/>
      <x:c r="L35" s="473"/>
      <x:c r="M35" s="424"/>
      <x:c r="N35" s="425"/>
    </x:row>
    <x:row r="36" ht="14.399999618530273" customHeight="1">
      <x:c r="C36" s="576" t="s">
        <x:v>239</x:v>
      </x:c>
      <x:c r="D36" s="692"/>
      <x:c r="E36" s="652"/>
      <x:c r="F36" s="577" t="n">
        <x:f>+F29+F31+F32-F33-F34</x:f>
        <x:v>424568.2794383771</x:v>
      </x:c>
      <x:c r="G36" s="577" t="n">
        <x:f t="shared" ref="G36:L36" si="19">+G29+G31+G32-G33-G34</x:f>
        <x:v>680176.2215272755</x:v>
      </x:c>
      <x:c r="H36" s="577">
        <x:f t="shared" ca="1" si="19"/>
        <x:v>505691.4670520458</x:v>
      </x:c>
      <x:c r="I36" s="577">
        <x:f t="shared" ca="1" si="19"/>
        <x:v>547820.84472319973</x:v>
      </x:c>
      <x:c r="J36" s="577">
        <x:f t="shared" ca="1" si="19"/>
        <x:v>577926.92279566568</x:v>
      </x:c>
      <x:c r="K36" s="577">
        <x:f t="shared" ca="1" si="19"/>
        <x:v>605844.50617521908</x:v>
      </x:c>
      <x:c r="L36" s="577">
        <x:f t="shared" ca="1" si="19"/>
        <x:v>643783.64658543514</x:v>
      </x:c>
      <x:c r="M36" s="434"/>
      <x:c r="N36" s="693" t="n">
        <x:f ca="1">+_xlfn.RRI(YEAR($L$12)-YEAR($G$12),G36,L36)</x:f>
        <x:v>-0.010937584209035234</x:v>
      </x:c>
    </x:row>
    <x:row r="37" ht="14.399999618530273" customHeight="1">
      <x:c r="G37" s="100"/>
    </x:row>
    <x:row r="38" ht="14.399999618530273" customHeight="1">
      <x:c r="C38" s="436" t="s">
        <x:v>240</x:v>
      </x:c>
      <x:c r="D38" s="682"/>
      <x:c r="E38" s="437" t="s">
        <x:v>9</x:v>
      </x:c>
      <x:c r="F38" s="438"/>
      <x:c r="G38" s="439"/>
      <x:c r="H38" s="437" t="s">
        <x:v>10</x:v>
      </x:c>
      <x:c r="I38" s="438"/>
      <x:c r="J38" s="438"/>
      <x:c r="K38" s="438"/>
      <x:c r="L38" s="440"/>
    </x:row>
    <x:row r="39" ht="14.399999618530273" customHeight="1">
      <x:c r="C39" s="441"/>
      <x:c r="D39" s="683"/>
      <x:c r="E39" s="453" t="n">
        <x:f>'Financial Statement Model'!D12</x:f>
        <x:v>44561</x:v>
      </x:c>
      <x:c r="F39" s="453" t="n">
        <x:f>'Financial Statement Model'!E12</x:f>
        <x:v>44926</x:v>
      </x:c>
      <x:c r="G39" s="453" t="n">
        <x:f>'Financial Statement Model'!F12</x:f>
        <x:v>45291</x:v>
      </x:c>
      <x:c r="H39" s="456" t="n">
        <x:f>'Financial Statement Model'!G12</x:f>
        <x:v>45657</x:v>
      </x:c>
      <x:c r="I39" s="456" t="n">
        <x:f>'Financial Statement Model'!H12</x:f>
        <x:v>46022</x:v>
      </x:c>
      <x:c r="J39" s="456" t="n">
        <x:f>'Financial Statement Model'!I12</x:f>
        <x:v>46387</x:v>
      </x:c>
      <x:c r="K39" s="456" t="n">
        <x:f>'Financial Statement Model'!J12</x:f>
        <x:v>46752</x:v>
      </x:c>
      <x:c r="L39" s="865" t="n">
        <x:f>'Financial Statement Model'!K12</x:f>
        <x:v>47118</x:v>
      </x:c>
    </x:row>
    <x:row r="40">
      <x:c r="C40" s="443"/>
      <x:c r="D40" s="424"/>
      <x:c r="E40" s="424"/>
      <x:c r="F40" s="424"/>
      <x:c r="G40" s="424"/>
      <x:c r="H40" s="424"/>
      <x:c r="I40" s="424"/>
      <x:c r="J40" s="424"/>
      <x:c r="K40" s="424"/>
      <x:c r="L40" s="425"/>
    </x:row>
    <x:row r="41" ht="14.399999618530273" customHeight="1">
      <x:c r="C41" s="443" t="s">
        <x:v>67</x:v>
      </x:c>
      <x:c r="D41" s="424"/>
      <x:c r="E41" s="694" t="n">
        <x:f>+'Financial Statement Model'!D47</x:f>
        <x:v>668419</x:v>
      </x:c>
      <x:c r="F41" s="694" t="n">
        <x:f>+'Financial Statement Model'!E47</x:f>
        <x:v>836071</x:v>
      </x:c>
      <x:c r="G41" s="694" t="n">
        <x:f>+'Financial Statement Model'!F47</x:f>
        <x:v>799009</x:v>
      </x:c>
      <x:c r="H41" s="696" t="n">
        <x:f>+'Financial Statement Model'!G47</x:f>
        <x:v>828732.8345474654</x:v>
      </x:c>
      <x:c r="I41" s="696" t="n">
        <x:f>+'Financial Statement Model'!H47</x:f>
        <x:v>853050.8881052809</x:v>
      </x:c>
      <x:c r="J41" s="696" t="n">
        <x:f>+'Financial Statement Model'!I47</x:f>
        <x:v>880733.3539077098</x:v>
      </x:c>
      <x:c r="K41" s="696" t="n">
        <x:f>+'Financial Statement Model'!J47</x:f>
        <x:v>915149.6766375272</x:v>
      </x:c>
      <x:c r="L41" s="880" t="n">
        <x:f>+'Financial Statement Model'!K47</x:f>
        <x:v>954540.5077269841</x:v>
      </x:c>
    </x:row>
    <x:row r="42" ht="14.399999618530273" customHeight="1">
      <x:c r="C42" s="443" t="s">
        <x:v>68</x:v>
      </x:c>
      <x:c r="D42" s="424"/>
      <x:c r="E42" s="694" t="n">
        <x:f>+'Financial Statement Model'!D48</x:f>
        <x:v>352801</x:v>
      </x:c>
      <x:c r="F42" s="694" t="n">
        <x:f>+'Financial Statement Model'!E48</x:f>
        <x:v>438644</x:v>
      </x:c>
      <x:c r="G42" s="694" t="n">
        <x:f>+'Financial Statement Model'!F48</x:f>
        <x:v>364731</x:v>
      </x:c>
      <x:c r="H42" s="696" t="n">
        <x:f>+'Financial Statement Model'!G48</x:f>
        <x:v>377610.83428039344</x:v>
      </x:c>
      <x:c r="I42" s="696" t="n">
        <x:f>+'Financial Statement Model'!H48</x:f>
        <x:v>385874.714019893</x:v>
      </x:c>
      <x:c r="J42" s="696" t="n">
        <x:f>+'Financial Statement Model'!I48</x:f>
        <x:v>397233.5824793807</x:v>
      </x:c>
      <x:c r="K42" s="696" t="n">
        <x:f>+'Financial Statement Model'!J48</x:f>
        <x:v>411547.57991918316</x:v>
      </x:c>
      <x:c r="L42" s="880" t="n">
        <x:f>+'Financial Statement Model'!K48</x:f>
        <x:v>428001.1611029795</x:v>
      </x:c>
    </x:row>
    <x:row r="43" ht="14.399999618530273" customHeight="1">
      <x:c r="C43" s="443" t="s">
        <x:v>69</x:v>
      </x:c>
      <x:c r="D43" s="424"/>
      <x:c r="E43" s="694" t="n">
        <x:f>+'Financial Statement Model'!D49</x:f>
        <x:v>26692</x:v>
      </x:c>
      <x:c r="F43" s="694" t="n">
        <x:f>+'Financial Statement Model'!E49</x:f>
        <x:v>34257</x:v>
      </x:c>
      <x:c r="G43" s="694" t="n">
        <x:f>+'Financial Statement Model'!F49</x:f>
        <x:v>36939</x:v>
      </x:c>
      <x:c r="H43" s="696" t="n">
        <x:f>+'Financial Statement Model'!G49</x:f>
        <x:v>38313.16315003814</x:v>
      </x:c>
      <x:c r="I43" s="696" t="n">
        <x:f>+'Financial Statement Model'!H49</x:f>
        <x:v>39437.41153819415</x:v>
      </x:c>
      <x:c r="J43" s="696" t="n">
        <x:f>+'Financial Statement Model'!I49</x:f>
        <x:v>40717.20013165921</x:v>
      </x:c>
      <x:c r="K43" s="696" t="n">
        <x:f>+'Financial Statement Model'!J49</x:f>
        <x:v>42308.301790484984</x:v>
      </x:c>
      <x:c r="L43" s="880" t="n">
        <x:f>+'Financial Statement Model'!K49</x:f>
        <x:v>44129.38003818113</x:v>
      </x:c>
    </x:row>
    <x:row r="44" ht="14.399999618530273" customHeight="1">
      <x:c r="C44" s="459" t="s">
        <x:v>241</x:v>
      </x:c>
      <x:c r="D44" s="691"/>
      <x:c r="E44" s="552" t="n">
        <x:f>SUM(E41:E43)</x:f>
        <x:v>1047912</x:v>
      </x:c>
      <x:c r="F44" s="552" t="n">
        <x:f t="shared" ref="F44:L44" si="20">SUM(F41:F43)</x:f>
        <x:v>1308972</x:v>
      </x:c>
      <x:c r="G44" s="552">
        <x:f t="shared" si="20"/>
        <x:v>1200679</x:v>
      </x:c>
      <x:c r="H44" s="481">
        <x:f t="shared" si="20"/>
        <x:v>1244656.8319778969</x:v>
      </x:c>
      <x:c r="I44" s="481">
        <x:f t="shared" si="20"/>
        <x:v>1278363.0136633681</x:v>
      </x:c>
      <x:c r="J44" s="481">
        <x:f t="shared" si="20"/>
        <x:v>1318684.1365187496</x:v>
      </x:c>
      <x:c r="K44" s="481">
        <x:f t="shared" si="20"/>
        <x:v>1369005.5583471952</x:v>
      </x:c>
      <x:c r="L44" s="866">
        <x:f t="shared" si="20"/>
        <x:v>1426671.0488681446</x:v>
      </x:c>
    </x:row>
    <x:row r="45" ht="14.399999618530273" customHeight="1">
      <x:c r="C45" s="443"/>
      <x:c r="D45" s="424"/>
      <x:c r="E45" s="473"/>
      <x:c r="F45" s="473"/>
      <x:c r="G45" s="537"/>
      <x:c r="H45" s="473"/>
      <x:c r="I45" s="473"/>
      <x:c r="J45" s="473"/>
      <x:c r="K45" s="473"/>
      <x:c r="L45" s="474"/>
    </x:row>
    <x:row r="46" ht="14.399999618530273" customHeight="1">
      <x:c r="C46" s="443" t="s">
        <x:v>78</x:v>
      </x:c>
      <x:c r="D46" s="424"/>
      <x:c r="E46" s="694" t="n">
        <x:f>+'Financial Statement Model'!D59</x:f>
        <x:v>461917</x:v>
      </x:c>
      <x:c r="F46" s="694" t="n">
        <x:f>+'Financial Statement Model'!E59</x:f>
        <x:v>487114</x:v>
      </x:c>
      <x:c r="G46" s="694" t="n">
        <x:f>+'Financial Statement Model'!F59</x:f>
        <x:v>469585</x:v>
      </x:c>
      <x:c r="H46" s="696" t="n">
        <x:f>+'Financial Statement Model'!G59</x:f>
        <x:v>486167.56901814917</x:v>
      </x:c>
      <x:c r="I46" s="696" t="n">
        <x:f>+'Financial Statement Model'!H59</x:f>
        <x:v>496807.174556129</x:v>
      </x:c>
      <x:c r="J46" s="696" t="n">
        <x:f>+'Financial Statement Model'!I59</x:f>
        <x:v>511431.52577812143</x:v>
      </x:c>
      <x:c r="K46" s="696" t="n">
        <x:f>+'Financial Statement Model'!J59</x:f>
        <x:v>529860.5556323691</x:v>
      </x:c>
      <x:c r="L46" s="880" t="n">
        <x:f>+'Financial Statement Model'!K59</x:f>
        <x:v>551044.2634065726</x:v>
      </x:c>
    </x:row>
    <x:row r="47" ht="14.399999618530273" customHeight="1">
      <x:c r="C47" s="443" t="s">
        <x:v>80</x:v>
      </x:c>
      <x:c r="D47" s="424"/>
      <x:c r="E47" s="694" t="n">
        <x:f>+'Financial Statement Model'!D61</x:f>
        <x:v>175891</x:v>
      </x:c>
      <x:c r="F47" s="694" t="n">
        <x:f>+'Financial Statement Model'!E61</x:f>
        <x:v>199370</x:v>
      </x:c>
      <x:c r="G47" s="694" t="n">
        <x:f>+'Financial Statement Model'!F61</x:f>
        <x:v>187217</x:v>
      </x:c>
      <x:c r="H47" s="696" t="n">
        <x:f>+'Financial Statement Model'!G61</x:f>
        <x:v>194181.6363588806</x:v>
      </x:c>
      <x:c r="I47" s="696" t="n">
        <x:f>+'Financial Statement Model'!H61</x:f>
        <x:v>199879.6360471614</x:v>
      </x:c>
      <x:c r="J47" s="696" t="n">
        <x:f>+'Financial Statement Model'!I61</x:f>
        <x:v>206365.95622645013</x:v>
      </x:c>
      <x:c r="K47" s="696" t="n">
        <x:f>+'Financial Statement Model'!J61</x:f>
        <x:v>214430.09654590613</x:v>
      </x:c>
      <x:c r="L47" s="880" t="n">
        <x:f>+'Financial Statement Model'!K61</x:f>
        <x:v>223659.8213976598</x:v>
      </x:c>
    </x:row>
    <x:row r="48" ht="14.399999618530273" customHeight="1">
      <x:c r="C48" s="459" t="s">
        <x:v>242</x:v>
      </x:c>
      <x:c r="D48" s="691"/>
      <x:c r="E48" s="552" t="n">
        <x:f t="shared" ref="E48:L48" si="21">SUM(E46:E47)</x:f>
        <x:v>637808</x:v>
      </x:c>
      <x:c r="F48" s="552">
        <x:f t="shared" si="21"/>
        <x:v>686484</x:v>
      </x:c>
      <x:c r="G48" s="552">
        <x:f t="shared" si="21"/>
        <x:v>656802</x:v>
      </x:c>
      <x:c r="H48" s="481">
        <x:f t="shared" si="21"/>
        <x:v>680349.20537702972</x:v>
      </x:c>
      <x:c r="I48" s="481">
        <x:f t="shared" si="21"/>
        <x:v>696686.81060329033</x:v>
      </x:c>
      <x:c r="J48" s="481">
        <x:f t="shared" si="21"/>
        <x:v>717797.48200457159</x:v>
      </x:c>
      <x:c r="K48" s="481">
        <x:f t="shared" si="21"/>
        <x:v>744290.65217827528</x:v>
      </x:c>
      <x:c r="L48" s="866">
        <x:f t="shared" si="21"/>
        <x:v>774704.08480423247</x:v>
      </x:c>
    </x:row>
    <x:row r="49" ht="14.399999618530273" customHeight="1">
      <x:c r="C49" s="443"/>
      <x:c r="D49" s="424"/>
      <x:c r="E49" s="473"/>
      <x:c r="F49" s="473"/>
      <x:c r="G49" s="537"/>
      <x:c r="H49" s="473"/>
      <x:c r="I49" s="473"/>
      <x:c r="J49" s="473"/>
      <x:c r="K49" s="473"/>
      <x:c r="L49" s="474"/>
    </x:row>
    <x:row r="50" ht="14.399999618530273" customHeight="1">
      <x:c r="C50" s="459" t="s">
        <x:v>243</x:v>
      </x:c>
      <x:c r="D50" s="691"/>
      <x:c r="E50" s="552" t="n">
        <x:f t="shared" ref="E50:L50" si="22">+E44-E48</x:f>
        <x:v>410104</x:v>
      </x:c>
      <x:c r="F50" s="552">
        <x:f t="shared" si="22"/>
        <x:v>622488</x:v>
      </x:c>
      <x:c r="G50" s="552">
        <x:f t="shared" si="22"/>
        <x:v>543877</x:v>
      </x:c>
      <x:c r="H50" s="481">
        <x:f t="shared" si="22"/>
        <x:v>564307.62660086714</x:v>
      </x:c>
      <x:c r="I50" s="481">
        <x:f t="shared" si="22"/>
        <x:v>581676.20306007774</x:v>
      </x:c>
      <x:c r="J50" s="481">
        <x:f t="shared" si="22"/>
        <x:v>600886.65451417805</x:v>
      </x:c>
      <x:c r="K50" s="481">
        <x:f t="shared" si="22"/>
        <x:v>624714.90616891987</x:v>
      </x:c>
      <x:c r="L50" s="866">
        <x:f t="shared" si="22"/>
        <x:v>651966.96406391216</x:v>
      </x:c>
    </x:row>
    <x:row r="51" ht="14.399999618530273" customHeight="1">
      <x:c r="C51" s="443"/>
      <x:c r="D51" s="424"/>
      <x:c r="E51" s="473"/>
      <x:c r="F51" s="473"/>
      <x:c r="G51" s="537"/>
      <x:c r="H51" s="473"/>
      <x:c r="I51" s="473"/>
      <x:c r="J51" s="473"/>
      <x:c r="K51" s="473"/>
      <x:c r="L51" s="474"/>
    </x:row>
    <x:row r="52" ht="14.399999618530273" customHeight="1">
      <x:c r="C52" s="576" t="s">
        <x:v>244</x:v>
      </x:c>
      <x:c r="D52" s="692"/>
      <x:c r="E52" s="652"/>
      <x:c r="F52" s="577" t="n">
        <x:f>+F50-E50</x:f>
        <x:v>212384</x:v>
      </x:c>
      <x:c r="G52" s="577" t="n">
        <x:f t="shared" ref="G52:L52" si="23">+G50-F50</x:f>
        <x:v>-78611</x:v>
      </x:c>
      <x:c r="H52" s="577">
        <x:f t="shared" si="23"/>
        <x:v>20430.626600867137</x:v>
      </x:c>
      <x:c r="I52" s="577">
        <x:f t="shared" si="23"/>
        <x:v>17368.576459210599</x:v>
      </x:c>
      <x:c r="J52" s="577">
        <x:f t="shared" si="23"/>
        <x:v>19210.451454100315</x:v>
      </x:c>
      <x:c r="K52" s="577">
        <x:f t="shared" si="23"/>
        <x:v>23828.25165474182</x:v>
      </x:c>
      <x:c r="L52" s="579">
        <x:f t="shared" si="23"/>
        <x:v>27252.057894992293</x:v>
      </x:c>
    </x:row>
    <x:row r="53" ht="14.399999618530273" customHeight="1">
      <x:c r="E53" s="217"/>
      <x:c r="F53" s="217"/>
      <x:c r="G53" s="217"/>
      <x:c r="H53" s="217"/>
      <x:c r="I53" s="217"/>
      <x:c r="J53" s="217"/>
      <x:c r="K53" s="217"/>
      <x:c r="L53" s="217"/>
    </x:row>
    <x:row r="54" ht="14.399999618530273" customHeight="1">
      <x:c r="C54" s="436" t="str">
        <x:f>"Present Value of UFCFs as of "&amp;TEXT(D7,("mmm dd, yyyy"))</x:f>
        <x:v>Present Value of UFCFs as of Apr 12, 2024</x:v>
      </x:c>
      <x:c r="D54" s="682"/>
      <x:c r="E54" s="437"/>
      <x:c r="F54" s="437" t="s">
        <x:v>245</x:v>
      </x:c>
      <x:c r="G54" s="437"/>
      <x:c r="H54" s="437" t="s">
        <x:v>246</x:v>
      </x:c>
      <x:c r="I54" s="437" t="s">
        <x:v>247</x:v>
      </x:c>
      <x:c r="J54" s="437" t="s">
        <x:v>248</x:v>
      </x:c>
      <x:c r="K54" s="437" t="s">
        <x:v>249</x:v>
      </x:c>
      <x:c r="L54" s="535" t="s">
        <x:v>250</x:v>
      </x:c>
    </x:row>
    <x:row r="55" ht="14.399999618530273" customHeight="1">
      <x:c r="C55" s="700" t="s">
        <x:v>251</x:v>
      </x:c>
      <x:c r="D55" s="701"/>
      <x:c r="E55" s="702"/>
      <x:c r="F55" s="703" t="n">
        <x:f>YEARFRAC(D7,H55,1)</x:f>
        <x:v>0.7213114754098361</x:v>
      </x:c>
      <x:c r="G55" s="704"/>
      <x:c r="H55" s="705" t="n">
        <x:f>IF($J$8=0,H$12,AVERAGE(D7,H12))</x:f>
        <x:v>45657</x:v>
      </x:c>
      <x:c r="I55" s="705" t="n">
        <x:f>IF($J$8=0,I$12,AVERAGE(H12:I12))</x:f>
        <x:v>46022</x:v>
      </x:c>
      <x:c r="J55" s="705" t="n">
        <x:f>IF($J$8=0,J$12,AVERAGE(I12:J12))</x:f>
        <x:v>46387</x:v>
      </x:c>
      <x:c r="K55" s="705" t="n">
        <x:f>IF($J$8=0,K$12,AVERAGE(J12:K12))</x:f>
        <x:v>46752</x:v>
      </x:c>
      <x:c r="L55" s="706" t="n">
        <x:f>IF($J$8=0,L$12,AVERAGE(K12:L12))</x:f>
        <x:v>47118</x:v>
      </x:c>
    </x:row>
    <x:row r="56" ht="14.399999618530273" customHeight="1">
      <x:c r="C56" s="443"/>
      <x:c r="D56" s="424"/>
      <x:c r="E56" s="424"/>
      <x:c r="F56" s="424"/>
      <x:c r="G56" s="707"/>
      <x:c r="H56" s="424"/>
      <x:c r="I56" s="424"/>
      <x:c r="J56" s="424"/>
      <x:c r="K56" s="424"/>
      <x:c r="L56" s="425"/>
    </x:row>
    <x:row r="57" ht="14.399999618530273" customHeight="1">
      <x:c r="C57" s="426" t="s">
        <x:v>252</x:v>
      </x:c>
      <x:c r="D57" s="427"/>
      <x:c r="E57" s="518"/>
      <x:c r="F57" s="518"/>
      <x:c r="G57" s="708"/>
      <x:c r="H57" s="709" t="n">
        <x:f>+YEARFRAC($D$7,H55,1)</x:f>
        <x:v>0.7213114754098361</x:v>
      </x:c>
      <x:c r="I57" s="709" t="n">
        <x:f>+YEARFRAC($D$7,I55,1)</x:f>
        <x:v>1.7209302325581395</x:v>
      </x:c>
      <x:c r="J57" s="709" t="n">
        <x:f>+YEARFRAC($D$7,J55,1)</x:f>
        <x:v>2.7208029197080292</x:v>
      </x:c>
      <x:c r="K57" s="709" t="n">
        <x:f>+YEARFRAC($D$7,K55,1)</x:f>
        <x:v>3.7207392197125255</x:v>
      </x:c>
      <x:c r="L57" s="710" t="n">
        <x:f>+YEARFRAC($D$7,L55,1)</x:f>
        <x:v>4.720853858784894</x:v>
      </x:c>
    </x:row>
    <x:row r="58" ht="14.399999618530273" customHeight="1">
      <x:c r="C58" s="443"/>
      <x:c r="D58" s="424"/>
      <x:c r="E58" s="518"/>
      <x:c r="F58" s="518"/>
      <x:c r="G58" s="708"/>
      <x:c r="H58" s="711"/>
      <x:c r="I58" s="712"/>
      <x:c r="J58" s="712"/>
      <x:c r="K58" s="712"/>
      <x:c r="L58" s="713"/>
      <x:c r="M58" s="109"/>
    </x:row>
    <x:row r="59" ht="14.399999618530273" customHeight="1">
      <x:c r="C59" s="443" t="s">
        <x:v>253</x:v>
      </x:c>
      <x:c r="D59" s="424"/>
      <x:c r="E59" s="650"/>
      <x:c r="F59" s="650"/>
      <x:c r="G59" s="714"/>
      <x:c r="H59" s="462" t="n">
        <x:f ca="1">+H36*F55</x:f>
        <x:v>364761.05820147565</x:v>
      </x:c>
      <x:c r="I59" s="462" t="n">
        <x:f ca="1">+I36</x:f>
        <x:v>547820.8447231997</x:v>
      </x:c>
      <x:c r="J59" s="462" t="n">
        <x:f ca="1">+J36</x:f>
        <x:v>577926.9227956657</x:v>
      </x:c>
      <x:c r="K59" s="462" t="n">
        <x:f ca="1">+K36</x:f>
        <x:v>605844.5061752191</x:v>
      </x:c>
      <x:c r="L59" s="463" t="n">
        <x:f ca="1">+L36</x:f>
        <x:v>643783.6465854351</x:v>
      </x:c>
    </x:row>
    <x:row r="60" ht="14.399999618530273" customHeight="1">
      <x:c r="C60" s="443"/>
      <x:c r="D60" s="424"/>
      <x:c r="E60" s="518"/>
      <x:c r="F60" s="518"/>
      <x:c r="G60" s="708"/>
      <x:c r="H60" s="473"/>
      <x:c r="I60" s="473"/>
      <x:c r="J60" s="473"/>
      <x:c r="K60" s="473"/>
      <x:c r="L60" s="474"/>
    </x:row>
    <x:row r="61" ht="14.399999618530273" customHeight="1">
      <x:c r="C61" s="576" t="s">
        <x:v>254</x:v>
      </x:c>
      <x:c r="D61" s="692"/>
      <x:c r="E61" s="715"/>
      <x:c r="F61" s="715"/>
      <x:c r="G61" s="716"/>
      <x:c r="H61" s="577" t="n">
        <x:f ca="1">+H59/(1+$J$7)^H57</x:f>
        <x:v>337596.64521548036</x:v>
      </x:c>
      <x:c r="I61" s="577" t="n">
        <x:f ca="1">+I59/(1+$J$7)^I57</x:f>
        <x:v>455459.5506545347</x:v>
      </x:c>
      <x:c r="J61" s="577" t="n">
        <x:f ca="1">+J59/(1+$J$7)^J57</x:f>
        <x:v>431612.4457822659</x:v>
      </x:c>
      <x:c r="K61" s="577" t="n">
        <x:f ca="1">+K59/(1+$J$7)^K57</x:f>
        <x:v>406433.0489995498</x:v>
      </x:c>
      <x:c r="L61" s="579" t="n">
        <x:f ca="1">+L59/(1+$J$7)^L57</x:f>
        <x:v>387941.53540588584</x:v>
      </x:c>
    </x:row>
    <x:row r="62" ht="14.399999618530273" customHeight="1">
      <x:c r="C62" s="97"/>
      <x:c r="D62" s="97"/>
      <x:c r="E62" s="98"/>
      <x:c r="F62" s="98"/>
      <x:c r="G62" s="98"/>
      <x:c r="H62" s="98"/>
      <x:c r="I62" s="98"/>
      <x:c r="J62" s="98"/>
      <x:c r="K62" s="98"/>
      <x:c r="L62" s="98"/>
    </x:row>
    <x:row r="63" ht="14.399999618530273" customHeight="1">
      <x:c r="C63" s="436" t="s">
        <x:v>255</x:v>
      </x:c>
      <x:c r="D63" s="717"/>
    </x:row>
    <x:row r="64" ht="14.399999618530273" customHeight="1">
      <x:c r="C64" s="700"/>
      <x:c r="D64" s="718"/>
    </x:row>
    <x:row r="65">
      <x:c r="C65" s="443"/>
      <x:c r="D65" s="425"/>
    </x:row>
    <x:row r="66" ht="14.399999618530273" customHeight="1">
      <x:c r="C66" s="443" t="s">
        <x:v>256</x:v>
      </x:c>
      <x:c r="D66" s="572">
        <x:v>31775.877</x:v>
      </x:c>
    </x:row>
    <x:row r="67" ht="14.399999618530273" customHeight="1">
      <x:c r="C67" s="443" t="s">
        <x:v>257</x:v>
      </x:c>
      <x:c r="D67" s="572">
        <x:v>195.5</x:v>
      </x:c>
    </x:row>
    <x:row r="68" ht="14.399999618530273" customHeight="1">
      <x:c r="C68" s="443" t="s">
        <x:v>258</x:v>
      </x:c>
      <x:c r="D68" s="572">
        <x:v>128.69999999999999</x:v>
      </x:c>
    </x:row>
    <x:row r="69" ht="14.399999618530273" customHeight="1">
      <x:c r="C69" s="443" t="s">
        <x:v>259</x:v>
      </x:c>
      <x:c r="D69" s="572">
        <x:v>0</x:v>
      </x:c>
    </x:row>
    <x:row r="70" ht="14.399999618530273" customHeight="1">
      <x:c r="C70" s="443" t="s">
        <x:v>260</x:v>
      </x:c>
      <x:c r="D70" s="572">
        <x:v>0</x:v>
      </x:c>
    </x:row>
    <x:row r="71" ht="14.399999618530273" customHeight="1">
      <x:c r="C71" s="576" t="s">
        <x:v>224</x:v>
      </x:c>
      <x:c r="D71" s="579" t="n">
        <x:f>SUM(D66:D70)</x:f>
        <x:v>32100.077</x:v>
      </x:c>
      <x:c r="F71" s="110"/>
    </x:row>
    <x:row r="72" ht="14.399999618530273" customHeight="1">
      <x:c r="C72" s="97"/>
      <x:c r="D72" s="97"/>
      <x:c r="E72" s="98"/>
      <x:c r="F72" s="98"/>
      <x:c r="G72" s="98"/>
      <x:c r="H72" s="98"/>
      <x:c r="I72" s="98"/>
      <x:c r="J72" s="98"/>
      <x:c r="K72" s="98"/>
      <x:c r="L72" s="98"/>
    </x:row>
    <x:row r="73" ht="14.399999618530273" customHeight="1">
      <x:c r="C73" s="436" t="s">
        <x:v>261</x:v>
      </x:c>
      <x:c r="D73" s="682"/>
      <x:c r="E73" s="437"/>
      <x:c r="F73" s="437"/>
      <x:c r="G73" s="437"/>
      <x:c r="H73" s="437"/>
      <x:c r="I73" s="437"/>
      <x:c r="J73" s="437"/>
      <x:c r="K73" s="437"/>
      <x:c r="L73" s="535"/>
    </x:row>
    <x:row r="74" ht="14.399999618530273" customHeight="1">
      <x:c r="C74" s="700"/>
      <x:c r="D74" s="701"/>
      <x:c r="E74" s="702"/>
      <x:c r="F74" s="702"/>
      <x:c r="G74" s="702"/>
      <x:c r="H74" s="702"/>
      <x:c r="I74" s="702"/>
      <x:c r="J74" s="702"/>
      <x:c r="K74" s="702"/>
      <x:c r="L74" s="719"/>
    </x:row>
    <x:row r="75">
      <x:c r="C75" s="443"/>
      <x:c r="D75" s="424"/>
      <x:c r="E75" s="424"/>
      <x:c r="F75" s="424"/>
      <x:c r="G75" s="424"/>
      <x:c r="H75" s="424"/>
      <x:c r="I75" s="424"/>
      <x:c r="J75" s="424"/>
      <x:c r="K75" s="424"/>
      <x:c r="L75" s="425"/>
    </x:row>
    <x:row r="76" ht="14.399999618530273" customHeight="1">
      <x:c r="C76" s="720" t="s">
        <x:v>262</x:v>
      </x:c>
      <x:c r="D76" s="721"/>
      <x:c r="E76" s="721"/>
      <x:c r="F76" s="424"/>
      <x:c r="G76" s="424"/>
      <x:c r="H76" s="722" t="s">
        <x:v>263</x:v>
      </x:c>
      <x:c r="I76" s="721"/>
      <x:c r="J76" s="721"/>
      <x:c r="K76" s="721"/>
      <x:c r="L76" s="723"/>
    </x:row>
    <x:row r="77" ht="14.399999618530273" customHeight="1">
      <x:c r="C77" s="443"/>
      <x:c r="D77" s="424"/>
      <x:c r="E77" s="424"/>
      <x:c r="F77" s="424"/>
      <x:c r="G77" s="424"/>
      <x:c r="H77" s="424"/>
      <x:c r="I77" s="424"/>
      <x:c r="J77" s="424"/>
      <x:c r="K77" s="424"/>
      <x:c r="L77" s="425"/>
    </x:row>
    <x:row r="78" ht="14.399999618530273" customHeight="1">
      <x:c r="C78" s="724" t="s">
        <x:v>264</x:v>
      </x:c>
      <x:c r="D78" s="725"/>
      <x:c r="E78" s="726">
        <x:v>10</x:v>
      </x:c>
      <x:c r="F78" s="424"/>
      <x:c r="G78" s="424"/>
      <x:c r="H78" s="727" t="s">
        <x:v>265</x:v>
      </x:c>
      <x:c r="I78" s="424"/>
      <x:c r="J78" s="424"/>
      <x:c r="K78" s="424"/>
      <x:c r="L78" s="728">
        <x:v>0.06</x:v>
      </x:c>
    </x:row>
    <x:row r="79" ht="14.399999618530273" customHeight="1">
      <x:c r="C79" s="729"/>
      <x:c r="D79" s="424"/>
      <x:c r="E79" s="424"/>
      <x:c r="F79" s="424"/>
      <x:c r="G79" s="424"/>
      <x:c r="H79" s="424"/>
      <x:c r="I79" s="424"/>
      <x:c r="J79" s="424"/>
      <x:c r="K79" s="424"/>
      <x:c r="L79" s="425"/>
      <x:c r="N79" s="116"/>
    </x:row>
    <x:row r="80" ht="14.399999618530273" customHeight="1">
      <x:c r="C80" s="724" t="s">
        <x:v>266</x:v>
      </x:c>
      <x:c r="D80" s="725"/>
      <x:c r="E80" s="473" t="n">
        <x:f ca="1">+E78*L20</x:f>
        <x:v>13602565.117919957</x:v>
      </x:c>
      <x:c r="F80" s="424"/>
      <x:c r="G80" s="424"/>
      <x:c r="H80" s="727" t="s">
        <x:v>266</x:v>
      </x:c>
      <x:c r="I80" s="424"/>
      <x:c r="J80" s="424"/>
      <x:c r="K80" s="424"/>
      <x:c r="L80" s="474" t="n">
        <x:f ca="1">+L59*(1+L78)/(J7-L78)</x:f>
        <x:v>12813092.181759447</x:v>
      </x:c>
    </x:row>
    <x:row r="81" ht="14.399999618530273" customHeight="1">
      <x:c r="C81" s="724" t="s">
        <x:v>267</x:v>
      </x:c>
      <x:c r="D81" s="725"/>
      <x:c r="E81" s="590" t="n">
        <x:f ca="1">+(E80*J7-L59)/(E80+L59)</x:f>
        <x:v>0.06295138271638448</x:v>
      </x:c>
      <x:c r="F81" s="424"/>
      <x:c r="G81" s="730"/>
      <x:c r="H81" s="727" t="s">
        <x:v>268</x:v>
      </x:c>
      <x:c r="I81" s="424"/>
      <x:c r="J81" s="424"/>
      <x:c r="K81" s="424"/>
      <x:c r="L81" s="731" t="n">
        <x:f ca="1">+L80/L20</x:f>
        <x:v>9.419614661413778</x:v>
      </x:c>
    </x:row>
    <x:row r="82" ht="14.399999618530273" customHeight="1">
      <x:c r="C82" s="732"/>
      <x:c r="D82" s="725"/>
      <x:c r="E82" s="725"/>
      <x:c r="F82" s="424"/>
      <x:c r="G82" s="424"/>
      <x:c r="H82" s="424"/>
      <x:c r="I82" s="424"/>
      <x:c r="J82" s="424"/>
      <x:c r="K82" s="424"/>
      <x:c r="L82" s="733"/>
    </x:row>
    <x:row r="83" ht="14.399999618530273" customHeight="1">
      <x:c r="C83" s="734" t="s">
        <x:v>269</x:v>
      </x:c>
      <x:c r="D83" s="725"/>
      <x:c r="E83" s="570" t="n">
        <x:f ca="1">+E80/(1+J7)^L57</x:f>
        <x:v>8196853.128054897</x:v>
      </x:c>
      <x:c r="F83" s="424"/>
      <x:c r="G83" s="424"/>
      <x:c r="H83" s="528" t="s">
        <x:v>269</x:v>
      </x:c>
      <x:c r="I83" s="424"/>
      <x:c r="J83" s="424"/>
      <x:c r="K83" s="424"/>
      <x:c r="L83" s="571" t="n">
        <x:f ca="1">+L80/(1+J7)^L57</x:f>
        <x:v>7721119.79024813</x:v>
      </x:c>
    </x:row>
    <x:row r="84" ht="14.399999618530273" customHeight="1">
      <x:c r="C84" s="735" t="s">
        <x:v>270</x:v>
      </x:c>
      <x:c r="D84" s="736"/>
      <x:c r="E84" s="737" t="n">
        <x:f ca="1">+SUM(H61:L61)</x:f>
        <x:v>2019043.2260577166</x:v>
      </x:c>
      <x:c r="F84" s="424"/>
      <x:c r="G84" s="424"/>
      <x:c r="H84" s="738" t="s">
        <x:v>270</x:v>
      </x:c>
      <x:c r="I84" s="739"/>
      <x:c r="J84" s="739"/>
      <x:c r="K84" s="739"/>
      <x:c r="L84" s="740" t="n">
        <x:f ca="1">+SUM(H61:L61)</x:f>
        <x:v>2019043.2260577166</x:v>
      </x:c>
    </x:row>
    <x:row r="85" ht="14.399999618530273" customHeight="1">
      <x:c r="C85" s="741" t="s">
        <x:v>271</x:v>
      </x:c>
      <x:c r="D85" s="742"/>
      <x:c r="E85" s="743" t="n">
        <x:f ca="1">+E83+E84</x:f>
        <x:v>10215896.354112614</x:v>
      </x:c>
      <x:c r="F85" s="744"/>
      <x:c r="G85" s="424"/>
      <x:c r="H85" s="745" t="s">
        <x:v>271</x:v>
      </x:c>
      <x:c r="I85" s="746"/>
      <x:c r="J85" s="746"/>
      <x:c r="K85" s="746"/>
      <x:c r="L85" s="747" t="n">
        <x:f ca="1">SUM(L83:L84)</x:f>
        <x:v>9740163.016305847</x:v>
      </x:c>
      <x:c r="N85" s="97"/>
    </x:row>
    <x:row r="86" ht="14.399999618530273" customHeight="1">
      <x:c r="C86" s="732"/>
      <x:c r="D86" s="725"/>
      <x:c r="E86" s="725"/>
      <x:c r="F86" s="424"/>
      <x:c r="G86" s="424"/>
      <x:c r="H86" s="424"/>
      <x:c r="I86" s="424"/>
      <x:c r="J86" s="424"/>
      <x:c r="K86" s="424"/>
      <x:c r="L86" s="425"/>
    </x:row>
    <x:row r="87" ht="14.399999618530273" customHeight="1">
      <x:c r="C87" s="748" t="s">
        <x:v>272</x:v>
      </x:c>
      <x:c r="D87" s="725"/>
      <x:c r="E87" s="590" t="n">
        <x:f ca="1">+E83/E85</x:f>
        <x:v>0.8023625968714032</x:v>
      </x:c>
      <x:c r="F87" s="424"/>
      <x:c r="G87" s="424"/>
      <x:c r="H87" s="749" t="s">
        <x:v>272</x:v>
      </x:c>
      <x:c r="I87" s="424"/>
      <x:c r="J87" s="424"/>
      <x:c r="K87" s="424"/>
      <x:c r="L87" s="592" t="n">
        <x:f ca="1">+L83/L85</x:f>
        <x:v>0.7927095036625497</x:v>
      </x:c>
    </x:row>
    <x:row r="88" ht="14.399999618530273" customHeight="1">
      <x:c r="C88" s="732"/>
      <x:c r="D88" s="725"/>
      <x:c r="E88" s="725"/>
      <x:c r="F88" s="424"/>
      <x:c r="G88" s="424"/>
      <x:c r="H88" s="424"/>
      <x:c r="I88" s="424"/>
      <x:c r="J88" s="424"/>
      <x:c r="K88" s="424"/>
      <x:c r="L88" s="425"/>
    </x:row>
    <x:row r="89" ht="14.399999618530273" customHeight="1">
      <x:c r="C89" s="734" t="s">
        <x:v>273</x:v>
      </x:c>
      <x:c r="D89" s="725"/>
      <x:c r="E89" s="684" t="n">
        <x:f>+'Financial Statement Model'!F46</x:f>
        <x:v>848565</x:v>
      </x:c>
      <x:c r="F89" s="424"/>
      <x:c r="G89" s="424"/>
      <x:c r="H89" s="528" t="s">
        <x:v>273</x:v>
      </x:c>
      <x:c r="I89" s="424"/>
      <x:c r="J89" s="424"/>
      <x:c r="K89" s="424"/>
      <x:c r="L89" s="474" t="n">
        <x:f>+E89</x:f>
        <x:v>848565</x:v>
      </x:c>
    </x:row>
    <x:row r="90" ht="14.399999618530273" customHeight="1">
      <x:c r="C90" s="734" t="s">
        <x:v>274</x:v>
      </x:c>
      <x:c r="D90" s="725"/>
      <x:c r="E90" s="684" t="n">
        <x:f>+'Financial Statement Model'!F258+'Financial Statement Model'!F259+'Financial Statement Model'!F271+'Financial Statement Model'!F297+'Financial Statement Model'!F300</x:f>
        <x:v>1426134</x:v>
      </x:c>
      <x:c r="F90" s="424"/>
      <x:c r="G90" s="424"/>
      <x:c r="H90" s="528" t="s">
        <x:v>274</x:v>
      </x:c>
      <x:c r="I90" s="424"/>
      <x:c r="J90" s="424"/>
      <x:c r="K90" s="424"/>
      <x:c r="L90" s="571" t="n">
        <x:f t="shared" ref="L90:L92" si="24">+E90</x:f>
        <x:v>1426134</x:v>
      </x:c>
    </x:row>
    <x:row r="91" ht="14.399999618530273" customHeight="1">
      <x:c r="C91" s="734" t="s">
        <x:v>275</x:v>
      </x:c>
      <x:c r="D91" s="725"/>
      <x:c r="E91" s="541">
        <x:v>0</x:v>
      </x:c>
      <x:c r="F91" s="424"/>
      <x:c r="G91" s="424"/>
      <x:c r="H91" s="528" t="s">
        <x:v>275</x:v>
      </x:c>
      <x:c r="I91" s="424"/>
      <x:c r="J91" s="424"/>
      <x:c r="K91" s="424"/>
      <x:c r="L91" s="474">
        <x:f t="shared" si="24"/>
        <x:v>0</x:v>
      </x:c>
    </x:row>
    <x:row r="92" ht="14.399999618530273" customHeight="1">
      <x:c r="C92" s="734" t="s">
        <x:v>276</x:v>
      </x:c>
      <x:c r="D92" s="725"/>
      <x:c r="E92" s="684" t="n">
        <x:f>+'Financial Statement Model'!F227</x:f>
        <x:v>0</x:v>
      </x:c>
      <x:c r="F92" s="424"/>
      <x:c r="G92" s="424"/>
      <x:c r="H92" s="528" t="s">
        <x:v>276</x:v>
      </x:c>
      <x:c r="I92" s="424"/>
      <x:c r="J92" s="424"/>
      <x:c r="K92" s="424"/>
      <x:c r="L92" s="571">
        <x:f t="shared" si="24"/>
        <x:v>0</x:v>
      </x:c>
    </x:row>
    <x:row r="93" ht="14.399999618530273" customHeight="1">
      <x:c r="C93" s="750" t="s">
        <x:v>277</x:v>
      </x:c>
      <x:c r="D93" s="751"/>
      <x:c r="E93" s="752" t="n">
        <x:f ca="1">+E85+E89-E90-E91-E92</x:f>
        <x:v>9638327.354112614</x:v>
      </x:c>
      <x:c r="F93" s="691"/>
      <x:c r="G93" s="424"/>
      <x:c r="H93" s="753" t="s">
        <x:v>277</x:v>
      </x:c>
      <x:c r="I93" s="754"/>
      <x:c r="J93" s="754"/>
      <x:c r="K93" s="754"/>
      <x:c r="L93" s="755" t="n">
        <x:f ca="1">+L85+L89-L90-L91-L92</x:f>
        <x:v>9162594.016305847</x:v>
      </x:c>
      <x:c r="N93" s="97"/>
    </x:row>
    <x:row r="94" ht="14.399999618530273" customHeight="1">
      <x:c r="C94" s="732"/>
      <x:c r="D94" s="725"/>
      <x:c r="E94" s="725"/>
      <x:c r="F94" s="424"/>
      <x:c r="G94" s="424"/>
      <x:c r="H94" s="424"/>
      <x:c r="I94" s="424"/>
      <x:c r="J94" s="424"/>
      <x:c r="K94" s="424"/>
      <x:c r="L94" s="425"/>
    </x:row>
    <x:row r="95" ht="14.399999618530273" customHeight="1">
      <x:c r="C95" s="756" t="s">
        <x:v>278</x:v>
      </x:c>
      <x:c r="D95" s="757"/>
      <x:c r="E95" s="758" t="n">
        <x:f ca="1">+E93/D71</x:f>
        <x:v>300.25869888451086</x:v>
      </x:c>
      <x:c r="F95" s="424"/>
      <x:c r="G95" s="424"/>
      <x:c r="H95" s="759" t="s">
        <x:v>278</x:v>
      </x:c>
      <x:c r="I95" s="757"/>
      <x:c r="J95" s="757"/>
      <x:c r="K95" s="757"/>
      <x:c r="L95" s="760" t="n">
        <x:f ca="1">+L93/D71</x:f>
        <x:v>285.43838123210253</x:v>
      </x:c>
    </x:row>
    <x:row r="96" ht="14.399999618530273" customHeight="1">
      <x:c r="C96" s="761" t="s">
        <x:v>279</x:v>
      </x:c>
      <x:c r="D96" s="762"/>
      <x:c r="E96" s="763" t="n">
        <x:f ca="1">+E95/D9-1</x:f>
        <x:v>-0.28755795732705924</x:v>
      </x:c>
      <x:c r="F96" s="764"/>
      <x:c r="G96" s="424"/>
      <x:c r="H96" s="765" t="s">
        <x:v>279</x:v>
      </x:c>
      <x:c r="I96" s="762"/>
      <x:c r="J96" s="762"/>
      <x:c r="K96" s="762"/>
      <x:c r="L96" s="766" t="n">
        <x:f ca="1">+L95/D9-1</x:f>
        <x:v>-0.3227230247191778</x:v>
      </x:c>
      <x:c r="M96" s="110"/>
    </x:row>
    <x:row r="97">
      <x:c r="C97" s="443"/>
      <x:c r="D97" s="424"/>
      <x:c r="E97" s="424"/>
      <x:c r="F97" s="424"/>
      <x:c r="G97" s="424"/>
      <x:c r="H97" s="424"/>
      <x:c r="I97" s="424"/>
      <x:c r="J97" s="424"/>
      <x:c r="K97" s="424"/>
      <x:c r="L97" s="425"/>
    </x:row>
    <x:row r="98" ht="14.399999618530273" customHeight="1">
      <x:c r="C98" s="720" t="s">
        <x:v>280</x:v>
      </x:c>
      <x:c r="D98" s="721"/>
      <x:c r="E98" s="721"/>
      <x:c r="F98" s="424"/>
      <x:c r="G98" s="424"/>
      <x:c r="H98" s="722" t="s">
        <x:v>280</x:v>
      </x:c>
      <x:c r="I98" s="721"/>
      <x:c r="J98" s="721"/>
      <x:c r="K98" s="722"/>
      <x:c r="L98" s="723"/>
    </x:row>
    <x:row r="99" ht="14.399999618530273" customHeight="1">
      <x:c r="C99" s="426" t="s">
        <x:v>281</x:v>
      </x:c>
      <x:c r="D99" s="424"/>
      <x:c r="E99" s="767" t="n">
        <x:f ca="1">+E$85/$H14</x:f>
        <x:v>1.8960667978872638</x:v>
      </x:c>
      <x:c r="F99" s="424"/>
      <x:c r="G99" s="424"/>
      <x:c r="H99" s="427" t="s">
        <x:v>281</x:v>
      </x:c>
      <x:c r="I99" s="424"/>
      <x:c r="J99" s="424"/>
      <x:c r="K99" s="424"/>
      <x:c r="L99" s="731" t="n">
        <x:f ca="1">+L$85/$H14</x:f>
        <x:v>1.8077708564253705</x:v>
      </x:c>
    </x:row>
    <x:row r="100" ht="14.399999618530273" customHeight="1">
      <x:c r="C100" s="426" t="s">
        <x:v>282</x:v>
      </x:c>
      <x:c r="D100" s="424"/>
      <x:c r="E100" s="767" t="n">
        <x:f ca="1">+E$85/$H20</x:f>
        <x:v>9.63336250734233</x:v>
      </x:c>
      <x:c r="F100" s="424"/>
      <x:c r="G100" s="424"/>
      <x:c r="H100" s="427" t="s">
        <x:v>282</x:v>
      </x:c>
      <x:c r="I100" s="424"/>
      <x:c r="J100" s="424"/>
      <x:c r="K100" s="424"/>
      <x:c r="L100" s="731" t="n">
        <x:f ca="1">+L$85/$H20</x:f>
        <x:v>9.18475657585443</x:v>
      </x:c>
    </x:row>
    <x:row r="101" ht="14.399999618530273" customHeight="1">
      <x:c r="C101" s="432" t="s">
        <x:v>283</x:v>
      </x:c>
      <x:c r="D101" s="434"/>
      <x:c r="E101" s="768" t="n">
        <x:f ca="1">+E$85/$H23</x:f>
        <x:v>10.834667416498652</x:v>
      </x:c>
      <x:c r="F101" s="434"/>
      <x:c r="G101" s="434"/>
      <x:c r="H101" s="769" t="s">
        <x:v>283</x:v>
      </x:c>
      <x:c r="I101" s="434"/>
      <x:c r="J101" s="434"/>
      <x:c r="K101" s="434"/>
      <x:c r="L101" s="770" t="n">
        <x:f ca="1">+L$85/$H23</x:f>
        <x:v>10.330119179573547</x:v>
      </x:c>
    </x:row>
    <x:row r="103" ht="14.399999618530273" customHeight="1">
      <x:c r="C103" s="436" t="s">
        <x:v>284</x:v>
      </x:c>
      <x:c r="D103" s="682"/>
      <x:c r="E103" s="437"/>
      <x:c r="F103" s="437"/>
      <x:c r="G103" s="437"/>
      <x:c r="H103" s="437"/>
      <x:c r="I103" s="437"/>
      <x:c r="J103" s="437"/>
      <x:c r="K103" s="437"/>
      <x:c r="L103" s="535"/>
    </x:row>
    <x:row r="104" ht="14.399999618530273" customHeight="1">
      <x:c r="C104" s="700"/>
      <x:c r="D104" s="701"/>
      <x:c r="E104" s="702"/>
      <x:c r="F104" s="702"/>
      <x:c r="G104" s="702"/>
      <x:c r="H104" s="702"/>
      <x:c r="I104" s="702"/>
      <x:c r="J104" s="702"/>
      <x:c r="K104" s="702"/>
      <x:c r="L104" s="719"/>
    </x:row>
    <x:row r="105">
      <x:c r="C105" s="443"/>
      <x:c r="D105" s="424"/>
      <x:c r="E105" s="424"/>
      <x:c r="F105" s="424"/>
      <x:c r="G105" s="424"/>
      <x:c r="H105" s="424"/>
      <x:c r="I105" s="424"/>
      <x:c r="J105" s="424"/>
      <x:c r="K105" s="424"/>
      <x:c r="L105" s="425"/>
    </x:row>
    <x:row r="106" ht="14.399999618530273" customHeight="1">
      <x:c r="C106" s="459"/>
      <x:c r="D106" s="771"/>
      <x:c r="E106" s="772" t="s">
        <x:v>285</x:v>
      </x:c>
      <x:c r="F106" s="773"/>
      <x:c r="G106" s="773"/>
      <x:c r="H106" s="773"/>
      <x:c r="I106" s="773"/>
      <x:c r="J106" s="773"/>
      <x:c r="K106" s="773"/>
      <x:c r="L106" s="774"/>
    </x:row>
    <x:row r="107" ht="14.399999618530273" customHeight="1">
      <x:c r="C107" s="459"/>
      <x:c r="D107" s="775" t="s">
        <x:v>225</x:v>
      </x:c>
      <x:c r="E107" s="776" t="n">
        <x:f ca="1">E95</x:f>
        <x:v>300.25869888451086</x:v>
      </x:c>
      <x:c r="F107" s="777" t="n">
        <x:f t="shared" ref="F107:G107" si="25">+G107-0.5</x:f>
        <x:v>8.5</x:v>
      </x:c>
      <x:c r="G107" s="777">
        <x:f t="shared" si="25"/>
        <x:v>9</x:v>
      </x:c>
      <x:c r="H107" s="777" t="n">
        <x:f>+I107-0.5</x:f>
        <x:v>9.5</x:v>
      </x:c>
      <x:c r="I107" s="777">
        <x:v>10</x:v>
      </x:c>
      <x:c r="J107" s="777" t="n">
        <x:f>+I107+0.5</x:f>
        <x:v>10.5</x:v>
      </x:c>
      <x:c r="K107" s="777" t="n">
        <x:f t="shared" ref="K107:L107" si="26">+J107+0.5</x:f>
        <x:v>11</x:v>
      </x:c>
      <x:c r="L107" s="778">
        <x:f t="shared" si="26"/>
        <x:v>11.5</x:v>
      </x:c>
      <x:c r="N107" s="142"/>
      <x:c r="O107" s="142"/>
      <x:c r="P107" s="411"/>
      <x:c r="Q107" s="411"/>
      <x:c r="R107" s="411"/>
      <x:c r="S107" s="411"/>
      <x:c r="T107" s="411"/>
    </x:row>
    <x:row r="108" ht="14.399999618530273" customHeight="1">
      <x:c r="C108" s="443"/>
      <x:c r="D108" s="773"/>
      <x:c r="E108" s="779" t="n">
        <x:f t="shared" ref="E108:E109" si="27">+E109-0.5%</x:f>
        <x:v>0.09825885865021965</x:v>
      </x:c>
      <x:c r="F108" s="780" t="e">
        <x:f t="dataTable" ref="F108:L114" dt2D="1" dtr="1" r1="E78" r2="J7" ca="1"/>
        <x:v>#VALUE!</x:v>
      </x:c>
      <x:c r="G108" s="780" t="e">
        <x:v>#VALUE!</x:v>
      </x:c>
      <x:c r="H108" s="780" t="e">
        <x:v>#VALUE!</x:v>
      </x:c>
      <x:c r="I108" s="780" t="e">
        <x:v>#VALUE!</x:v>
      </x:c>
      <x:c r="J108" s="780" t="e">
        <x:v>#VALUE!</x:v>
      </x:c>
      <x:c r="K108" s="780" t="e">
        <x:v>#VALUE!</x:v>
      </x:c>
      <x:c r="L108" s="781" t="e">
        <x:v>#VALUE!</x:v>
      </x:c>
      <x:c r="N108" s="142"/>
      <x:c r="O108" s="142"/>
      <x:c r="P108" s="411"/>
      <x:c r="Q108" s="411"/>
      <x:c r="R108" s="411"/>
      <x:c r="S108" s="411"/>
      <x:c r="T108" s="411"/>
    </x:row>
    <x:row r="109" ht="14.399999618530273" customHeight="1">
      <x:c r="C109" s="443"/>
      <x:c r="D109" s="773"/>
      <x:c r="E109" s="779">
        <x:f t="shared" si="27"/>
        <x:v>0.10325885865021965</x:v>
      </x:c>
      <x:c r="F109" s="780" t="e">
        <x:v>#VALUE!</x:v>
      </x:c>
      <x:c r="G109" s="780" t="e">
        <x:v>#VALUE!</x:v>
      </x:c>
      <x:c r="H109" s="780" t="e">
        <x:v>#VALUE!</x:v>
      </x:c>
      <x:c r="I109" s="780" t="e">
        <x:v>#VALUE!</x:v>
      </x:c>
      <x:c r="J109" s="780" t="e">
        <x:v>#VALUE!</x:v>
      </x:c>
      <x:c r="K109" s="780" t="e">
        <x:v>#VALUE!</x:v>
      </x:c>
      <x:c r="L109" s="781" t="e">
        <x:v>#VALUE!</x:v>
      </x:c>
      <x:c r="N109" s="142"/>
      <x:c r="O109" s="142"/>
      <x:c r="P109" s="411"/>
      <x:c r="Q109" s="411"/>
      <x:c r="R109" s="411"/>
      <x:c r="S109" s="411"/>
      <x:c r="T109" s="411"/>
    </x:row>
    <x:row r="110" ht="14.399999618530273" customHeight="1">
      <x:c r="C110" s="443"/>
      <x:c r="D110" s="773"/>
      <x:c r="E110" s="779" t="n">
        <x:f>+E111-0.5%</x:f>
        <x:v>0.10825885865021966</x:v>
      </x:c>
      <x:c r="F110" s="780" t="e">
        <x:v>#VALUE!</x:v>
      </x:c>
      <x:c r="G110" s="780" t="e">
        <x:v>#VALUE!</x:v>
      </x:c>
      <x:c r="H110" s="780" t="e">
        <x:v>#VALUE!</x:v>
      </x:c>
      <x:c r="I110" s="780" t="e">
        <x:v>#VALUE!</x:v>
      </x:c>
      <x:c r="J110" s="780" t="e">
        <x:v>#VALUE!</x:v>
      </x:c>
      <x:c r="K110" s="780" t="e">
        <x:v>#VALUE!</x:v>
      </x:c>
      <x:c r="L110" s="781" t="e">
        <x:v>#VALUE!</x:v>
      </x:c>
      <x:c r="N110" s="142"/>
      <x:c r="O110" s="142"/>
      <x:c r="P110" s="411"/>
      <x:c r="Q110" s="411"/>
      <x:c r="R110" s="411"/>
      <x:c r="S110" s="411"/>
      <x:c r="T110" s="411"/>
    </x:row>
    <x:row r="111" ht="14.399999618530273" customHeight="1">
      <x:c r="C111" s="443"/>
      <x:c r="D111" s="773"/>
      <x:c r="E111" s="779">
        <x:v>0.11325885865021966</x:v>
      </x:c>
      <x:c r="F111" s="780" t="e">
        <x:v>#VALUE!</x:v>
      </x:c>
      <x:c r="G111" s="780" t="e">
        <x:v>#VALUE!</x:v>
      </x:c>
      <x:c r="H111" s="780" t="e">
        <x:v>#VALUE!</x:v>
      </x:c>
      <x:c r="I111" s="780" t="e">
        <x:v>#VALUE!</x:v>
      </x:c>
      <x:c r="J111" s="780" t="e">
        <x:v>#VALUE!</x:v>
      </x:c>
      <x:c r="K111" s="780" t="e">
        <x:v>#VALUE!</x:v>
      </x:c>
      <x:c r="L111" s="781" t="e">
        <x:v>#VALUE!</x:v>
      </x:c>
      <x:c r="N111" s="142"/>
      <x:c r="O111" s="142"/>
      <x:c r="P111" s="411"/>
      <x:c r="Q111" s="411"/>
      <x:c r="R111" s="411"/>
      <x:c r="S111" s="411"/>
      <x:c r="T111" s="411"/>
    </x:row>
    <x:row r="112" ht="14.399999618530273" customHeight="1">
      <x:c r="C112" s="443"/>
      <x:c r="D112" s="773"/>
      <x:c r="E112" s="779" t="n">
        <x:f>+E111+0.5%</x:f>
        <x:v>0.11825885865021966</x:v>
      </x:c>
      <x:c r="F112" s="780" t="e">
        <x:v>#VALUE!</x:v>
      </x:c>
      <x:c r="G112" s="780" t="e">
        <x:v>#VALUE!</x:v>
      </x:c>
      <x:c r="H112" s="780" t="e">
        <x:v>#VALUE!</x:v>
      </x:c>
      <x:c r="I112" s="780" t="e">
        <x:v>#VALUE!</x:v>
      </x:c>
      <x:c r="J112" s="780" t="e">
        <x:v>#VALUE!</x:v>
      </x:c>
      <x:c r="K112" s="780" t="e">
        <x:v>#VALUE!</x:v>
      </x:c>
      <x:c r="L112" s="781" t="e">
        <x:v>#VALUE!</x:v>
      </x:c>
      <x:c r="N112" s="142"/>
      <x:c r="O112" s="142"/>
      <x:c r="P112" s="411"/>
      <x:c r="Q112" s="411"/>
      <x:c r="R112" s="411"/>
      <x:c r="S112" s="411"/>
      <x:c r="T112" s="411"/>
    </x:row>
    <x:row r="113" ht="14.399999618530273" customHeight="1">
      <x:c r="C113" s="443"/>
      <x:c r="D113" s="773"/>
      <x:c r="E113" s="779" t="n">
        <x:f t="shared" ref="E113:E114" si="28">+E112+0.5%</x:f>
        <x:v>0.12325885865021967</x:v>
      </x:c>
      <x:c r="F113" s="780" t="e">
        <x:v>#VALUE!</x:v>
      </x:c>
      <x:c r="G113" s="780" t="e">
        <x:v>#VALUE!</x:v>
      </x:c>
      <x:c r="H113" s="780" t="e">
        <x:v>#VALUE!</x:v>
      </x:c>
      <x:c r="I113" s="780" t="e">
        <x:v>#VALUE!</x:v>
      </x:c>
      <x:c r="J113" s="780" t="e">
        <x:v>#VALUE!</x:v>
      </x:c>
      <x:c r="K113" s="780" t="e">
        <x:v>#VALUE!</x:v>
      </x:c>
      <x:c r="L113" s="781" t="e">
        <x:v>#VALUE!</x:v>
      </x:c>
      <x:c r="N113" s="142"/>
      <x:c r="O113" s="142"/>
      <x:c r="P113" s="411"/>
      <x:c r="Q113" s="411"/>
      <x:c r="R113" s="411"/>
      <x:c r="S113" s="411"/>
      <x:c r="T113" s="411"/>
    </x:row>
    <x:row r="114" ht="14.399999618530273" customHeight="1">
      <x:c r="C114" s="443"/>
      <x:c r="D114" s="773"/>
      <x:c r="E114" s="779">
        <x:f t="shared" si="28"/>
        <x:v>0.12825885865021966</x:v>
      </x:c>
      <x:c r="F114" s="780" t="e">
        <x:v>#VALUE!</x:v>
      </x:c>
      <x:c r="G114" s="780" t="e">
        <x:v>#VALUE!</x:v>
      </x:c>
      <x:c r="H114" s="780" t="e">
        <x:v>#VALUE!</x:v>
      </x:c>
      <x:c r="I114" s="780" t="e">
        <x:v>#VALUE!</x:v>
      </x:c>
      <x:c r="J114" s="780" t="e">
        <x:v>#VALUE!</x:v>
      </x:c>
      <x:c r="K114" s="780" t="e">
        <x:v>#VALUE!</x:v>
      </x:c>
      <x:c r="L114" s="781" t="e">
        <x:v>#VALUE!</x:v>
      </x:c>
      <x:c r="N114" s="142"/>
      <x:c r="O114" s="142"/>
      <x:c r="P114" s="411"/>
      <x:c r="Q114" s="411"/>
      <x:c r="R114" s="411"/>
      <x:c r="S114" s="411"/>
      <x:c r="T114" s="411"/>
    </x:row>
    <x:row r="115">
      <x:c r="C115" s="443"/>
      <x:c r="D115" s="424"/>
      <x:c r="E115" s="424"/>
      <x:c r="F115" s="424"/>
      <x:c r="G115" s="424"/>
      <x:c r="H115" s="424"/>
      <x:c r="I115" s="424"/>
      <x:c r="J115" s="424"/>
      <x:c r="K115" s="424"/>
      <x:c r="L115" s="425"/>
    </x:row>
    <x:row r="116" ht="14.399999618530273" customHeight="1">
      <x:c r="C116" s="443"/>
      <x:c r="D116" s="771"/>
      <x:c r="E116" s="772" t="s">
        <x:v>265</x:v>
      </x:c>
      <x:c r="F116" s="773"/>
      <x:c r="G116" s="773"/>
      <x:c r="H116" s="773"/>
      <x:c r="I116" s="773"/>
      <x:c r="J116" s="773"/>
      <x:c r="K116" s="773"/>
      <x:c r="L116" s="774"/>
    </x:row>
    <x:row r="117" ht="14.399999618530273" customHeight="1">
      <x:c r="C117" s="443"/>
      <x:c r="D117" s="775" t="s">
        <x:v>225</x:v>
      </x:c>
      <x:c r="E117" s="776" t="n">
        <x:f ca="1">L95</x:f>
        <x:v>285.43838123210253</x:v>
      </x:c>
      <x:c r="F117" s="782" t="n">
        <x:f t="shared" ref="F117:G117" si="29">+G117-0.5%</x:f>
        <x:v>0.045000000000000005</x:v>
      </x:c>
      <x:c r="G117" s="782">
        <x:f t="shared" si="29"/>
        <x:v>0.05</x:v>
      </x:c>
      <x:c r="H117" s="782" t="n">
        <x:f>+I117-0.5%</x:f>
        <x:v>0.055</x:v>
      </x:c>
      <x:c r="I117" s="782">
        <x:v>0.06</x:v>
      </x:c>
      <x:c r="J117" s="782" t="n">
        <x:f>+I117+0.5%</x:f>
        <x:v>0.065</x:v>
      </x:c>
      <x:c r="K117" s="782" t="n">
        <x:f t="shared" ref="K117:L117" si="30">+J117+0.5%</x:f>
        <x:v>0.07</x:v>
      </x:c>
      <x:c r="L117" s="783">
        <x:f t="shared" si="30"/>
        <x:v>7.5000000000000011E-2</x:v>
      </x:c>
    </x:row>
    <x:row r="118" ht="14.399999618530273" customHeight="1">
      <x:c r="C118" s="443"/>
      <x:c r="D118" s="773"/>
      <x:c r="E118" s="779" t="n">
        <x:f t="shared" ref="E118:E119" si="31">+E119-0.5%</x:f>
        <x:v>0.09825885865021965</x:v>
      </x:c>
      <x:c r="F118" s="780" t="e">
        <x:f t="dataTable" ref="F118:L124" dt2D="1" dtr="1" r1="L78" r2="J7" ca="1"/>
        <x:v>#VALUE!</x:v>
      </x:c>
      <x:c r="G118" s="780" t="e">
        <x:v>#VALUE!</x:v>
      </x:c>
      <x:c r="H118" s="780" t="e">
        <x:v>#VALUE!</x:v>
      </x:c>
      <x:c r="I118" s="780" t="e">
        <x:v>#VALUE!</x:v>
      </x:c>
      <x:c r="J118" s="780" t="e">
        <x:v>#VALUE!</x:v>
      </x:c>
      <x:c r="K118" s="780" t="e">
        <x:v>#VALUE!</x:v>
      </x:c>
      <x:c r="L118" s="781" t="e">
        <x:v>#VALUE!</x:v>
      </x:c>
    </x:row>
    <x:row r="119" ht="14.399999618530273" customHeight="1">
      <x:c r="C119" s="443"/>
      <x:c r="D119" s="773"/>
      <x:c r="E119" s="779">
        <x:f t="shared" si="31"/>
        <x:v>0.10325885865021965</x:v>
      </x:c>
      <x:c r="F119" s="780" t="e">
        <x:v>#VALUE!</x:v>
      </x:c>
      <x:c r="G119" s="780" t="e">
        <x:v>#VALUE!</x:v>
      </x:c>
      <x:c r="H119" s="780" t="e">
        <x:v>#VALUE!</x:v>
      </x:c>
      <x:c r="I119" s="780" t="e">
        <x:v>#VALUE!</x:v>
      </x:c>
      <x:c r="J119" s="780" t="e">
        <x:v>#VALUE!</x:v>
      </x:c>
      <x:c r="K119" s="780" t="e">
        <x:v>#VALUE!</x:v>
      </x:c>
      <x:c r="L119" s="781" t="e">
        <x:v>#VALUE!</x:v>
      </x:c>
    </x:row>
    <x:row r="120" ht="14.399999618530273" customHeight="1">
      <x:c r="C120" s="443"/>
      <x:c r="D120" s="773"/>
      <x:c r="E120" s="779" t="n">
        <x:f>+E121-0.5%</x:f>
        <x:v>0.10825885865021966</x:v>
      </x:c>
      <x:c r="F120" s="780" t="e">
        <x:v>#VALUE!</x:v>
      </x:c>
      <x:c r="G120" s="780" t="e">
        <x:v>#VALUE!</x:v>
      </x:c>
      <x:c r="H120" s="780" t="e">
        <x:v>#VALUE!</x:v>
      </x:c>
      <x:c r="I120" s="780" t="e">
        <x:v>#VALUE!</x:v>
      </x:c>
      <x:c r="J120" s="780" t="e">
        <x:v>#VALUE!</x:v>
      </x:c>
      <x:c r="K120" s="780" t="e">
        <x:v>#VALUE!</x:v>
      </x:c>
      <x:c r="L120" s="781" t="e">
        <x:v>#VALUE!</x:v>
      </x:c>
    </x:row>
    <x:row r="121" ht="14.399999618530273" customHeight="1">
      <x:c r="C121" s="443"/>
      <x:c r="D121" s="773"/>
      <x:c r="E121" s="779">
        <x:v>0.11325885865021966</x:v>
      </x:c>
      <x:c r="F121" s="780" t="e">
        <x:v>#VALUE!</x:v>
      </x:c>
      <x:c r="G121" s="780" t="e">
        <x:v>#VALUE!</x:v>
      </x:c>
      <x:c r="H121" s="780" t="e">
        <x:v>#VALUE!</x:v>
      </x:c>
      <x:c r="I121" s="780" t="e">
        <x:v>#VALUE!</x:v>
      </x:c>
      <x:c r="J121" s="780" t="e">
        <x:v>#VALUE!</x:v>
      </x:c>
      <x:c r="K121" s="780" t="e">
        <x:v>#VALUE!</x:v>
      </x:c>
      <x:c r="L121" s="781" t="e">
        <x:v>#VALUE!</x:v>
      </x:c>
    </x:row>
    <x:row r="122" ht="14.399999618530273" customHeight="1">
      <x:c r="C122" s="443"/>
      <x:c r="D122" s="773"/>
      <x:c r="E122" s="779" t="n">
        <x:f t="shared" ref="E122:E124" si="32">+E121+0.5%</x:f>
        <x:v>0.11825885865021966</x:v>
      </x:c>
      <x:c r="F122" s="780" t="e">
        <x:v>#VALUE!</x:v>
      </x:c>
      <x:c r="G122" s="780" t="e">
        <x:v>#VALUE!</x:v>
      </x:c>
      <x:c r="H122" s="780" t="e">
        <x:v>#VALUE!</x:v>
      </x:c>
      <x:c r="I122" s="780" t="e">
        <x:v>#VALUE!</x:v>
      </x:c>
      <x:c r="J122" s="780" t="e">
        <x:v>#VALUE!</x:v>
      </x:c>
      <x:c r="K122" s="780" t="e">
        <x:v>#VALUE!</x:v>
      </x:c>
      <x:c r="L122" s="781" t="e">
        <x:v>#VALUE!</x:v>
      </x:c>
    </x:row>
    <x:row r="123" ht="14.399999618530273" customHeight="1">
      <x:c r="C123" s="443"/>
      <x:c r="D123" s="773"/>
      <x:c r="E123" s="779">
        <x:f t="shared" si="32"/>
        <x:v>0.12325885865021967</x:v>
      </x:c>
      <x:c r="F123" s="780" t="e">
        <x:v>#VALUE!</x:v>
      </x:c>
      <x:c r="G123" s="780" t="e">
        <x:v>#VALUE!</x:v>
      </x:c>
      <x:c r="H123" s="780" t="e">
        <x:v>#VALUE!</x:v>
      </x:c>
      <x:c r="I123" s="780" t="e">
        <x:v>#VALUE!</x:v>
      </x:c>
      <x:c r="J123" s="780" t="e">
        <x:v>#VALUE!</x:v>
      </x:c>
      <x:c r="K123" s="780" t="e">
        <x:v>#VALUE!</x:v>
      </x:c>
      <x:c r="L123" s="781" t="e">
        <x:v>#VALUE!</x:v>
      </x:c>
    </x:row>
    <x:row r="124" ht="14.399999618530273" customHeight="1">
      <x:c r="C124" s="520"/>
      <x:c r="D124" s="784"/>
      <x:c r="E124" s="785">
        <x:f t="shared" si="32"/>
        <x:v>0.12825885865021966</x:v>
      </x:c>
      <x:c r="F124" s="786" t="e">
        <x:v>#VALUE!</x:v>
      </x:c>
      <x:c r="G124" s="786" t="e">
        <x:v>#VALUE!</x:v>
      </x:c>
      <x:c r="H124" s="786" t="e">
        <x:v>#VALUE!</x:v>
      </x:c>
      <x:c r="I124" s="786" t="e">
        <x:v>#VALUE!</x:v>
      </x:c>
      <x:c r="J124" s="786" t="e">
        <x:v>#VALUE!</x:v>
      </x:c>
      <x:c r="K124" s="786" t="e">
        <x:v>#VALUE!</x:v>
      </x:c>
      <x:c r="L124" s="787" t="e">
        <x:v>#VALUE!</x:v>
      </x:c>
    </x:row>
  </x:sheetData>
  <x:mergeCells>
    <x:mergeCell ref="P107:T114"/>
    <x:mergeCell ref="E116:L116"/>
    <x:mergeCell ref="D117:D124"/>
    <x:mergeCell ref="E11:G11"/>
    <x:mergeCell ref="H11:L11"/>
    <x:mergeCell ref="E38:G38"/>
    <x:mergeCell ref="H38:L38"/>
    <x:mergeCell ref="E106:L106"/>
    <x:mergeCell ref="D107:D114"/>
  </x:mergeCells>
  <x:conditionalFormatting sqref="F108:L11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cellIs" dxfId="1" priority="3" operator="equal">
      <x:formula>$E$107</x:formula>
    </x:cfRule>
  </x:conditionalFormatting>
  <x:conditionalFormatting sqref="F118:L1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  <x:cfRule type="cellIs" dxfId="0" priority="4" operator="equal">
      <x:formula>$E$117</x:formula>
    </x:cfRule>
  </x:conditionalFormatting>
  <x:dataValidations count="1">
    <x:dataValidation type="list" allowBlank="1" showErrorMessage="1" sqref="J8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252c6acfc4ee4e8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4.44140625" defaultRowHeight="14.399999618530273"/>
  <x:cols>
    <x:col min="1" max="1" width="1.6640625" style="29" customWidth="1"/>
    <x:col min="2" max="2" width="2.6640625" style="29" customWidth="1"/>
    <x:col min="3" max="3" width="45.6640625" style="29" customWidth="1"/>
    <x:col min="4" max="12" width="12.5546875" style="29" customWidth="1"/>
    <x:col min="13" max="13" width="2.6640625" style="29" customWidth="1"/>
    <x:col min="14" max="26" width="8.6640625" style="29" customWidth="1"/>
    <x:col min="27" max="16384" width="14.44140625" style="29" customWidth="0"/>
  </x:cols>
  <x:sheetData>
    <x:row r="2" ht="18" customHeight="1">
      <x:c r="C2" s="417" t="str">
        <x:f>"WACC Build For "&amp;D5</x:f>
        <x:v>WACC Build For TopBuild Corp.</x:v>
      </x:c>
      <x:c r="D2" s="676"/>
      <x:c r="E2" s="418"/>
      <x:c r="F2" s="418"/>
      <x:c r="G2" s="418"/>
      <x:c r="H2" s="418"/>
      <x:c r="I2" s="418"/>
      <x:c r="J2" s="418"/>
      <x:c r="K2" s="418"/>
      <x:c r="L2" s="419"/>
    </x:row>
    <x:row r="3" ht="14.399999618530273" customHeight="1">
      <x:c r="C3" s="420" t="s">
        <x:v>37</x:v>
      </x:c>
      <x:c r="D3" s="677"/>
      <x:c r="E3" s="421"/>
      <x:c r="F3" s="421"/>
      <x:c r="G3" s="421"/>
      <x:c r="H3" s="421"/>
      <x:c r="I3" s="421"/>
      <x:c r="J3" s="678" t="s">
        <x:v>222</x:v>
      </x:c>
      <x:c r="K3" s="421"/>
      <x:c r="L3" s="422"/>
    </x:row>
    <x:row r="4" ht="14.399999618530273" customHeight="1">
      <x:c r="C4" s="423"/>
      <x:c r="D4" s="679"/>
      <x:c r="E4" s="424"/>
      <x:c r="F4" s="424"/>
      <x:c r="G4" s="424"/>
      <x:c r="H4" s="424"/>
      <x:c r="I4" s="424"/>
      <x:c r="J4" s="788"/>
      <x:c r="K4" s="424"/>
      <x:c r="L4" s="425"/>
    </x:row>
    <x:row r="5" ht="14.399999618530273" customHeight="1">
      <x:c r="C5" s="426" t="s">
        <x:v>1</x:v>
      </x:c>
      <x:c r="D5" s="528" t="str">
        <x:f>'Revenue Build &amp; Growth Drivers'!D5</x:f>
        <x:v>TopBuild Corp.</x:v>
      </x:c>
      <x:c r="E5" s="424"/>
      <x:c r="F5" s="424"/>
      <x:c r="G5" s="427" t="s">
        <x:v>223</x:v>
      </x:c>
      <x:c r="H5" s="424"/>
      <x:c r="I5" s="424"/>
      <x:c r="J5" s="789" t="n">
        <x:f>+'Integrated DCF Model'!D66</x:f>
        <x:v>31775.877</x:v>
      </x:c>
      <x:c r="K5" s="424"/>
      <x:c r="L5" s="425"/>
    </x:row>
    <x:row r="6" ht="14.399999618530273" customHeight="1">
      <x:c r="C6" s="426" t="s">
        <x:v>3</x:v>
      </x:c>
      <x:c r="D6" s="530" t="str">
        <x:f>'Revenue Build &amp; Growth Drivers'!D6</x:f>
        <x:v>BLD</x:v>
      </x:c>
      <x:c r="E6" s="424"/>
      <x:c r="F6" s="424"/>
      <x:c r="G6" s="427" t="s">
        <x:v>224</x:v>
      </x:c>
      <x:c r="H6" s="424"/>
      <x:c r="I6" s="424"/>
      <x:c r="J6" s="789" t="n">
        <x:f>+'Integrated DCF Model'!D71</x:f>
        <x:v>32100.077</x:v>
      </x:c>
      <x:c r="K6" s="424"/>
      <x:c r="L6" s="425"/>
    </x:row>
    <x:row r="7" ht="14.399999618530273" customHeight="1">
      <x:c r="C7" s="426" t="s">
        <x:v>5</x:v>
      </x:c>
      <x:c r="D7" s="531" t="n">
        <x:f>'Revenue Build &amp; Growth Drivers'!D7</x:f>
        <x:v>45394</x:v>
      </x:c>
      <x:c r="E7" s="424"/>
      <x:c r="F7" s="424"/>
      <x:c r="G7" s="427"/>
      <x:c r="H7" s="424"/>
      <x:c r="I7" s="424"/>
      <x:c r="J7" s="790"/>
      <x:c r="K7" s="424"/>
      <x:c r="L7" s="425"/>
    </x:row>
    <x:row r="8" ht="14.399999618530273" customHeight="1">
      <x:c r="C8" s="426" t="s">
        <x:v>6</x:v>
      </x:c>
      <x:c r="D8" s="531" t="n">
        <x:f>'Revenue Build &amp; Growth Drivers'!D8</x:f>
        <x:v>45393</x:v>
      </x:c>
      <x:c r="E8" s="424"/>
      <x:c r="F8" s="424"/>
      <x:c r="G8" s="427"/>
      <x:c r="H8" s="427"/>
      <x:c r="I8" s="427"/>
      <x:c r="J8" s="424"/>
      <x:c r="K8" s="424"/>
      <x:c r="L8" s="425"/>
    </x:row>
    <x:row r="9" ht="14.399999618530273" customHeight="1">
      <x:c r="C9" s="432" t="s">
        <x:v>7</x:v>
      </x:c>
      <x:c r="D9" s="533" t="n">
        <x:f>'Revenue Build &amp; Growth Drivers'!D9</x:f>
        <x:v>421.45</x:v>
      </x:c>
      <x:c r="E9" s="434"/>
      <x:c r="F9" s="434"/>
      <x:c r="G9" s="434"/>
      <x:c r="H9" s="434"/>
      <x:c r="I9" s="434"/>
      <x:c r="J9" s="434"/>
      <x:c r="K9" s="434"/>
      <x:c r="L9" s="435"/>
    </x:row>
    <x:row r="11" ht="14.399999618530273" customHeight="1">
      <x:c r="C11" s="436" t="s">
        <x:v>286</x:v>
      </x:c>
      <x:c r="D11" s="717"/>
      <x:c r="F11" s="436" t="s">
        <x:v>287</x:v>
      </x:c>
      <x:c r="G11" s="795"/>
      <x:c r="H11" s="795"/>
      <x:c r="I11" s="795"/>
      <x:c r="J11" s="795"/>
      <x:c r="K11" s="795"/>
      <x:c r="L11" s="796"/>
    </x:row>
    <x:row r="12" ht="14.399999618530273" customHeight="1">
      <x:c r="C12" s="700"/>
      <x:c r="D12" s="718"/>
      <x:c r="F12" s="700"/>
      <x:c r="G12" s="701"/>
      <x:c r="H12" s="701"/>
      <x:c r="I12" s="701"/>
      <x:c r="J12" s="701"/>
      <x:c r="K12" s="701"/>
      <x:c r="L12" s="718"/>
    </x:row>
    <x:row r="13">
      <x:c r="C13" s="443"/>
      <x:c r="D13" s="425"/>
      <x:c r="F13" s="443"/>
      <x:c r="G13" s="424"/>
      <x:c r="H13" s="424"/>
      <x:c r="I13" s="424"/>
      <x:c r="J13" s="424"/>
      <x:c r="K13" s="424"/>
      <x:c r="L13" s="425"/>
    </x:row>
    <x:row r="14" ht="14.399999618530273" customHeight="1">
      <x:c r="C14" s="459" t="s">
        <x:v>288</x:v>
      </x:c>
      <x:c r="D14" s="791" t="n">
        <x:f>+'Financial Statement Model'!F21</x:f>
        <x:v>74614</x:v>
      </x:c>
      <x:c r="F14" s="720" t="str">
        <x:f>D5&amp;" ("&amp;D6&amp;")"</x:f>
        <x:v>TopBuild Corp. (BLD)</x:v>
      </x:c>
      <x:c r="G14" s="721"/>
      <x:c r="H14" s="721"/>
      <x:c r="I14" s="424"/>
      <x:c r="J14" s="722" t="s">
        <x:v>289</x:v>
      </x:c>
      <x:c r="K14" s="721"/>
      <x:c r="L14" s="723"/>
      <x:c r="N14" s="374"/>
    </x:row>
    <x:row r="15" ht="14.399999618530273" customHeight="1">
      <x:c r="C15" s="443"/>
      <x:c r="D15" s="474"/>
      <x:c r="F15" s="797" t="s">
        <x:v>290</x:v>
      </x:c>
      <x:c r="G15" s="798" t="s">
        <x:v>291</x:v>
      </x:c>
      <x:c r="H15" s="798" t="s">
        <x:v>292</x:v>
      </x:c>
      <x:c r="I15" s="424"/>
      <x:c r="J15" s="798" t="s">
        <x:v>290</x:v>
      </x:c>
      <x:c r="K15" s="798" t="s">
        <x:v>291</x:v>
      </x:c>
      <x:c r="L15" s="799" t="s">
        <x:v>292</x:v>
      </x:c>
      <x:c r="N15" s="374"/>
    </x:row>
    <x:row r="16" ht="14.399999618530273" customHeight="1">
      <x:c r="C16" s="426" t="s">
        <x:v>175</x:v>
      </x:c>
      <x:c r="D16" s="699" t="n">
        <x:f>+IFERROR(AVERAGE('Financial Statement Model'!E271:F271),0)</x:f>
        <x:v>0</x:v>
      </x:c>
      <x:c r="F16" s="800">
        <x:v>44287</x:v>
      </x:c>
      <x:c r="G16" s="801">
        <x:v>222.38</x:v>
      </x:c>
      <x:c r="H16" s="802"/>
      <x:c r="I16" s="424"/>
      <x:c r="J16" s="803">
        <x:v>44287</x:v>
      </x:c>
      <x:c r="K16" s="801">
        <x:v>4181.17</x:v>
      </x:c>
      <x:c r="L16" s="804"/>
    </x:row>
    <x:row r="17" ht="14.399999618530273" customHeight="1">
      <x:c r="C17" s="443" t="s">
        <x:v>293</x:v>
      </x:c>
      <x:c r="D17" s="699" t="n">
        <x:f>+IFERROR(AVERAGE('Financial Statement Model'!E258:F258),0)+IFERROR(AVERAGE('Financial Statement Model'!E297:F297),0)</x:f>
        <x:v>45615.5</x:v>
      </x:c>
      <x:c r="F17" s="800">
        <x:v>44317</x:v>
      </x:c>
      <x:c r="G17" s="801">
        <x:v>198.05</x:v>
      </x:c>
      <x:c r="H17" s="805" t="n">
        <x:f>+G17/G16-1</x:f>
        <x:v>-0.10940732080223037</x:v>
      </x:c>
      <x:c r="I17" s="424"/>
      <x:c r="J17" s="803">
        <x:v>44317</x:v>
      </x:c>
      <x:c r="K17" s="801">
        <x:v>4204.1099999999997</x:v>
      </x:c>
      <x:c r="L17" s="806" t="n">
        <x:f>+K17/K16-1</x:f>
        <x:v>0.005486502581813157</x:v>
      </x:c>
    </x:row>
    <x:row r="18" ht="14.399999618530273" customHeight="1">
      <x:c r="C18" s="443" t="s">
        <x:v>294</x:v>
      </x:c>
      <x:c r="D18" s="699" t="n">
        <x:f>+IFERROR(AVERAGE('Financial Statement Model'!E259:F259),0)+IFERROR(AVERAGE('Financial Statement Model'!E300:F300),0)</x:f>
        <x:v>1400554</x:v>
      </x:c>
      <x:c r="F18" s="800">
        <x:v>44348</x:v>
      </x:c>
      <x:c r="G18" s="801">
        <x:v>197.78</x:v>
      </x:c>
      <x:c r="H18" s="805" t="n">
        <x:f t="shared" ref="H18:H51" si="0">+G18/G17-1</x:f>
        <x:v>-0.00136329209795516</x:v>
      </x:c>
      <x:c r="I18" s="424"/>
      <x:c r="J18" s="803">
        <x:v>44348</x:v>
      </x:c>
      <x:c r="K18" s="801">
        <x:v>4297.5</x:v>
      </x:c>
      <x:c r="L18" s="806" t="n">
        <x:f t="shared" ref="L18:L51" si="1">+K18/K17-1</x:f>
        <x:v>0.02221397632316946</x:v>
      </x:c>
      <x:c r="N18" s="374"/>
    </x:row>
    <x:row r="19" ht="14.399999618530273" customHeight="1">
      <x:c r="C19" s="459" t="s">
        <x:v>295</x:v>
      </x:c>
      <x:c r="D19" s="463" t="n">
        <x:f>SUM(D16:D18)</x:f>
        <x:v>1446169.5</x:v>
      </x:c>
      <x:c r="F19" s="800">
        <x:v>44378</x:v>
      </x:c>
      <x:c r="G19" s="801">
        <x:v>202.69</x:v>
      </x:c>
      <x:c r="H19" s="805">
        <x:f t="shared" si="0"/>
        <x:v>2.4825563757710611E-2</x:v>
      </x:c>
      <x:c r="I19" s="424"/>
      <x:c r="J19" s="803">
        <x:v>44378</x:v>
      </x:c>
      <x:c r="K19" s="801">
        <x:v>4395.26</x:v>
      </x:c>
      <x:c r="L19" s="806">
        <x:f t="shared" si="1"/>
        <x:v>2.274810936591054E-2</x:v>
      </x:c>
      <x:c r="N19" s="374"/>
    </x:row>
    <x:row r="20" ht="14.399999618530273" customHeight="1">
      <x:c r="C20" s="443"/>
      <x:c r="D20" s="425"/>
      <x:c r="F20" s="800">
        <x:v>44409</x:v>
      </x:c>
      <x:c r="G20" s="801">
        <x:v>218.79</x:v>
      </x:c>
      <x:c r="H20" s="805">
        <x:f t="shared" si="0"/>
        <x:v>7.9431644383048061E-2</x:v>
      </x:c>
      <x:c r="I20" s="424"/>
      <x:c r="J20" s="803">
        <x:v>44409</x:v>
      </x:c>
      <x:c r="K20" s="801">
        <x:v>4522.68</x:v>
      </x:c>
      <x:c r="L20" s="806">
        <x:f t="shared" si="1"/>
        <x:v>2.8990321391681118E-2</x:v>
      </x:c>
      <x:c r="N20" s="374"/>
    </x:row>
    <x:row r="21" ht="14.399999618530273" customHeight="1">
      <x:c r="C21" s="426" t="s">
        <x:v>296</x:v>
      </x:c>
      <x:c r="D21" s="792" t="n">
        <x:f>+IFERROR(D14/D19,0)</x:f>
        <x:v>0.05159422875396003</x:v>
      </x:c>
      <x:c r="F21" s="800">
        <x:v>44440</x:v>
      </x:c>
      <x:c r="G21" s="801">
        <x:v>204.81</x:v>
      </x:c>
      <x:c r="H21" s="805">
        <x:f t="shared" si="0"/>
        <x:v>-6.3896887426299176E-2</x:v>
      </x:c>
      <x:c r="I21" s="424"/>
      <x:c r="J21" s="803">
        <x:v>44440</x:v>
      </x:c>
      <x:c r="K21" s="801">
        <x:v>4307.54</x:v>
      </x:c>
      <x:c r="L21" s="806">
        <x:f t="shared" si="1"/>
        <x:v>-4.7569140421166334E-2</x:v>
      </x:c>
    </x:row>
    <x:row r="22" ht="14.399999618530273" customHeight="1">
      <x:c r="C22" s="426" t="s">
        <x:v>64</x:v>
      </x:c>
      <x:c r="D22" s="793" t="n">
        <x:f>+IF('Financial Statement Model'!F41&lt;0,AVERAGEIFS('Financial Statement Model'!D41:F41,'Financial Statement Model'!D41:F41,"&gt;0"),'Financial Statement Model'!F41)</x:f>
        <x:v>0.25588534227839943</x:v>
      </x:c>
      <x:c r="F22" s="800">
        <x:v>44470</x:v>
      </x:c>
      <x:c r="G22" s="801">
        <x:v>256.97000000000003</x:v>
      </x:c>
      <x:c r="H22" s="805">
        <x:f t="shared" si="0"/>
        <x:v>0.25467506469410695</x:v>
      </x:c>
      <x:c r="I22" s="424"/>
      <x:c r="J22" s="803">
        <x:v>44470</x:v>
      </x:c>
      <x:c r="K22" s="801">
        <x:v>4605.38</x:v>
      </x:c>
      <x:c r="L22" s="806">
        <x:f t="shared" si="1"/>
        <x:v>6.9143873301234615E-2</x:v>
      </x:c>
    </x:row>
    <x:row r="23" ht="14.399999618530273" customHeight="1">
      <x:c r="C23" s="443"/>
      <x:c r="D23" s="425"/>
      <x:c r="F23" s="800">
        <x:v>44501</x:v>
      </x:c>
      <x:c r="G23" s="801">
        <x:v>269.79000000000002</x:v>
      </x:c>
      <x:c r="H23" s="805">
        <x:f t="shared" si="0"/>
        <x:v>4.9889092111919719E-2</x:v>
      </x:c>
      <x:c r="I23" s="424"/>
      <x:c r="J23" s="803">
        <x:v>44501</x:v>
      </x:c>
      <x:c r="K23" s="801">
        <x:v>4567</x:v>
      </x:c>
      <x:c r="L23" s="806">
        <x:f t="shared" si="1"/>
        <x:v>-8.3337314184714906E-3</x:v>
      </x:c>
    </x:row>
    <x:row r="24" ht="14.399999618530273" customHeight="1">
      <x:c r="C24" s="598" t="s">
        <x:v>297</x:v>
      </x:c>
      <x:c r="D24" s="794" t="n">
        <x:f>+D21*(1-D22)</x:f>
        <x:v>0.03839202186966293</x:v>
      </x:c>
      <x:c r="F24" s="800">
        <x:v>44531</x:v>
      </x:c>
      <x:c r="G24" s="801">
        <x:v>275.91000000000003</x:v>
      </x:c>
      <x:c r="H24" s="805">
        <x:f t="shared" si="0"/>
        <x:v>2.2684310018903586E-2</x:v>
      </x:c>
      <x:c r="I24" s="424"/>
      <x:c r="J24" s="803">
        <x:v>44531</x:v>
      </x:c>
      <x:c r="K24" s="801">
        <x:v>4766.18</x:v>
      </x:c>
      <x:c r="L24" s="806">
        <x:f t="shared" si="1"/>
        <x:v>4.3612874972629889E-2</x:v>
      </x:c>
      <x:c r="N24" s="374"/>
    </x:row>
    <x:row r="25" ht="14.399999618530273" customHeight="1">
      <x:c r="F25" s="800">
        <x:v>44562</x:v>
      </x:c>
      <x:c r="G25" s="801">
        <x:v>232.65</x:v>
      </x:c>
      <x:c r="H25" s="805">
        <x:f t="shared" si="0"/>
        <x:v>-0.15679025769272592</x:v>
      </x:c>
      <x:c r="I25" s="424"/>
      <x:c r="J25" s="803">
        <x:v>44562</x:v>
      </x:c>
      <x:c r="K25" s="801">
        <x:v>4515.55</x:v>
      </x:c>
      <x:c r="L25" s="806">
        <x:f t="shared" si="1"/>
        <x:v>-5.2585089106999772E-2</x:v>
      </x:c>
    </x:row>
    <x:row r="26" ht="14.399999618530273" customHeight="1">
      <x:c r="C26" s="436" t="s">
        <x:v>298</x:v>
      </x:c>
      <x:c r="D26" s="717"/>
      <x:c r="F26" s="800">
        <x:v>44593</x:v>
      </x:c>
      <x:c r="G26" s="801">
        <x:v>214.68</x:v>
      </x:c>
      <x:c r="H26" s="805">
        <x:f t="shared" si="0"/>
        <x:v>-7.7240490006447393E-2</x:v>
      </x:c>
      <x:c r="I26" s="424"/>
      <x:c r="J26" s="803">
        <x:v>44593</x:v>
      </x:c>
      <x:c r="K26" s="801">
        <x:v>4373.9399999999996</x:v>
      </x:c>
      <x:c r="L26" s="806">
        <x:f t="shared" si="1"/>
        <x:v>-3.1360520866782648E-2</x:v>
      </x:c>
    </x:row>
    <x:row r="27" ht="14.399999618530273" customHeight="1">
      <x:c r="C27" s="700"/>
      <x:c r="D27" s="718"/>
      <x:c r="F27" s="800">
        <x:v>44621</x:v>
      </x:c>
      <x:c r="G27" s="801">
        <x:v>181.39</x:v>
      </x:c>
      <x:c r="H27" s="805">
        <x:f t="shared" si="0"/>
        <x:v>-0.15506800819824862</x:v>
      </x:c>
      <x:c r="I27" s="424"/>
      <x:c r="J27" s="803">
        <x:v>44621</x:v>
      </x:c>
      <x:c r="K27" s="801">
        <x:v>4530.41</x:v>
      </x:c>
      <x:c r="L27" s="806">
        <x:f t="shared" si="1"/>
        <x:v>3.5773238773280092E-2</x:v>
      </x:c>
    </x:row>
    <x:row r="28" ht="14.399999618530273" customHeight="1">
      <x:c r="C28" s="443"/>
      <x:c r="D28" s="425"/>
      <x:c r="F28" s="800">
        <x:v>44652</x:v>
      </x:c>
      <x:c r="G28" s="801">
        <x:v>181.14</x:v>
      </x:c>
      <x:c r="H28" s="805">
        <x:f t="shared" si="0"/>
        <x:v>-1.3782457687855354E-3</x:v>
      </x:c>
      <x:c r="I28" s="424"/>
      <x:c r="J28" s="803">
        <x:v>44652</x:v>
      </x:c>
      <x:c r="K28" s="801">
        <x:v>4131.93</x:v>
      </x:c>
      <x:c r="L28" s="806">
        <x:f t="shared" si="1"/>
        <x:v>-8.7956719149039353E-2</x:v>
      </x:c>
    </x:row>
    <x:row r="29" ht="14.399999618530273" customHeight="1">
      <x:c r="C29" s="426" t="s">
        <x:v>299</x:v>
      </x:c>
      <x:c r="D29" s="811">
        <x:v>4.1300000000000003E-2</x:v>
      </x:c>
      <x:c r="F29" s="800">
        <x:v>44682</x:v>
      </x:c>
      <x:c r="G29" s="801">
        <x:v>197.26</x:v>
      </x:c>
      <x:c r="H29" s="805">
        <x:f t="shared" si="0"/>
        <x:v>8.8991939935961106E-2</x:v>
      </x:c>
      <x:c r="I29" s="424"/>
      <x:c r="J29" s="803">
        <x:v>44682</x:v>
      </x:c>
      <x:c r="K29" s="801">
        <x:v>4132.1499999999996</x:v>
      </x:c>
      <x:c r="L29" s="806">
        <x:f t="shared" si="1"/>
        <x:v>5.3243883608722342E-5</x:v>
      </x:c>
    </x:row>
    <x:row r="30" ht="14.399999618530273" customHeight="1">
      <x:c r="C30" s="426" t="s">
        <x:v>300</x:v>
      </x:c>
      <x:c r="D30" s="811">
        <x:v>4.5600000000000002E-2</x:v>
      </x:c>
      <x:c r="F30" s="800">
        <x:v>44713</x:v>
      </x:c>
      <x:c r="G30" s="801">
        <x:v>167.16</x:v>
      </x:c>
      <x:c r="H30" s="805">
        <x:f t="shared" si="0"/>
        <x:v>-0.15259048970901345</x:v>
      </x:c>
      <x:c r="I30" s="424"/>
      <x:c r="J30" s="803">
        <x:v>44713</x:v>
      </x:c>
      <x:c r="K30" s="801">
        <x:v>3785.38</x:v>
      </x:c>
      <x:c r="L30" s="806">
        <x:f t="shared" si="1"/>
        <x:v>-8.3919993223866451E-2</x:v>
      </x:c>
    </x:row>
    <x:row r="31" ht="14.399999618530273" customHeight="1">
      <x:c r="C31" s="426" t="s">
        <x:v>301</x:v>
      </x:c>
      <x:c r="D31" s="812" t="n">
        <x:f>+L52</x:f>
        <x:v>1.8293232793925864</x:v>
      </x:c>
      <x:c r="F31" s="800">
        <x:v>44743</x:v>
      </x:c>
      <x:c r="G31" s="801">
        <x:v>211.72</x:v>
      </x:c>
      <x:c r="H31" s="805">
        <x:f t="shared" si="0"/>
        <x:v>0.26657094998803554</x:v>
      </x:c>
      <x:c r="I31" s="424"/>
      <x:c r="J31" s="803">
        <x:v>44743</x:v>
      </x:c>
      <x:c r="K31" s="801">
        <x:v>4130.29</x:v>
      </x:c>
      <x:c r="L31" s="806">
        <x:f t="shared" si="1"/>
        <x:v>9.1116347632205885E-2</x:v>
      </x:c>
    </x:row>
    <x:row r="32" ht="14.399999618530273" customHeight="1">
      <x:c r="C32" s="443"/>
      <x:c r="D32" s="425"/>
      <x:c r="F32" s="800">
        <x:v>44774</x:v>
      </x:c>
      <x:c r="G32" s="801">
        <x:v>183.76</x:v>
      </x:c>
      <x:c r="H32" s="805">
        <x:f t="shared" si="0"/>
        <x:v>-0.13206121292272821</x:v>
      </x:c>
      <x:c r="I32" s="424"/>
      <x:c r="J32" s="803">
        <x:v>44774</x:v>
      </x:c>
      <x:c r="K32" s="801">
        <x:v>3955</x:v>
      </x:c>
      <x:c r="L32" s="806">
        <x:f t="shared" si="1"/>
        <x:v>-4.2440119216810457E-2</x:v>
      </x:c>
    </x:row>
    <x:row r="33" ht="14.399999618530273" customHeight="1">
      <x:c r="C33" s="598" t="s">
        <x:v>302</x:v>
      </x:c>
      <x:c r="D33" s="794" t="n">
        <x:f>+D30+D31*D29</x:f>
        <x:v>0.12115105143891383</x:v>
      </x:c>
      <x:c r="F33" s="800">
        <x:v>44805</x:v>
      </x:c>
      <x:c r="G33" s="801">
        <x:v>164.78</x:v>
      </x:c>
      <x:c r="H33" s="805">
        <x:f t="shared" si="0"/>
        <x:v>-0.10328689595124074</x:v>
      </x:c>
      <x:c r="I33" s="424"/>
      <x:c r="J33" s="803">
        <x:v>44805</x:v>
      </x:c>
      <x:c r="K33" s="801">
        <x:v>3585.62</x:v>
      </x:c>
      <x:c r="L33" s="806">
        <x:f t="shared" si="1"/>
        <x:v>-9.3395701643489315E-2</x:v>
      </x:c>
    </x:row>
    <x:row r="34" ht="14.399999618530273" customHeight="1">
      <x:c r="F34" s="800">
        <x:v>44835</x:v>
      </x:c>
      <x:c r="G34" s="801">
        <x:v>170.14</x:v>
      </x:c>
      <x:c r="H34" s="805">
        <x:f t="shared" si="0"/>
        <x:v>3.252821944410722E-2</x:v>
      </x:c>
      <x:c r="I34" s="424"/>
      <x:c r="J34" s="803">
        <x:v>44835</x:v>
      </x:c>
      <x:c r="K34" s="801">
        <x:v>3871.98</x:v>
      </x:c>
      <x:c r="L34" s="806">
        <x:f t="shared" si="1"/>
        <x:v>7.9863454576893256E-2</x:v>
      </x:c>
    </x:row>
    <x:row r="35" ht="14.399999618530273" customHeight="1">
      <x:c r="C35" s="436" t="s">
        <x:v>303</x:v>
      </x:c>
      <x:c r="D35" s="717"/>
      <x:c r="F35" s="800">
        <x:v>44866</x:v>
      </x:c>
      <x:c r="G35" s="801">
        <x:v>154.08000000000001</x:v>
      </x:c>
      <x:c r="H35" s="805">
        <x:f t="shared" si="0"/>
        <x:v>-9.4392852944633732E-2</x:v>
      </x:c>
      <x:c r="I35" s="424"/>
      <x:c r="J35" s="803">
        <x:v>44866</x:v>
      </x:c>
      <x:c r="K35" s="801">
        <x:v>4080.11</x:v>
      </x:c>
      <x:c r="L35" s="806">
        <x:f t="shared" si="1"/>
        <x:v>5.3752860293699856E-2</x:v>
      </x:c>
    </x:row>
    <x:row r="36" ht="14.399999618530273" customHeight="1">
      <x:c r="C36" s="700"/>
      <x:c r="D36" s="718"/>
      <x:c r="F36" s="800">
        <x:v>44896</x:v>
      </x:c>
      <x:c r="G36" s="801">
        <x:v>156.49</x:v>
      </x:c>
      <x:c r="H36" s="805">
        <x:f t="shared" si="0"/>
        <x:v>1.5641225337486908E-2</x:v>
      </x:c>
      <x:c r="I36" s="424"/>
      <x:c r="J36" s="803">
        <x:v>44896</x:v>
      </x:c>
      <x:c r="K36" s="801">
        <x:v>3839.5</x:v>
      </x:c>
      <x:c r="L36" s="806">
        <x:f t="shared" si="1"/>
        <x:v>-5.8971449299161094E-2</x:v>
      </x:c>
    </x:row>
    <x:row r="37" ht="14.399999618530273" customHeight="1">
      <x:c r="C37" s="443"/>
      <x:c r="D37" s="425"/>
      <x:c r="F37" s="800">
        <x:v>44927</x:v>
      </x:c>
      <x:c r="G37" s="801">
        <x:v>200.06</x:v>
      </x:c>
      <x:c r="H37" s="805">
        <x:f t="shared" si="0"/>
        <x:v>0.2784203463480095</x:v>
      </x:c>
      <x:c r="I37" s="424"/>
      <x:c r="J37" s="803">
        <x:v>44927</x:v>
      </x:c>
      <x:c r="K37" s="801">
        <x:v>4076.6</x:v>
      </x:c>
      <x:c r="L37" s="806">
        <x:f t="shared" si="1"/>
        <x:v>6.1752832400052027E-2</x:v>
      </x:c>
    </x:row>
    <x:row r="38" ht="14.399999618530273" customHeight="1">
      <x:c r="C38" s="443" t="s">
        <x:v>295</x:v>
      </x:c>
      <x:c r="D38" s="699" t="n">
        <x:f>+'Financial Statement Model'!F258+'Financial Statement Model'!F259+'Financial Statement Model'!F271+'Financial Statement Model'!F297+'Financial Statement Model'!F300</x:f>
        <x:v>1426134</x:v>
      </x:c>
      <x:c r="F38" s="800">
        <x:v>44958</x:v>
      </x:c>
      <x:c r="G38" s="801">
        <x:v>207.59</x:v>
      </x:c>
      <x:c r="H38" s="805">
        <x:f t="shared" si="0"/>
        <x:v>3.7638708387483844E-2</x:v>
      </x:c>
      <x:c r="I38" s="424"/>
      <x:c r="J38" s="803">
        <x:v>44958</x:v>
      </x:c>
      <x:c r="K38" s="801">
        <x:v>3970.15</x:v>
      </x:c>
      <x:c r="L38" s="806">
        <x:f t="shared" si="1"/>
        <x:v>-2.6112446646715304E-2</x:v>
      </x:c>
    </x:row>
    <x:row r="39" ht="14.399999618530273" customHeight="1">
      <x:c r="C39" s="426" t="s">
        <x:v>304</x:v>
      </x:c>
      <x:c r="D39" s="792" t="n">
        <x:f>+D38/(D38+D40)</x:f>
        <x:v>0.09536352504097632</x:v>
      </x:c>
      <x:c r="F39" s="800">
        <x:v>44986</x:v>
      </x:c>
      <x:c r="G39" s="801">
        <x:v>208.14</x:v>
      </x:c>
      <x:c r="H39" s="805">
        <x:f t="shared" si="0"/>
        <x:v>2.6494532491929679E-3</x:v>
      </x:c>
      <x:c r="I39" s="424"/>
      <x:c r="J39" s="803">
        <x:v>44986</x:v>
      </x:c>
      <x:c r="K39" s="801">
        <x:v>4109.3100000000004</x:v>
      </x:c>
      <x:c r="L39" s="806">
        <x:f t="shared" si="1"/>
        <x:v>3.5051572358727023E-2</x:v>
      </x:c>
    </x:row>
    <x:row r="40" ht="14.399999618530273" customHeight="1">
      <x:c r="C40" s="443" t="s">
        <x:v>305</x:v>
      </x:c>
      <x:c r="D40" s="474" t="n">
        <x:f>+D9*J6</x:f>
        <x:v>13528577.45165</x:v>
      </x:c>
      <x:c r="F40" s="800">
        <x:v>45017</x:v>
      </x:c>
      <x:c r="G40" s="801">
        <x:v>225.48</x:v>
      </x:c>
      <x:c r="H40" s="805">
        <x:f t="shared" si="0"/>
        <x:v>8.3309311040645762E-2</x:v>
      </x:c>
      <x:c r="I40" s="424"/>
      <x:c r="J40" s="803">
        <x:v>45017</x:v>
      </x:c>
      <x:c r="K40" s="801">
        <x:v>4169.4799999999996</x:v>
      </x:c>
      <x:c r="L40" s="806">
        <x:f t="shared" si="1"/>
        <x:v>1.464236088297044E-2</x:v>
      </x:c>
    </x:row>
    <x:row r="41" ht="14.399999618530273" customHeight="1">
      <x:c r="C41" s="426" t="s">
        <x:v>304</x:v>
      </x:c>
      <x:c r="D41" s="792" t="n">
        <x:f>+D40/(D38+D40)</x:f>
        <x:v>0.9046364749590237</x:v>
      </x:c>
      <x:c r="F41" s="800">
        <x:v>45047</x:v>
      </x:c>
      <x:c r="G41" s="801">
        <x:v>201.66</x:v>
      </x:c>
      <x:c r="H41" s="805">
        <x:f t="shared" si="0"/>
        <x:v>-0.10564129856306548</x:v>
      </x:c>
      <x:c r="I41" s="424"/>
      <x:c r="J41" s="803">
        <x:v>45047</x:v>
      </x:c>
      <x:c r="K41" s="801">
        <x:v>4179.83</x:v>
      </x:c>
      <x:c r="L41" s="806">
        <x:f t="shared" si="1"/>
        <x:v>2.4823239348792381E-3</x:v>
      </x:c>
    </x:row>
    <x:row r="42" ht="14.399999618530273" customHeight="1">
      <x:c r="C42" s="443"/>
      <x:c r="D42" s="813"/>
      <x:c r="F42" s="800">
        <x:v>45078</x:v>
      </x:c>
      <x:c r="G42" s="801">
        <x:v>266.02</x:v>
      </x:c>
      <x:c r="H42" s="805">
        <x:f t="shared" si="0"/>
        <x:v>0.31915104631558067</x:v>
      </x:c>
      <x:c r="I42" s="424"/>
      <x:c r="J42" s="803">
        <x:v>45078</x:v>
      </x:c>
      <x:c r="K42" s="801">
        <x:v>4450.38</x:v>
      </x:c>
      <x:c r="L42" s="806">
        <x:f t="shared" si="1"/>
        <x:v>6.4727512841431301E-2</x:v>
      </x:c>
    </x:row>
    <x:row r="43" ht="14.399999618530273" customHeight="1">
      <x:c r="C43" s="598" t="s">
        <x:v>306</x:v>
      </x:c>
      <x:c r="D43" s="794" t="n">
        <x:f>D39*D24+D41*D33</x:f>
        <x:v>0.11325885865021967</x:v>
      </x:c>
      <x:c r="F43" s="800">
        <x:v>45108</x:v>
      </x:c>
      <x:c r="G43" s="801">
        <x:v>273.93</x:v>
      </x:c>
      <x:c r="H43" s="805">
        <x:f t="shared" si="0"/>
        <x:v>2.9734606420569909E-2</x:v>
      </x:c>
      <x:c r="I43" s="424"/>
      <x:c r="J43" s="803">
        <x:v>45108</x:v>
      </x:c>
      <x:c r="K43" s="801">
        <x:v>4588.96</x:v>
      </x:c>
      <x:c r="L43" s="806">
        <x:f t="shared" si="1"/>
        <x:v>3.1138913980379268E-2</x:v>
      </x:c>
    </x:row>
    <x:row r="44" ht="14.399999618530273" customHeight="1">
      <x:c r="F44" s="800">
        <x:v>45139</x:v>
      </x:c>
      <x:c r="G44" s="801">
        <x:v>290.08</x:v>
      </x:c>
      <x:c r="H44" s="805">
        <x:f t="shared" si="0"/>
        <x:v>5.8956667761836945E-2</x:v>
      </x:c>
      <x:c r="I44" s="424"/>
      <x:c r="J44" s="803">
        <x:v>45139</x:v>
      </x:c>
      <x:c r="K44" s="801">
        <x:v>4507.66</x:v>
      </x:c>
      <x:c r="L44" s="806">
        <x:f t="shared" si="1"/>
        <x:v>-1.771643248143373E-2</x:v>
      </x:c>
    </x:row>
    <x:row r="45" ht="14.399999618530273" customHeight="1">
      <x:c r="F45" s="800">
        <x:v>45170</x:v>
      </x:c>
      <x:c r="G45" s="801">
        <x:v>251.6</x:v>
      </x:c>
      <x:c r="H45" s="805">
        <x:f t="shared" si="0"/>
        <x:v>-0.13265306122448972</x:v>
      </x:c>
      <x:c r="I45" s="424"/>
      <x:c r="J45" s="803">
        <x:v>45170</x:v>
      </x:c>
      <x:c r="K45" s="801">
        <x:v>4288.05</x:v>
      </x:c>
      <x:c r="L45" s="806">
        <x:f t="shared" si="1"/>
        <x:v>-4.871929116215501E-2</x:v>
      </x:c>
    </x:row>
    <x:row r="46" ht="14.399999618530273" customHeight="1">
      <x:c r="F46" s="800">
        <x:v>45200</x:v>
      </x:c>
      <x:c r="G46" s="801">
        <x:v>228.76</x:v>
      </x:c>
      <x:c r="H46" s="805">
        <x:f t="shared" si="0"/>
        <x:v>-9.0779014308426054E-2</x:v>
      </x:c>
      <x:c r="I46" s="424"/>
      <x:c r="J46" s="803">
        <x:v>45200</x:v>
      </x:c>
      <x:c r="K46" s="801">
        <x:v>4193.8</x:v>
      </x:c>
      <x:c r="L46" s="806">
        <x:f t="shared" si="1"/>
        <x:v>-2.1979687736850106E-2</x:v>
      </x:c>
    </x:row>
    <x:row r="47" ht="14.399999618530273" customHeight="1">
      <x:c r="F47" s="800">
        <x:v>45231</x:v>
      </x:c>
      <x:c r="G47" s="801">
        <x:v>295.77999999999997</x:v>
      </x:c>
      <x:c r="H47" s="805">
        <x:f t="shared" si="0"/>
        <x:v>0.29297079909074997</x:v>
      </x:c>
      <x:c r="I47" s="424"/>
      <x:c r="J47" s="803">
        <x:v>45231</x:v>
      </x:c>
      <x:c r="K47" s="801">
        <x:v>4567.8</x:v>
      </x:c>
      <x:c r="L47" s="806">
        <x:f t="shared" si="1"/>
        <x:v>8.9179264628737709E-2</x:v>
      </x:c>
    </x:row>
    <x:row r="48" ht="14.399999618530273" customHeight="1">
      <x:c r="F48" s="800">
        <x:v>45261</x:v>
      </x:c>
      <x:c r="G48" s="801">
        <x:v>374.26</x:v>
      </x:c>
      <x:c r="H48" s="805">
        <x:f t="shared" si="0"/>
        <x:v>0.26533234160524732</x:v>
      </x:c>
      <x:c r="I48" s="424"/>
      <x:c r="J48" s="803">
        <x:v>45261</x:v>
      </x:c>
      <x:c r="K48" s="801">
        <x:v>4769.83</x:v>
      </x:c>
      <x:c r="L48" s="806">
        <x:f t="shared" si="1"/>
        <x:v>4.4229169403213753E-2</x:v>
      </x:c>
    </x:row>
    <x:row r="49" ht="14.399999618530273" customHeight="1">
      <x:c r="F49" s="800">
        <x:v>45292</x:v>
      </x:c>
      <x:c r="G49" s="801">
        <x:v>369.13</x:v>
      </x:c>
      <x:c r="H49" s="805">
        <x:f t="shared" si="0"/>
        <x:v>-1.3707048575856362E-2</x:v>
      </x:c>
      <x:c r="I49" s="424"/>
      <x:c r="J49" s="803">
        <x:v>45292</x:v>
      </x:c>
      <x:c r="K49" s="801">
        <x:v>4845.6499999999996</x:v>
      </x:c>
      <x:c r="L49" s="806">
        <x:f t="shared" si="1"/>
        <x:v>1.5895744712075555E-2</x:v>
      </x:c>
    </x:row>
    <x:row r="50" ht="14.399999618530273" customHeight="1">
      <x:c r="F50" s="800">
        <x:v>45323</x:v>
      </x:c>
      <x:c r="G50" s="801">
        <x:v>402.38</x:v>
      </x:c>
      <x:c r="H50" s="805">
        <x:f t="shared" si="0"/>
        <x:v>9.0076666756969015E-2</x:v>
      </x:c>
      <x:c r="I50" s="424"/>
      <x:c r="J50" s="803">
        <x:v>45323</x:v>
      </x:c>
      <x:c r="K50" s="801">
        <x:v>5096.2700000000004</x:v>
      </x:c>
      <x:c r="L50" s="806">
        <x:f t="shared" si="1"/>
        <x:v>5.1720615397315317E-2</x:v>
      </x:c>
    </x:row>
    <x:row r="51" ht="14.399999618530273" customHeight="1">
      <x:c r="F51" s="800">
        <x:v>45352</x:v>
      </x:c>
      <x:c r="G51" s="801">
        <x:v>440.73</x:v>
      </x:c>
      <x:c r="H51" s="805">
        <x:f t="shared" si="0"/>
        <x:v>9.5307917888563187E-2</x:v>
      </x:c>
      <x:c r="I51" s="424"/>
      <x:c r="J51" s="803">
        <x:v>45352</x:v>
      </x:c>
      <x:c r="K51" s="801">
        <x:v>5254.35</x:v>
      </x:c>
      <x:c r="L51" s="806">
        <x:f t="shared" si="1"/>
        <x:v>3.1018764704381807E-2</x:v>
      </x:c>
    </x:row>
    <x:row r="52" ht="14.399999618530273" customHeight="1">
      <x:c r="F52" s="807"/>
      <x:c r="G52" s="808"/>
      <x:c r="H52" s="808"/>
      <x:c r="I52" s="808"/>
      <x:c r="J52" s="808"/>
      <x:c r="K52" s="809" t="s">
        <x:v>307</x:v>
      </x:c>
      <x:c r="L52" s="810" t="n">
        <x:f>+SLOPE(H17:H51,L17:L51)</x:f>
        <x:v>1.8293232793925864</x:v>
      </x:c>
    </x:row>
  </x:sheetData>
  <x:pageMargins left="0.7" right="0.7" top="0.75" bottom="0.75" header="0.3" footer="0.3"/>
  <x:legacyDrawing xmlns:r="http://schemas.openxmlformats.org/officeDocument/2006/relationships" r:id="R5c7978f835994f8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6" hidden="0" customWidth="1"/>
    <x:col min="4" max="4" width="13" hidden="0" customWidth="1"/>
    <x:col min="5" max="5" width="13" hidden="0" customWidth="1"/>
    <x:col min="6" max="6" width="13" hidden="0" customWidth="1"/>
    <x:col min="7" max="7" width="34" hidden="0" customWidth="1"/>
    <x:col min="8" max="8" width="12" hidden="0" customWidth="1"/>
    <x:col min="9" max="9" width="31" hidden="0" customWidth="1"/>
  </x:cols>
  <x:sheetData>
    <x:row r="1" ht="30" customHeight="1">
      <x:c r="A1" s="844" t="str">
        <x:v>TopBuild — Section Review</x:v>
      </x:c>
      <x:c r="B1" s="844"/>
      <x:c r="C1" s="844"/>
      <x:c r="D1" s="844"/>
      <x:c r="E1" s="844"/>
      <x:c r="F1" s="844"/>
      <x:c r="G1" s="844"/>
      <x:c r="H1" s="844"/>
      <x:c r="I1" s="844"/>
    </x:row>
    <x:row r="2" ht="34" customHeight="1">
      <x:c r="A2" s="845" t="str">
        <x:v>The original workbook is preserved. Navy outlines mark base sections; blue and amber bottom borders mark historical and projected value cells.</x:v>
      </x:c>
      <x:c r="B2" s="845"/>
      <x:c r="C2" s="845"/>
      <x:c r="D2" s="845"/>
      <x:c r="E2" s="845"/>
      <x:c r="F2" s="845"/>
      <x:c r="G2" s="845"/>
      <x:c r="H2" s="845"/>
      <x:c r="I2" s="845"/>
    </x:row>
    <x:row r="3">
      <x:c r="A3" s="846"/>
      <x:c r="B3" s="846"/>
      <x:c r="C3" s="846"/>
      <x:c r="D3" s="846"/>
      <x:c r="E3" s="846"/>
      <x:c r="F3" s="846"/>
      <x:c r="G3" s="846"/>
      <x:c r="H3" s="846"/>
      <x:c r="I3" s="846"/>
    </x:row>
    <x:row r="4">
      <x:c r="A4" s="847" t="str">
        <x:v>Visual key</x:v>
      </x:c>
      <x:c r="B4" s="847"/>
      <x:c r="C4" s="847"/>
      <x:c r="D4" s="847"/>
      <x:c r="E4" s="847"/>
      <x:c r="F4" s="847"/>
      <x:c r="G4" s="847"/>
      <x:c r="H4" s="847"/>
      <x:c r="I4" s="847"/>
    </x:row>
    <x:row r="5">
      <x:c r="A5" s="848" t="str">
        <x:v>Base section</x:v>
      </x:c>
      <x:c r="B5" s="849" t="str">
        <x:v>Navy outline</x:v>
      </x:c>
      <x:c r="C5" s="846"/>
      <x:c r="D5" s="850" t="str">
        <x:v>Historical</x:v>
      </x:c>
      <x:c r="E5" s="850" t="str">
        <x:v>Blue bottom border</x:v>
      </x:c>
      <x:c r="F5" s="846"/>
      <x:c r="G5" s="851" t="str">
        <x:v>Projected</x:v>
      </x:c>
      <x:c r="H5" s="851" t="str">
        <x:v>Amber bottom border</x:v>
      </x:c>
      <x:c r="I5" s="846"/>
    </x:row>
    <x:row r="6">
      <x:c r="A6" s="846"/>
      <x:c r="B6" s="846"/>
      <x:c r="C6" s="846"/>
      <x:c r="D6" s="846"/>
      <x:c r="E6" s="846"/>
      <x:c r="F6" s="846"/>
      <x:c r="G6" s="846"/>
      <x:c r="H6" s="846"/>
      <x:c r="I6" s="846"/>
    </x:row>
    <x:row r="7" ht="24" customHeight="1">
      <x:c r="A7" s="852" t="str">
        <x:v>Display ID</x:v>
      </x:c>
      <x:c r="B7" s="852" t="str">
        <x:v>Worksheet</x:v>
      </x:c>
      <x:c r="C7" s="852" t="str">
        <x:v>Section label</x:v>
      </x:c>
      <x:c r="D7" s="852" t="str">
        <x:v>Base cells</x:v>
      </x:c>
      <x:c r="E7" s="852" t="str">
        <x:v>Historical</x:v>
      </x:c>
      <x:c r="F7" s="852" t="str">
        <x:v>Projected</x:v>
      </x:c>
      <x:c r="G7" s="852" t="str">
        <x:v>Components</x:v>
      </x:c>
      <x:c r="H7" s="852" t="str">
        <x:v>Anchor</x:v>
      </x:c>
      <x:c r="I7" s="852" t="str">
        <x:v>Temporal source</x:v>
      </x:c>
    </x:row>
    <x:row r="8" ht="28" customHeight="1">
      <x:c r="A8" s="853" t="str">
        <x:v>S001</x:v>
      </x:c>
      <x:c r="B8" s="854" t="str">
        <x:v>Revenue Build &amp; Growth Drivers</x:v>
      </x:c>
      <x:c r="C8" s="862" t="str">
        <x:v>Revenue Build &amp; Growth Drivers For TopBuild Corp.</x:v>
      </x:c>
      <x:c r="D8" s="855" t="n">
        <x:v>72</x:v>
      </x:c>
      <x:c r="E8" s="855" t="n">
        <x:v>0</x:v>
      </x:c>
      <x:c r="F8" s="855" t="n">
        <x:v>0</x:v>
      </x:c>
      <x:c r="G8" s="862" t="str">
        <x:v>C2:K9</x:v>
      </x:c>
      <x:c r="H8" s="862" t="str">
        <x:v>C2</x:v>
      </x:c>
      <x:c r="I8" s="862" t="str">
        <x:v>None</x:v>
      </x:c>
    </x:row>
    <x:row r="9" ht="28" customHeight="1">
      <x:c r="A9" s="856" t="str">
        <x:v>S002</x:v>
      </x:c>
      <x:c r="B9" s="857" t="str">
        <x:v>Revenue Build &amp; Growth Drivers</x:v>
      </x:c>
      <x:c r="C9" s="863" t="str">
        <x:v>Revenue Projection</x:v>
      </x:c>
      <x:c r="D9" s="858" t="n">
        <x:v>45</x:v>
      </x:c>
      <x:c r="E9" s="858" t="n">
        <x:v>8</x:v>
      </x:c>
      <x:c r="F9" s="858" t="n">
        <x:v>15</x:v>
      </x:c>
      <x:c r="G9" s="863" t="str">
        <x:v>C11:K15</x:v>
      </x:c>
      <x:c r="H9" s="863" t="str">
        <x:v>C11</x:v>
      </x:c>
      <x:c r="I9" s="863" t="str">
        <x:v>Paired historical/projected header</x:v>
      </x:c>
    </x:row>
    <x:row r="10" ht="28" customHeight="1">
      <x:c r="A10" s="853" t="str">
        <x:v>S003</x:v>
      </x:c>
      <x:c r="B10" s="854" t="str">
        <x:v>Revenue Build &amp; Growth Drivers</x:v>
      </x:c>
      <x:c r="C10" s="862" t="str">
        <x:v>Segmental Revenue Schedule</x:v>
      </x:c>
      <x:c r="D10" s="855" t="n">
        <x:v>99</x:v>
      </x:c>
      <x:c r="E10" s="855" t="n">
        <x:v>19</x:v>
      </x:c>
      <x:c r="F10" s="855" t="n">
        <x:v>35</x:v>
      </x:c>
      <x:c r="G10" s="862" t="str">
        <x:v>C17:K27</x:v>
      </x:c>
      <x:c r="H10" s="862" t="str">
        <x:v>C17</x:v>
      </x:c>
      <x:c r="I10" s="862" t="str">
        <x:v>Paired historical/projected header</x:v>
      </x:c>
    </x:row>
    <x:row r="11" ht="28" customHeight="1">
      <x:c r="A11" s="856" t="str">
        <x:v>S004</x:v>
      </x:c>
      <x:c r="B11" s="857" t="str">
        <x:v>Revenue Build &amp; Growth Drivers</x:v>
      </x:c>
      <x:c r="C11" s="863" t="str">
        <x:v>Segment Revenue Growth Drivers</x:v>
      </x:c>
      <x:c r="D11" s="858" t="n">
        <x:v>99</x:v>
      </x:c>
      <x:c r="E11" s="858" t="n">
        <x:v>15</x:v>
      </x:c>
      <x:c r="F11" s="858" t="n">
        <x:v>35</x:v>
      </x:c>
      <x:c r="G11" s="863" t="str">
        <x:v>C31:K41</x:v>
      </x:c>
      <x:c r="H11" s="863" t="str">
        <x:v>C31</x:v>
      </x:c>
      <x:c r="I11" s="863" t="str">
        <x:v>Paired historical/projected header</x:v>
      </x:c>
    </x:row>
    <x:row r="12" ht="28" customHeight="1">
      <x:c r="A12" s="853" t="str">
        <x:v>S005</x:v>
      </x:c>
      <x:c r="B12" s="854" t="str">
        <x:v>Revenue Build &amp; Growth Drivers</x:v>
      </x:c>
      <x:c r="C12" s="862" t="str">
        <x:v>General Growth Drivers</x:v>
      </x:c>
      <x:c r="D12" s="855" t="n">
        <x:v>126</x:v>
      </x:c>
      <x:c r="E12" s="855" t="n">
        <x:v>20</x:v>
      </x:c>
      <x:c r="F12" s="855" t="n">
        <x:v>50</x:v>
      </x:c>
      <x:c r="G12" s="862" t="str">
        <x:v>C43:K56</x:v>
      </x:c>
      <x:c r="H12" s="862" t="str">
        <x:v>C43</x:v>
      </x:c>
      <x:c r="I12" s="862" t="str">
        <x:v>Paired historical/projected header</x:v>
      </x:c>
    </x:row>
    <x:row r="13" ht="28" customHeight="1">
      <x:c r="A13" s="856" t="str">
        <x:v>S006</x:v>
      </x:c>
      <x:c r="B13" s="857" t="str">
        <x:v>Financial Statement Model</x:v>
      </x:c>
      <x:c r="C13" s="863" t="str">
        <x:v>Financial Statement Model For TopBuild Corp.</x:v>
      </x:c>
      <x:c r="D13" s="858" t="n">
        <x:v>88</x:v>
      </x:c>
      <x:c r="E13" s="858" t="n">
        <x:v>0</x:v>
      </x:c>
      <x:c r="F13" s="858" t="n">
        <x:v>0</x:v>
      </x:c>
      <x:c r="G13" s="863" t="str">
        <x:v>C2:M9</x:v>
      </x:c>
      <x:c r="H13" s="863" t="str">
        <x:v>C2</x:v>
      </x:c>
      <x:c r="I13" s="863" t="str">
        <x:v>None</x:v>
      </x:c>
    </x:row>
    <x:row r="14" ht="28" customHeight="1">
      <x:c r="A14" s="853" t="str">
        <x:v>S007</x:v>
      </x:c>
      <x:c r="B14" s="854" t="str">
        <x:v>Financial Statement Model</x:v>
      </x:c>
      <x:c r="C14" s="862" t="str">
        <x:v>Income Statement</x:v>
      </x:c>
      <x:c r="D14" s="855" t="n">
        <x:v>341</x:v>
      </x:c>
      <x:c r="E14" s="855" t="n">
        <x:v>73</x:v>
      </x:c>
      <x:c r="F14" s="855" t="n">
        <x:v>131</x:v>
      </x:c>
      <x:c r="G14" s="862" t="str">
        <x:v>C11:M41</x:v>
      </x:c>
      <x:c r="H14" s="862" t="str">
        <x:v>C11</x:v>
      </x:c>
      <x:c r="I14" s="862" t="str">
        <x:v>Paired historical/projected header</x:v>
      </x:c>
    </x:row>
    <x:row r="15" ht="28" customHeight="1">
      <x:c r="A15" s="856" t="str">
        <x:v>S008</x:v>
      </x:c>
      <x:c r="B15" s="857" t="str">
        <x:v>Financial Statement Model</x:v>
      </x:c>
      <x:c r="C15" s="863" t="str">
        <x:v>Balance Sheet</x:v>
      </x:c>
      <x:c r="D15" s="858" t="n">
        <x:v>363</x:v>
      </x:c>
      <x:c r="E15" s="858" t="n">
        <x:v>78</x:v>
      </x:c>
      <x:c r="F15" s="858" t="n">
        <x:v>131</x:v>
      </x:c>
      <x:c r="G15" s="863" t="str">
        <x:v>C43:M75</x:v>
      </x:c>
      <x:c r="H15" s="863" t="str">
        <x:v>C43</x:v>
      </x:c>
      <x:c r="I15" s="863" t="str">
        <x:v>Paired historical/projected header</x:v>
      </x:c>
    </x:row>
    <x:row r="16" ht="28" customHeight="1">
      <x:c r="A16" s="853" t="str">
        <x:v>S009</x:v>
      </x:c>
      <x:c r="B16" s="854" t="str">
        <x:v>Financial Statement Model</x:v>
      </x:c>
      <x:c r="C16" s="862" t="str">
        <x:v>Cash Flow Statement</x:v>
      </x:c>
      <x:c r="D16" s="855" t="n">
        <x:v>243</x:v>
      </x:c>
      <x:c r="E16" s="855" t="n">
        <x:v>63</x:v>
      </x:c>
      <x:c r="F16" s="855" t="n">
        <x:v>105</x:v>
      </x:c>
      <x:c r="G16" s="862" t="str">
        <x:v>C77:K103</x:v>
      </x:c>
      <x:c r="H16" s="862" t="str">
        <x:v>C77</x:v>
      </x:c>
      <x:c r="I16" s="862" t="str">
        <x:v>Paired historical/projected header</x:v>
      </x:c>
    </x:row>
    <x:row r="17" ht="28" customHeight="1">
      <x:c r="A17" s="856" t="str">
        <x:v>S010</x:v>
      </x:c>
      <x:c r="B17" s="857" t="str">
        <x:v>Financial Statement Model</x:v>
      </x:c>
      <x:c r="C17" s="863" t="str">
        <x:v>Current Assets Schedule</x:v>
      </x:c>
      <x:c r="D17" s="858" t="n">
        <x:v>234</x:v>
      </x:c>
      <x:c r="E17" s="858" t="n">
        <x:v>37</x:v>
      </x:c>
      <x:c r="F17" s="858" t="n">
        <x:v>70</x:v>
      </x:c>
      <x:c r="G17" s="863" t="str">
        <x:v>C107:K132</x:v>
      </x:c>
      <x:c r="H17" s="863" t="str">
        <x:v>C107</x:v>
      </x:c>
      <x:c r="I17" s="863" t="str">
        <x:v>Paired historical/projected header</x:v>
      </x:c>
    </x:row>
    <x:row r="18" ht="28" customHeight="1">
      <x:c r="A18" s="853" t="str">
        <x:v>S011</x:v>
      </x:c>
      <x:c r="B18" s="854" t="str">
        <x:v>Financial Statement Model</x:v>
      </x:c>
      <x:c r="C18" s="862" t="str">
        <x:v>Current Liabilities Schedule</x:v>
      </x:c>
      <x:c r="D18" s="855" t="n">
        <x:v>117</x:v>
      </x:c>
      <x:c r="E18" s="855" t="n">
        <x:v>19</x:v>
      </x:c>
      <x:c r="F18" s="855" t="n">
        <x:v>35</x:v>
      </x:c>
      <x:c r="G18" s="862" t="str">
        <x:v>C134:K146</x:v>
      </x:c>
      <x:c r="H18" s="862" t="str">
        <x:v>C134</x:v>
      </x:c>
      <x:c r="I18" s="862" t="str">
        <x:v>Paired historical/projected header</x:v>
      </x:c>
    </x:row>
    <x:row r="19" ht="28" customHeight="1">
      <x:c r="A19" s="856" t="str">
        <x:v>S012</x:v>
      </x:c>
      <x:c r="B19" s="857" t="str">
        <x:v>Financial Statement Model</x:v>
      </x:c>
      <x:c r="C19" s="863" t="str">
        <x:v>Intangibles Schedule</x:v>
      </x:c>
      <x:c r="D19" s="858" t="n">
        <x:v>243</x:v>
      </x:c>
      <x:c r="E19" s="858" t="n">
        <x:v>34</x:v>
      </x:c>
      <x:c r="F19" s="858" t="n">
        <x:v>70</x:v>
      </x:c>
      <x:c r="G19" s="863" t="str">
        <x:v>C148:K174</x:v>
      </x:c>
      <x:c r="H19" s="863" t="str">
        <x:v>C148</x:v>
      </x:c>
      <x:c r="I19" s="863" t="str">
        <x:v>Paired historical/projected header</x:v>
      </x:c>
    </x:row>
    <x:row r="20" ht="28" customHeight="1">
      <x:c r="A20" s="853" t="str">
        <x:v>S013</x:v>
      </x:c>
      <x:c r="B20" s="854" t="str">
        <x:v>Financial Statement Model</x:v>
      </x:c>
      <x:c r="C20" s="862" t="str">
        <x:v>PP&amp;E and Depreciation Schedule</x:v>
      </x:c>
      <x:c r="D20" s="855" t="n">
        <x:v>363</x:v>
      </x:c>
      <x:c r="E20" s="855" t="n">
        <x:v>23</x:v>
      </x:c>
      <x:c r="F20" s="855" t="n">
        <x:v>76</x:v>
      </x:c>
      <x:c r="G20" s="862" t="str">
        <x:v>C176:M208</x:v>
      </x:c>
      <x:c r="H20" s="862" t="str">
        <x:v>C176</x:v>
      </x:c>
      <x:c r="I20" s="862" t="str">
        <x:v>Paired historical/projected header</x:v>
      </x:c>
    </x:row>
    <x:row r="21" ht="28" customHeight="1">
      <x:c r="A21" s="856" t="str">
        <x:v>S014</x:v>
      </x:c>
      <x:c r="B21" s="857" t="str">
        <x:v>Financial Statement Model</x:v>
      </x:c>
      <x:c r="C21" s="863" t="str">
        <x:v>Retained Earnings Schedule</x:v>
      </x:c>
      <x:c r="D21" s="858" t="n">
        <x:v>90</x:v>
      </x:c>
      <x:c r="E21" s="858" t="n">
        <x:v>21</x:v>
      </x:c>
      <x:c r="F21" s="858" t="n">
        <x:v>35</x:v>
      </x:c>
      <x:c r="G21" s="863" t="str">
        <x:v>C210:K219</x:v>
      </x:c>
      <x:c r="H21" s="863" t="str">
        <x:v>C210</x:v>
      </x:c>
      <x:c r="I21" s="863" t="str">
        <x:v>Paired historical/projected header</x:v>
      </x:c>
    </x:row>
    <x:row r="22" ht="28" customHeight="1">
      <x:c r="A22" s="853" t="str">
        <x:v>S015</x:v>
      </x:c>
      <x:c r="B22" s="854" t="str">
        <x:v>Financial Statement Model</x:v>
      </x:c>
      <x:c r="C22" s="862" t="str">
        <x:v>Non-controlling Interest Schedule</x:v>
      </x:c>
      <x:c r="D22" s="855" t="n">
        <x:v>81</x:v>
      </x:c>
      <x:c r="E22" s="855" t="n">
        <x:v>18</x:v>
      </x:c>
      <x:c r="F22" s="855" t="n">
        <x:v>30</x:v>
      </x:c>
      <x:c r="G22" s="862" t="str">
        <x:v>C221:K229</x:v>
      </x:c>
      <x:c r="H22" s="862" t="str">
        <x:v>C221</x:v>
      </x:c>
      <x:c r="I22" s="862" t="str">
        <x:v>Paired historical/projected header</x:v>
      </x:c>
    </x:row>
    <x:row r="23" ht="28" customHeight="1">
      <x:c r="A23" s="856" t="str">
        <x:v>S016</x:v>
      </x:c>
      <x:c r="B23" s="857" t="str">
        <x:v>Financial Statement Model</x:v>
      </x:c>
      <x:c r="C23" s="863" t="str">
        <x:v>Debt &amp; Interest Schedule (ex. Leases)</x:v>
      </x:c>
      <x:c r="D23" s="858" t="n">
        <x:v>441</x:v>
      </x:c>
      <x:c r="E23" s="858" t="n">
        <x:v>40</x:v>
      </x:c>
      <x:c r="F23" s="858" t="n">
        <x:v>160</x:v>
      </x:c>
      <x:c r="G23" s="863" t="str">
        <x:v>C231:K279</x:v>
      </x:c>
      <x:c r="H23" s="863" t="str">
        <x:v>C231</x:v>
      </x:c>
      <x:c r="I23" s="863" t="str">
        <x:v>Paired historical/projected header</x:v>
      </x:c>
    </x:row>
    <x:row r="24" ht="28" customHeight="1">
      <x:c r="A24" s="853" t="str">
        <x:v>S017</x:v>
      </x:c>
      <x:c r="B24" s="854" t="str">
        <x:v>Financial Statement Model</x:v>
      </x:c>
      <x:c r="C24" s="862" t="str">
        <x:v>Lease Schedule</x:v>
      </x:c>
      <x:c r="D24" s="855" t="n">
        <x:v>486</x:v>
      </x:c>
      <x:c r="E24" s="855" t="n">
        <x:v>66</x:v>
      </x:c>
      <x:c r="F24" s="855" t="n">
        <x:v>185</x:v>
      </x:c>
      <x:c r="G24" s="862" t="str">
        <x:v>C281:K334</x:v>
      </x:c>
      <x:c r="H24" s="862" t="str">
        <x:v>C281</x:v>
      </x:c>
      <x:c r="I24" s="862" t="str">
        <x:v>Paired historical/projected header</x:v>
      </x:c>
    </x:row>
    <x:row r="25" ht="28" customHeight="1">
      <x:c r="A25" s="856" t="str">
        <x:v>S018</x:v>
      </x:c>
      <x:c r="B25" s="857" t="str">
        <x:v>Financial Statement Model</x:v>
      </x:c>
      <x:c r="C25" s="863" t="str">
        <x:v>Acquisition Schedule</x:v>
      </x:c>
      <x:c r="D25" s="858" t="n">
        <x:v>99</x:v>
      </x:c>
      <x:c r="E25" s="858" t="n">
        <x:v>3</x:v>
      </x:c>
      <x:c r="F25" s="858" t="n">
        <x:v>35</x:v>
      </x:c>
      <x:c r="G25" s="863" t="str">
        <x:v>C336:K346</x:v>
      </x:c>
      <x:c r="H25" s="863" t="str">
        <x:v>C336</x:v>
      </x:c>
      <x:c r="I25" s="863" t="str">
        <x:v>Paired historical/projected header</x:v>
      </x:c>
    </x:row>
    <x:row r="26" ht="28" customHeight="1">
      <x:c r="A26" s="853" t="str">
        <x:v>S019</x:v>
      </x:c>
      <x:c r="B26" s="854" t="str">
        <x:v>Integrated DCF Model</x:v>
      </x:c>
      <x:c r="C26" s="862" t="str">
        <x:v>Discounted Cash Flow Model For TopBuild Corp.</x:v>
      </x:c>
      <x:c r="D26" s="855" t="n">
        <x:v>96</x:v>
      </x:c>
      <x:c r="E26" s="855" t="n">
        <x:v>0</x:v>
      </x:c>
      <x:c r="F26" s="855" t="n">
        <x:v>0</x:v>
      </x:c>
      <x:c r="G26" s="862" t="str">
        <x:v>C2:N9</x:v>
      </x:c>
      <x:c r="H26" s="862" t="str">
        <x:v>C2</x:v>
      </x:c>
      <x:c r="I26" s="862" t="str">
        <x:v>None</x:v>
      </x:c>
    </x:row>
    <x:row r="27" ht="28" customHeight="1">
      <x:c r="A27" s="856" t="str">
        <x:v>S020</x:v>
      </x:c>
      <x:c r="B27" s="857" t="str">
        <x:v>Integrated DCF Model</x:v>
      </x:c>
      <x:c r="C27" s="863" t="str">
        <x:v>Unlevered Free Cash Flow</x:v>
      </x:c>
      <x:c r="D27" s="858" t="n">
        <x:v>312</x:v>
      </x:c>
      <x:c r="E27" s="858" t="n">
        <x:v>45</x:v>
      </x:c>
      <x:c r="F27" s="858" t="n">
        <x:v>87</x:v>
      </x:c>
      <x:c r="G27" s="863" t="str">
        <x:v>C11:N36</x:v>
      </x:c>
      <x:c r="H27" s="863" t="str">
        <x:v>C11</x:v>
      </x:c>
      <x:c r="I27" s="863" t="str">
        <x:v>Paired historical/projected header</x:v>
      </x:c>
    </x:row>
    <x:row r="28" ht="28" customHeight="1">
      <x:c r="A28" s="853" t="str">
        <x:v>S021</x:v>
      </x:c>
      <x:c r="B28" s="854" t="str">
        <x:v>Integrated DCF Model</x:v>
      </x:c>
      <x:c r="C28" s="862" t="str">
        <x:v>Net Working Capital Schedule</x:v>
      </x:c>
      <x:c r="D28" s="855" t="n">
        <x:v>150</x:v>
      </x:c>
      <x:c r="E28" s="855" t="n">
        <x:v>29</x:v>
      </x:c>
      <x:c r="F28" s="855" t="n">
        <x:v>50</x:v>
      </x:c>
      <x:c r="G28" s="862" t="str">
        <x:v>C38:L52</x:v>
      </x:c>
      <x:c r="H28" s="862" t="str">
        <x:v>C38</x:v>
      </x:c>
      <x:c r="I28" s="862" t="str">
        <x:v>Paired historical/projected header</x:v>
      </x:c>
    </x:row>
    <x:row r="29" ht="28" customHeight="1">
      <x:c r="A29" s="856" t="str">
        <x:v>S022</x:v>
      </x:c>
      <x:c r="B29" s="857" t="str">
        <x:v>Integrated DCF Model</x:v>
      </x:c>
      <x:c r="C29" s="863" t="str">
        <x:v>Present Value of UFCFs as of Apr 12, 2024</x:v>
      </x:c>
      <x:c r="D29" s="858" t="n">
        <x:v>80</x:v>
      </x:c>
      <x:c r="E29" s="858" t="n">
        <x:v>0</x:v>
      </x:c>
      <x:c r="F29" s="858" t="n">
        <x:v>0</x:v>
      </x:c>
      <x:c r="G29" s="863" t="str">
        <x:v>C54:L61</x:v>
      </x:c>
      <x:c r="H29" s="863" t="str">
        <x:v>C54</x:v>
      </x:c>
      <x:c r="I29" s="863" t="str">
        <x:v>None</x:v>
      </x:c>
    </x:row>
    <x:row r="30" ht="28" customHeight="1">
      <x:c r="A30" s="853" t="str">
        <x:v>S023</x:v>
      </x:c>
      <x:c r="B30" s="854" t="str">
        <x:v>Integrated DCF Model</x:v>
      </x:c>
      <x:c r="C30" s="862" t="str">
        <x:v>Basic to Fully Diluted Shares Bridge (in 000s)</x:v>
      </x:c>
      <x:c r="D30" s="855" t="n">
        <x:v>18</x:v>
      </x:c>
      <x:c r="E30" s="855" t="n">
        <x:v>0</x:v>
      </x:c>
      <x:c r="F30" s="855" t="n">
        <x:v>0</x:v>
      </x:c>
      <x:c r="G30" s="862" t="str">
        <x:v>C63:D71</x:v>
      </x:c>
      <x:c r="H30" s="862" t="str">
        <x:v>C63</x:v>
      </x:c>
      <x:c r="I30" s="862" t="str">
        <x:v>None</x:v>
      </x:c>
    </x:row>
    <x:row r="31" ht="28" customHeight="1">
      <x:c r="A31" s="856" t="str">
        <x:v>S024</x:v>
      </x:c>
      <x:c r="B31" s="857" t="str">
        <x:v>Integrated DCF Model</x:v>
      </x:c>
      <x:c r="C31" s="863" t="str">
        <x:v>Terminal Value and Equity Value Bridge</x:v>
      </x:c>
      <x:c r="D31" s="858" t="n">
        <x:v>290</x:v>
      </x:c>
      <x:c r="E31" s="858" t="n">
        <x:v>0</x:v>
      </x:c>
      <x:c r="F31" s="858" t="n">
        <x:v>0</x:v>
      </x:c>
      <x:c r="G31" s="863" t="str">
        <x:v>C73:L101</x:v>
      </x:c>
      <x:c r="H31" s="863" t="str">
        <x:v>C73</x:v>
      </x:c>
      <x:c r="I31" s="863" t="str">
        <x:v>None</x:v>
      </x:c>
    </x:row>
    <x:row r="32" ht="28" customHeight="1">
      <x:c r="A32" s="853" t="str">
        <x:v>S025</x:v>
      </x:c>
      <x:c r="B32" s="854" t="str">
        <x:v>Integrated DCF Model</x:v>
      </x:c>
      <x:c r="C32" s="862" t="str">
        <x:v>Data Tables and Football Field</x:v>
      </x:c>
      <x:c r="D32" s="855" t="n">
        <x:v>220</x:v>
      </x:c>
      <x:c r="E32" s="855" t="n">
        <x:v>0</x:v>
      </x:c>
      <x:c r="F32" s="855" t="n">
        <x:v>0</x:v>
      </x:c>
      <x:c r="G32" s="862" t="str">
        <x:v>C103:L124</x:v>
      </x:c>
      <x:c r="H32" s="862" t="str">
        <x:v>C103</x:v>
      </x:c>
      <x:c r="I32" s="862" t="str">
        <x:v>None</x:v>
      </x:c>
    </x:row>
    <x:row r="33" ht="28" customHeight="1">
      <x:c r="A33" s="856" t="str">
        <x:v>S026</x:v>
      </x:c>
      <x:c r="B33" s="857" t="str">
        <x:v>WACC Build</x:v>
      </x:c>
      <x:c r="C33" s="863" t="str">
        <x:v>WACC Build For TopBuild Corp.</x:v>
      </x:c>
      <x:c r="D33" s="858" t="n">
        <x:v>80</x:v>
      </x:c>
      <x:c r="E33" s="858" t="n">
        <x:v>0</x:v>
      </x:c>
      <x:c r="F33" s="858" t="n">
        <x:v>0</x:v>
      </x:c>
      <x:c r="G33" s="863" t="str">
        <x:v>C2:L9</x:v>
      </x:c>
      <x:c r="H33" s="863" t="str">
        <x:v>C2</x:v>
      </x:c>
      <x:c r="I33" s="863" t="str">
        <x:v>None</x:v>
      </x:c>
    </x:row>
    <x:row r="34" ht="28" customHeight="1">
      <x:c r="A34" s="853" t="str">
        <x:v>S027</x:v>
      </x:c>
      <x:c r="B34" s="854" t="str">
        <x:v>WACC Build</x:v>
      </x:c>
      <x:c r="C34" s="862" t="str">
        <x:v>Cost of Debt Calculation</x:v>
      </x:c>
      <x:c r="D34" s="855" t="n">
        <x:v>28</x:v>
      </x:c>
      <x:c r="E34" s="855" t="n">
        <x:v>0</x:v>
      </x:c>
      <x:c r="F34" s="855" t="n">
        <x:v>0</x:v>
      </x:c>
      <x:c r="G34" s="862" t="str">
        <x:v>C11:D24</x:v>
      </x:c>
      <x:c r="H34" s="862" t="str">
        <x:v>C11</x:v>
      </x:c>
      <x:c r="I34" s="862" t="str">
        <x:v>None</x:v>
      </x:c>
    </x:row>
    <x:row r="35" ht="28" customHeight="1">
      <x:c r="A35" s="856" t="str">
        <x:v>S028</x:v>
      </x:c>
      <x:c r="B35" s="857" t="str">
        <x:v>WACC Build</x:v>
      </x:c>
      <x:c r="C35" s="863" t="str">
        <x:v>Beta (β) Calculator</x:v>
      </x:c>
      <x:c r="D35" s="858" t="n">
        <x:v>294</x:v>
      </x:c>
      <x:c r="E35" s="858" t="n">
        <x:v>0</x:v>
      </x:c>
      <x:c r="F35" s="858" t="n">
        <x:v>0</x:v>
      </x:c>
      <x:c r="G35" s="863" t="str">
        <x:v>F11:L52</x:v>
      </x:c>
      <x:c r="H35" s="863" t="str">
        <x:v>F11</x:v>
      </x:c>
      <x:c r="I35" s="863" t="str">
        <x:v>None</x:v>
      </x:c>
    </x:row>
    <x:row r="36" ht="28" customHeight="1">
      <x:c r="A36" s="853" t="str">
        <x:v>S029</x:v>
      </x:c>
      <x:c r="B36" s="854" t="str">
        <x:v>WACC Build</x:v>
      </x:c>
      <x:c r="C36" s="862" t="str">
        <x:v>Cost of Equity Calculation</x:v>
      </x:c>
      <x:c r="D36" s="855" t="n">
        <x:v>16</x:v>
      </x:c>
      <x:c r="E36" s="855" t="n">
        <x:v>0</x:v>
      </x:c>
      <x:c r="F36" s="855" t="n">
        <x:v>0</x:v>
      </x:c>
      <x:c r="G36" s="862" t="str">
        <x:v>C26:D33</x:v>
      </x:c>
      <x:c r="H36" s="862" t="str">
        <x:v>C26</x:v>
      </x:c>
      <x:c r="I36" s="862" t="str">
        <x:v>None</x:v>
      </x:c>
    </x:row>
    <x:row r="37" ht="28" customHeight="1">
      <x:c r="A37" s="859" t="str">
        <x:v>S030</x:v>
      </x:c>
      <x:c r="B37" s="860" t="str">
        <x:v>WACC Build</x:v>
      </x:c>
      <x:c r="C37" s="864" t="str">
        <x:v>Capital Structure and WACC</x:v>
      </x:c>
      <x:c r="D37" s="861" t="n">
        <x:v>18</x:v>
      </x:c>
      <x:c r="E37" s="861" t="n">
        <x:v>0</x:v>
      </x:c>
      <x:c r="F37" s="861" t="n">
        <x:v>0</x:v>
      </x:c>
      <x:c r="G37" s="864" t="str">
        <x:v>C35:D43</x:v>
      </x:c>
      <x:c r="H37" s="864" t="str">
        <x:v>C35</x:v>
      </x:c>
      <x:c r="I37" s="864" t="str">
        <x:v>None</x:v>
      </x:c>
    </x:row>
  </x:sheetData>
  <x:mergeCells>
    <x:mergeCell ref="A1:I1"/>
    <x:mergeCell ref="A2:I2"/>
    <x:mergeCell ref="A4:I4"/>
  </x:mergeCells>
  <x:pageMargins left="0.7" right="0.7" top="0.75" bottom="0.75" header="0.3" footer="0.3"/>
</x:worksheet>
</file>