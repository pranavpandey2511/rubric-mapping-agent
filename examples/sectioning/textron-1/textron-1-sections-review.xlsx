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f654475a0541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erating_Model" sheetId="1" r:id="R9b2c296139b94a66"/>
    <x:sheet xmlns:r="http://schemas.openxmlformats.org/officeDocument/2006/relationships" name="Schedules" sheetId="5" r:id="R418510ff0870407f"/>
    <x:sheet xmlns:r="http://schemas.openxmlformats.org/officeDocument/2006/relationships" name="Dropdowns" sheetId="3" r:id="R6c229ef8c37f4f76"/>
    <x:sheet xmlns:r="http://schemas.openxmlformats.org/officeDocument/2006/relationships" name="Section Index" sheetId="6" r:id="R01d9b1edd3c2427a"/>
  </x:sheets>
  <x:definedNames>
    <x:definedName name="Scenario">Dropdowns!$B$6</x:definedName>
  </x:definedNames>
</x:workbook>
</file>

<file path=xl/comments1.xml><?xml version="1.0" encoding="utf-8"?>
<x:comments xmlns:x="http://schemas.openxmlformats.org/spreadsheetml/2006/main">
  <x:authors>
    <x:author>Meet Sanghavi</x:author>
    <x:author>tc={75FD605A-DE5D-5109-0FE0-F900DB687F7A}</x:author>
    <x:author>tc={04452B28-708B-489C-805D-5C0662484319}</x:author>
    <x:author>tc={E5522297-EBC4-6543-C6BA-61E33E9758B6}</x:author>
    <x:author>tc={CF5CCDEC-0581-4027-815E-C7C7E8C98D0D}</x:author>
  </x:authors>
  <x:commentList>
    <x:comment ref="B90" authorId="0">
      <x:text>
        <x:r>
          <x:t>Negative sign implies shares repurchased and positive sign implies shares issued. 
In case of shares issued, assume fresh issuance of shares instead of reissuance of treasury stock</x:t>
        </x:r>
      </x:text>
    </x:comment>
    <x:comment ref="B145" authorId="0">
      <x:text>
        <x:r>
          <x:t>YoY change should be reflected in Working capital changes</x:t>
        </x:r>
      </x:text>
    </x:comment>
    <x:comment ref="B155" authorId="0">
      <x:text>
        <x:r>
          <x:t>YoY change should be reflected in Working capital changes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S001: Textron Inc.| Operating model
Machine ID: textron:operating-model:section:1
Component: B1:N92
Base cells: 1196
Historical cells: 99
Projected cells: 335</x:t>
        </x:r>
      </x:text>
    </x:comment>
    <x:comment ref="B94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S002: Income Statement (in $ mn)
Machine ID: textron:operating-model:section:2
Component: B94:N131
Base cells: 494
Historical cells: 99
Projected cells: 198</x:t>
        </x:r>
      </x:text>
    </x:comment>
    <x:comment ref="B133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S003: Balance Sheet (in $ mn)
Machine ID: textron:operating-model:section:3
Component: B133:N166
Base cells: 442
Historical cells: 87
Projected cells: 174</x:t>
        </x:r>
      </x:text>
    </x:comment>
    <x:comment ref="B168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S004: Cash flow statement (in $ mn)
Machine ID: textron:operating-model:section:4
Component: B168:N194
Base cells: 351
Historical cells: 60
Projected cells: 120</x:t>
        </x:r>
      </x:text>
    </x:comment>
  </x:commentList>
</x:comments>
</file>

<file path=xl/comments2.xml><?xml version="1.0" encoding="utf-8"?>
<x:comments xmlns:x="http://schemas.openxmlformats.org/spreadsheetml/2006/main">
  <x:authors>
    <x:author>tc={C46DEF8F-1FA4-136C-7DB6-2AC831037C55}</x:author>
    <x:author>tc={F6582494-B009-5665-50DB-5E3594F5222F}</x:author>
    <x:author>tc={50E055E5-CEB0-9073-0D52-F4AA2A3F3F32}</x:author>
  </x:authors>
  <x:commentList>
    <x:comment ref="F3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S005: PPE schedule (in $ mn)
Machine ID: textron:schedules:section:1
Component: F3:N4
Base cells: 330
Historical cells: 5
Projected cells: 81</x:t>
        </x:r>
      </x:text>
    </x:comment>
    <x:comment ref="B6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S005: PPE schedule (in $ mn)
Machine ID: textron:schedules:section:1
Component: B6:N29
Base cells: 330
Historical cells: 5
Projected cells: 81</x:t>
        </x:r>
      </x:text>
    </x:comment>
    <x:comment ref="B3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S006: Operating lease schedule (in $ mn)
Machine ID: textron:schedules:section:2
Component: B31:N62
Base cells: 416
Historical cells: 0
Projected cells: 0</x:t>
        </x:r>
      </x:text>
    </x:comment>
  </x:commentList>
</x:comments>
</file>

<file path=xl/comments3.xml><?xml version="1.0" encoding="utf-8"?>
<x:comments xmlns:x="http://schemas.openxmlformats.org/spreadsheetml/2006/main">
  <x:authors>
    <x:author>tc={A604E599-7949-D929-D671-D996FB389218}</x:author>
  </x:authors>
  <x:commentList>
    <x:comment ref="A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S007: Growth
Machine ID: textron:dropdowns:section:1
Component: A2:B6
Base cells: 10
Historical cells: 0
Projected cells: 0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<x:sst xmlns:x="http://schemas.openxmlformats.org/spreadsheetml/2006/main">
  <x:si>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Textron Inc.| Operating model</x:t>
  </x:si>
  <x:si>
    <x:t xml:space="preserve">Operating Scenario &gt;&gt;</x:t>
  </x:si>
  <x:si>
    <x:t xml:space="preserve">Base</x:t>
  </x:si>
  <x:si>
    <x:t xml:space="preserve">Historical period</x:t>
  </x:si>
  <x:si>
    <x:t xml:space="preserve">Forecasts</x:t>
  </x:si>
  <x:si>
    <x:t xml:space="preserve">x</x:t>
  </x:si>
  <x:si>
    <x:t xml:space="preserve">Segment-wise drivers</x:t>
  </x:si>
  <x:si>
    <x:t xml:space="preserve">Textron Aviation</x:t>
  </x:si>
  <x:si>
    <x:t xml:space="preserve">Revenue ($ mn)</x:t>
  </x:si>
  <x:si>
    <x:t xml:space="preserve">% increase in revenue</x:t>
  </x:si>
  <x:si>
    <x:t xml:space="preserve">Growth</x:t>
  </x:si>
  <x:si>
    <x:t xml:space="preserve">Downside</x:t>
  </x:si>
  <x:si>
    <x:t xml:space="preserve">Extreme downside</x:t>
  </x:si>
  <x:si>
    <x:t xml:space="preserve">% Gross margin</x:t>
  </x:si>
  <x:si>
    <x:t xml:space="preserve">Bell</x:t>
  </x:si>
  <x:si>
    <x:t xml:space="preserve">Textron Systems</x:t>
  </x:si>
  <x:si>
    <x:t xml:space="preserve">Industrial</x:t>
  </x:si>
  <x:si>
    <x:t xml:space="preserve">Other income statement drivers</x:t>
  </x:si>
  <x:si>
    <x:t xml:space="preserve">SG&amp;A expenses as % of net sales</x:t>
  </x:si>
  <x:si>
    <x:t xml:space="preserve">R&amp;D expenses as % of net sales</x:t>
  </x:si>
  <x:si>
    <x:t xml:space="preserve">Other income as % of net sales</x:t>
  </x:si>
  <x:si>
    <x:t xml:space="preserve">Effective tax rate as % of income before taxes</x:t>
  </x:si>
  <x:si>
    <x:t xml:space="preserve">Balance sheet &amp; Cash flow statement drivers</x:t>
  </x:si>
  <x:si>
    <x:t xml:space="preserve">Accounts &amp; notes receiv. as % of net sales</x:t>
  </x:si>
  <x:si>
    <x:t xml:space="preserve">Inventories as % cost of sales</x:t>
  </x:si>
  <x:si>
    <x:t xml:space="preserve">Other current assets as % of net sales</x:t>
  </x:si>
  <x:si>
    <x:t xml:space="preserve">Other long term assets as % of net sales</x:t>
  </x:si>
  <x:si>
    <x:t xml:space="preserve">Accounts payable as % cost of sales</x:t>
  </x:si>
  <x:si>
    <x:t xml:space="preserve">Other current liabilities as % total Costs + Opex</x:t>
  </x:si>
  <x:si>
    <x:t xml:space="preserve">Other non-current liabilities as % total Costs + Opex</x:t>
  </x:si>
  <x:si>
    <x:t xml:space="preserve">Deferred Taxes as % book taxes</x:t>
  </x:si>
  <x:si>
    <x:t xml:space="preserve">Interest rate on debt as % of average O/S debt</x:t>
  </x:si>
  <x:si>
    <x:t xml:space="preserve">Debt repayment ($ mn)</x:t>
  </x:si>
  <x:si>
    <x:t xml:space="preserve">% income on average cash &amp; cash equivalents</x:t>
  </x:si>
  <x:si>
    <x:t xml:space="preserve">Capex ($ mn)</x:t>
  </x:si>
  <x:si>
    <x:t xml:space="preserve">Capex as % of net sales</x:t>
  </x:si>
  <x:si>
    <x:t xml:space="preserve">Useful life for PPE</x:t>
  </x:si>
  <x:si>
    <x:t xml:space="preserve">Addition to operating leases ($ mn)</x:t>
  </x:si>
  <x:si>
    <x:t xml:space="preserve">Addition to operating leases as % of net sales</x:t>
  </x:si>
  <x:si>
    <x:t xml:space="preserve">Discount rate for operating leases</x:t>
  </x:si>
  <x:si>
    <x:t xml:space="preserve">Existing operating leases - remaining life</x:t>
  </x:si>
  <x:si>
    <x:t xml:space="preserve">New operating leases - remaining life</x:t>
  </x:si>
  <x:si>
    <x:t xml:space="preserve">Impairment of goodwill ($ mn)</x:t>
  </x:si>
  <x:si>
    <x:t xml:space="preserve">Amortization of intangible assets (company guidance) ($ mn)</x:t>
  </x:si>
  <x:si>
    <x:t xml:space="preserve">Dividends paid ($ mn)</x:t>
  </x:si>
  <x:si>
    <x:t xml:space="preserve">Basic weighted-averages shares outstanding (mn)</x:t>
  </x:si>
  <x:si>
    <x:t xml:space="preserve">Dividend per share ($)</x:t>
  </x:si>
  <x:si>
    <x:t xml:space="preserve">Shares Issued / Repurchased (mn)</x:t>
  </x:si>
  <x:si>
    <x:t xml:space="preserve">Face value per share ($)</x:t>
  </x:si>
  <x:si>
    <x:t xml:space="preserve">Issue / Repurchase price ($)</x:t>
  </x:si>
  <x:si>
    <x:t xml:space="preserve">Income Statement (in $ mn)</x:t>
  </x:si>
  <x:si>
    <x:t xml:space="preserve">Net sales</x:t>
  </x:si>
  <x:si>
    <x:t xml:space="preserve">Textron eAviation</x:t>
  </x:si>
  <x:si>
    <x:t xml:space="preserve">Finance</x:t>
  </x:si>
  <x:si>
    <x:t xml:space="preserve">(-) Cost of sales</x:t>
  </x:si>
  <x:si>
    <x:t xml:space="preserve">LIFO inventory provision</x:t>
  </x:si>
  <x:si>
    <x:t xml:space="preserve">Inventory charge</x:t>
  </x:si>
  <x:si>
    <x:t xml:space="preserve">Intangible asset amortization</x:t>
  </x:si>
  <x:si>
    <x:t xml:space="preserve">Gross Margin</x:t>
  </x:si>
  <x:si>
    <x:t xml:space="preserve">(-) Selling and administrative expense</x:t>
  </x:si>
  <x:si>
    <x:t xml:space="preserve">(-) Research and development costs</x:t>
  </x:si>
  <x:si>
    <x:t xml:space="preserve">(-) Operating lease costs</x:t>
  </x:si>
  <x:si>
    <x:t xml:space="preserve">EBIT</x:t>
  </x:si>
  <x:si>
    <x:t xml:space="preserve">(+) Depreciation expense from PPE</x:t>
  </x:si>
  <x:si>
    <x:t xml:space="preserve">(+) Amortization of intangible assets</x:t>
  </x:si>
  <x:si>
    <x:t xml:space="preserve">EBITDA</x:t>
  </x:si>
  <x:si>
    <x:t xml:space="preserve">(-) Special charges</x:t>
  </x:si>
  <x:si>
    <x:t xml:space="preserve">(-) Interest expense on debt</x:t>
  </x:si>
  <x:si>
    <x:t xml:space="preserve">(+) Interest income</x:t>
  </x:si>
  <x:si>
    <x:t xml:space="preserve">(+) Non-service components of postretirement income</x:t>
  </x:si>
  <x:si>
    <x:t xml:space="preserve">Income before taxes</x:t>
  </x:si>
  <x:si>
    <x:t xml:space="preserve">(-) Income tax expense</x:t>
  </x:si>
  <x:si>
    <x:t xml:space="preserve">Income from continuing operations</x:t>
  </x:si>
  <x:si>
    <x:t xml:space="preserve">Loss from discontinued operations</x:t>
  </x:si>
  <x:si>
    <x:t xml:space="preserve">Net income</x:t>
  </x:si>
  <x:si>
    <x:t xml:space="preserve">Balance Sheet (in $ mn)</x:t>
  </x:si>
  <x:si>
    <x:t xml:space="preserve">Cash and cash equivalents</x:t>
  </x:si>
  <x:si>
    <x:t xml:space="preserve">Accounts and notes receivables</x:t>
  </x:si>
  <x:si>
    <x:t xml:space="preserve">Inventories</x:t>
  </x:si>
  <x:si>
    <x:t xml:space="preserve">Other current assets</x:t>
  </x:si>
  <x:si>
    <x:t xml:space="preserve">Total current assets</x:t>
  </x:si>
  <x:si>
    <x:t xml:space="preserve">Property, plant and equipment, net</x:t>
  </x:si>
  <x:si>
    <x:t xml:space="preserve">Goodwill</x:t>
  </x:si>
  <x:si>
    <x:t xml:space="preserve">Other intangible assets, net</x:t>
  </x:si>
  <x:si>
    <x:t xml:space="preserve">Deferred income taxes assets, net</x:t>
  </x:si>
  <x:si>
    <x:t xml:space="preserve">Operating lease assets</x:t>
  </x:si>
  <x:si>
    <x:t xml:space="preserve">Other long-term assets</x:t>
  </x:si>
  <x:si>
    <x:t xml:space="preserve">Total long term assets</x:t>
  </x:si>
  <x:si>
    <x:t xml:space="preserve">Total assets</x:t>
  </x:si>
  <x:si>
    <x:t xml:space="preserve">Accounts payable</x:t>
  </x:si>
  <x:si>
    <x:t xml:space="preserve">Other current liabilities</x:t>
  </x:si>
  <x:si>
    <x:t xml:space="preserve">Total current liabilities</x:t>
  </x:si>
  <x:si>
    <x:t xml:space="preserve">Total debt</x:t>
  </x:si>
  <x:si>
    <x:t xml:space="preserve">Operating lease liabilities</x:t>
  </x:si>
  <x:si>
    <x:t xml:space="preserve">Other non-current liabilities</x:t>
  </x:si>
  <x:si>
    <x:t xml:space="preserve">Total non-current liabilities</x:t>
  </x:si>
  <x:si>
    <x:t xml:space="preserve">Total liabilities</x:t>
  </x:si>
  <x:si>
    <x:t xml:space="preserve">Common stock</x:t>
  </x:si>
  <x:si>
    <x:t xml:space="preserve">Additional Paid-in-capital</x:t>
  </x:si>
  <x:si>
    <x:t xml:space="preserve">Retained earnings</x:t>
  </x:si>
  <x:si>
    <x:t xml:space="preserve">Treasury stock</x:t>
  </x:si>
  <x:si>
    <x:t xml:space="preserve">Accumulated other comprehensive loss</x:t>
  </x:si>
  <x:si>
    <x:t xml:space="preserve">Total equity</x:t>
  </x:si>
  <x:si>
    <x:t xml:space="preserve">Total liabilities and equity</x:t>
  </x:si>
  <x:si>
    <x:t xml:space="preserve">Check</x:t>
  </x:si>
  <x:si>
    <x:t xml:space="preserve">Cash flow statement (in $ mn)</x:t>
  </x:si>
  <x:si>
    <x:t xml:space="preserve">Consolidated net income</x:t>
  </x:si>
  <x:si>
    <x:t xml:space="preserve">(-) Asset impairments and powersports inventory charge</x:t>
  </x:si>
  <x:si>
    <x:t xml:space="preserve">(+) Depreciation and amortization</x:t>
  </x:si>
  <x:si>
    <x:t xml:space="preserve">(+/-) Deferred income taxes</x:t>
  </x:si>
  <x:si>
    <x:t xml:space="preserve">(+/-) Working capital changes</x:t>
  </x:si>
  <x:si>
    <x:t xml:space="preserve">Net cash provided by operating activities</x:t>
  </x:si>
  <x:si>
    <x:t xml:space="preserve">Investing activities:</x:t>
  </x:si>
  <x:si>
    <x:t xml:space="preserve">(-) Capital expenditures</x:t>
  </x:si>
  <x:si>
    <x:t xml:space="preserve">(+/-) Proceeds from finance receivables</x:t>
  </x:si>
  <x:si>
    <x:t xml:space="preserve">(-) Equity investees, business acquistions, divestitures</x:t>
  </x:si>
  <x:si>
    <x:t xml:space="preserve">(+/-) Other, net</x:t>
  </x:si>
  <x:si>
    <x:t xml:space="preserve">Net cash used in investing activities</x:t>
  </x:si>
  <x:si>
    <x:t xml:space="preserve">Financing activities:</x:t>
  </x:si>
  <x:si>
    <x:t xml:space="preserve">(+/-) Proceeds from borrowings</x:t>
  </x:si>
  <x:si>
    <x:t xml:space="preserve">(-) Dividend payments on common stock</x:t>
  </x:si>
  <x:si>
    <x:t xml:space="preserve">(+) Issuance / (-) Repurchase of common stock</x:t>
  </x:si>
  <x:si>
    <x:t xml:space="preserve">(+/-) Other financing activities</x:t>
  </x:si>
  <x:si>
    <x:t xml:space="preserve">Net cash (used in) provided by financing activities</x:t>
  </x:si>
  <x:si>
    <x:t xml:space="preserve">(+/-) Effect of exchange rate changes</x:t>
  </x:si>
  <x:si>
    <x:t xml:space="preserve">Cash and cash equivalents at beginning of year</x:t>
  </x:si>
  <x:si>
    <x:t xml:space="preserve">Net (decrease) increase in cash and cash equivalents</x:t>
  </x:si>
  <x:si>
    <x:t xml:space="preserve">Cash and cash equivalents at end of year</x:t>
  </x:si>
  <x:si>
    <x:t xml:space="preserve">Textron Inc. | Schedules</x:t>
  </x:si>
  <x:si>
    <x:t xml:space="preserve">Numerical year #</x:t>
  </x:si>
  <x:si>
    <x:t xml:space="preserve">PPE schedule (in $ mn)</x:t>
  </x:si>
  <x:si>
    <x:t xml:space="preserve">Opening balance</x:t>
  </x:si>
  <x:si>
    <x:t xml:space="preserve">(+) CapEx</x:t>
  </x:si>
  <x:si>
    <x:t xml:space="preserve">Closing balance</x:t>
  </x:si>
  <x:si>
    <x:t xml:space="preserve">Useful life of existing after ending of 2024</x:t>
  </x:si>
  <x:si>
    <x:t xml:space="preserve">Useful life of new assets</x:t>
  </x:si>
  <x:si>
    <x:t xml:space="preserve">Depreciation waterfall</x:t>
  </x:si>
  <x:si>
    <x:t xml:space="preserve">CAPEX</x:t>
  </x:si>
  <x:si>
    <x:t xml:space="preserve">Accumulated depreciation</x:t>
  </x:si>
  <x:si>
    <x:t xml:space="preserve">Depreciation charge for the year</x:t>
  </x:si>
  <x:si>
    <x:t xml:space="preserve">For existing assets</x:t>
  </x:si>
  <x:si>
    <x:t xml:space="preserve">For new assets</x:t>
  </x:si>
  <x:si>
    <x:t xml:space="preserve">Net PPE assets</x:t>
  </x:si>
  <x:si>
    <x:t xml:space="preserve">Operating lease schedule (in $ mn)</x:t>
  </x:si>
  <x:si>
    <x:t xml:space="preserve">Existing leases</x:t>
  </x:si>
  <x:si>
    <x:t xml:space="preserve">New leases</x:t>
  </x:si>
  <x:si>
    <x:t xml:space="preserve">Discount Rate</x:t>
  </x:si>
  <x:si>
    <x:t xml:space="preserve">Lease Term (Years)</x:t>
  </x:si>
  <x:si>
    <x:t xml:space="preserve">Operating lease asset</x:t>
  </x:si>
  <x:si>
    <x:t xml:space="preserve">Operating lease liability</x:t>
  </x:si>
  <x:si>
    <x:t xml:space="preserve">Total lease payments</x:t>
  </x:si>
  <x:si>
    <x:t xml:space="preserve">Total interest element</x:t>
  </x:si>
  <x:si>
    <x:t xml:space="preserve">Total depreciation element</x:t>
  </x:si>
  <x:si>
    <x:t xml:space="preserve">New operating leases:</x:t>
  </x:si>
  <x:si>
    <x:t xml:space="preserve">Addition</x:t>
  </x:si>
  <x:si>
    <x:t xml:space="preserve">Annual payment waterfall</x:t>
  </x:si>
  <x:si>
    <x:t xml:space="preserve">Lease Additions</x:t>
  </x:si>
  <x:si>
    <x:t xml:space="preserve">Addition of annual payment due to new leases</x:t>
  </x:si>
  <x:si>
    <x:t xml:space="preserve">Interest payments</x:t>
  </x:si>
  <x:si>
    <x:t xml:space="preserve">Addition of interest payment due to new leases</x:t>
  </x:si>
  <x:si>
    <x:t xml:space="preserve">Selected</x:t>
  </x:si>
</x:sst>
</file>

<file path=xl/styles.xml><?xml version="1.0" encoding="utf-8"?>
<x:styleSheet xmlns:x="http://schemas.openxmlformats.org/spreadsheetml/2006/main">
  <x:numFmts count="17">
    <x:numFmt numFmtId="164" formatCode="&quot;$&quot;#,##0.00_);[Red]\(&quot;$&quot;#,##0.00\)"/>
    <x:numFmt numFmtId="165" formatCode="yyyy&quot;A &quot;"/>
    <x:numFmt numFmtId="166" formatCode="yyyy&quot;E &quot;"/>
    <x:numFmt numFmtId="167" formatCode="#,##0.0%_);\(#,##0.0%\);0.0%_)"/>
    <x:numFmt numFmtId="168" formatCode="#,##0_);\(#,##0\);0_)"/>
    <x:numFmt numFmtId="169" formatCode="#,##0.0_);\(#,##0.0\);0.0_)"/>
    <x:numFmt numFmtId="170" formatCode=";;;"/>
    <x:numFmt numFmtId="171" formatCode="#,##0.000_);\(#,##0.000\);0.000_)"/>
    <x:numFmt numFmtId="172" formatCode="#,##0.00%_);\(#,##0.00%\);0.00%_)"/>
    <x:numFmt numFmtId="173" formatCode="#,##0.00_);\(#,##0.00\);0.00_)"/>
    <x:numFmt numFmtId="174" formatCode="yyyy\A_)"/>
    <x:numFmt numFmtId="175" formatCode="yyyy\F_)"/>
    <x:numFmt numFmtId="176" formatCode="#,##0.0\ &quot;years&quot;_);\(#,##0.0\);0.0_)"/>
    <x:numFmt numFmtId="177" formatCode="yyyy&quot;E&quot;_)"/>
    <x:numFmt numFmtId="178" formatCode="#,##0.0_);\(#,##0.0\);\-\ "/>
    <x:numFmt numFmtId="179" formatCode="#,##0_);\(#,##0\);\-\ "/>
    <x:numFmt numFmtId="200" formatCode="#,##0"/>
  </x:numFmts>
  <x:fonts count="23">
    <x:font>
      <x:sz val="11"/>
      <x:color theme="1"/>
      <x:name val="Aptos Narrow"/>
    </x:font>
    <x:font>
      <x:sz val="11"/>
      <x:color theme="1"/>
      <x:name val="Aptos Narrow"/>
    </x:font>
    <x:font>
      <x:sz val="11"/>
      <x:color theme="1"/>
      <x:name val="Calibri"/>
    </x:font>
    <x:font>
      <x:b/>
      <x:sz val="11"/>
      <x:color theme="1"/>
      <x:name val="Calibri"/>
    </x:font>
    <x:font>
      <x:b/>
      <x:sz val="11"/>
      <x:color theme="0"/>
      <x:name val="Calibri"/>
    </x:font>
    <x:font>
      <x:b/>
      <x:sz val="11"/>
      <x:name val="Calibri"/>
    </x:font>
    <x:font>
      <x:sz val="11"/>
      <x:name val="Calibri"/>
    </x:font>
    <x:font>
      <x:sz val="11"/>
      <x:color rgb="FF0000FF"/>
      <x:name val="Calibri"/>
    </x:font>
    <x:font>
      <x:sz val="11"/>
      <x:color rgb="FF000000"/>
      <x:name val="Calibri"/>
    </x:font>
    <x:font>
      <x:i/>
      <x:sz val="11"/>
      <x:color theme="1"/>
      <x:name val="Calibri"/>
    </x:font>
    <x:font>
      <x:b/>
      <x:sz val="11"/>
      <x:color rgb="FF000000"/>
      <x:name val="Calibri"/>
    </x:font>
    <x:font>
      <x:b/>
      <x:sz val="11"/>
      <x:color rgb="FF0000FF"/>
      <x:name val="Calibri"/>
    </x:font>
    <x:font>
      <x:b/>
      <x:sz val="16"/>
      <x:name val="Calibri"/>
    </x:font>
    <x:font>
      <x:sz val="11"/>
      <x:color rgb="FF196B24"/>
      <x:name val="Calibri"/>
    </x:font>
    <x:font>
      <x:sz val="11"/>
      <x:color rgb="FFA02B93"/>
      <x:name val="Calibri"/>
    </x:font>
    <x:font>
      <x:b/>
      <x:sz val="11"/>
      <x:color rgb="FFFF0000"/>
      <x:name val="Calibri"/>
    </x:font>
    <x:font>
      <x:i/>
      <x:sz val="11"/>
      <x:color rgb="FFFF0000"/>
      <x:name val="Calibri"/>
    </x:font>
    <x:font>
      <x:sz val="9"/>
      <x:color indexed="81"/>
      <x:name val="Tahoma"/>
    </x:font>
    <x:font>
      <x:b/>
      <x:sz val="16"/>
      <x:color rgb="FFFFFFFF"/>
      <x:name val="Aptos Narrow"/>
    </x:font>
    <x:font>
      <x:i/>
      <x:sz val="11"/>
      <x:color rgb="FF4B5563"/>
      <x:name val="Aptos Narrow"/>
    </x:font>
    <x:font>
      <x:b/>
      <x:sz val="11"/>
      <x:color rgb="FF17365D"/>
      <x:name val="Aptos Narrow"/>
    </x:font>
    <x:font>
      <x:b/>
      <x:sz val="11"/>
      <x:color rgb="FFFFFFFF"/>
      <x:name val="Aptos Narrow"/>
    </x:font>
    <x:font>
      <x:b/>
      <x:sz val="11"/>
      <x:color rgb="FF1F4E78"/>
      <x:name val="Aptos Narrow"/>
    </x:font>
  </x:fonts>
  <x:fills count="10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theme="9" tint="0.89999"/>
      </x:patternFill>
    </x:fill>
    <x:fill>
      <x:patternFill patternType="solid">
        <x:fgColor theme="9"/>
      </x:patternFill>
    </x:fill>
    <x:fill>
      <x:patternFill patternType="solid">
        <x:fgColor theme="2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5F8FC"/>
      </x:patternFill>
    </x:fill>
  </x:fills>
  <x:borders count="63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thin">
        <x:color theme="0" tint="-0.24998"/>
      </x:bottom>
    </x:border>
    <x:border>
      <x:top style="thin">
        <x:color indexed="64"/>
      </x:top>
    </x:border>
    <x:border>
      <x:top style="thin">
        <x:color indexed="64"/>
      </x:top>
      <x:bottom style="double">
        <x:color indexed="64"/>
      </x:bottom>
    </x:border>
    <x:border>
      <x:bottom style="thin">
        <x:color indexed="64"/>
      </x:bottom>
    </x:border>
    <x:border>
      <x:top style="thin">
        <x:color theme="0" tint="-0.24998"/>
      </x:top>
    </x:border>
    <x:border>
      <x:left style="thin">
        <x:color theme="0" tint="-0.24998"/>
      </x:left>
      <x:right style="thin">
        <x:color theme="0" tint="-0.24998"/>
      </x:right>
      <x:top style="thin">
        <x:color theme="0" tint="-0.24998"/>
      </x:top>
      <x:bottom style="thin">
        <x:color theme="0" tint="-0.24998"/>
      </x:bottom>
    </x:border>
    <x:border>
      <x:top style="thin">
        <x:color theme="0"/>
      </x:top>
      <x:bottom style="thin">
        <x:color theme="0" tint="-0.24998"/>
      </x:bottom>
    </x:border>
    <x:border>
      <x:right style="thin">
        <x:color theme="0"/>
      </x:right>
      <x:top style="thin">
        <x:color theme="0"/>
      </x:top>
      <x:bottom style="thin">
        <x:color theme="0" tint="-0.24998"/>
      </x:bottom>
    </x:border>
    <x:border>
      <x:right style="thin">
        <x:color theme="0"/>
      </x:right>
      <x:top style="thin">
        <x:color theme="0" tint="-0.24998"/>
      </x:top>
    </x:border>
    <x:border>
      <x:left style="dotted">
        <x:color auto="1"/>
      </x:left>
      <x:right style="dotted">
        <x:color auto="1"/>
      </x:right>
      <x:top style="dotted">
        <x:color auto="1"/>
      </x:top>
      <x:bottom style="dotted">
        <x:color auto="1"/>
      </x:bottom>
    </x:border>
    <x:border>
      <x:left style="dotted">
        <x:color indexed="64"/>
      </x:left>
      <x:right style="dotted">
        <x:color indexed="64"/>
      </x:right>
      <x:bottom style="thin">
        <x:color indexed="64"/>
      </x:bottom>
    </x:border>
    <x:border>
      <x:left style="medium">
        <x:color rgb="FF1F4E78"/>
      </x:left>
      <x:top style="medium">
        <x:color rgb="FF1F4E78"/>
      </x:top>
      <x:bottom style="thin">
        <x:color indexed="64"/>
      </x:bottom>
    </x:border>
    <x:border>
      <x:top style="medium">
        <x:color rgb="FF1F4E78"/>
      </x:top>
      <x:bottom style="thin">
        <x:color indexed="64"/>
      </x:bottom>
    </x:border>
    <x:border>
      <x:right style="medium">
        <x:color rgb="FF1F4E78"/>
      </x:right>
      <x:top style="medium">
        <x:color rgb="FF1F4E78"/>
      </x:top>
      <x:bottom style="thin">
        <x:color indexed="64"/>
      </x:bottom>
    </x:border>
    <x:border>
      <x:left style="medium">
        <x:color rgb="FF1F4E78"/>
      </x:left>
    </x:border>
    <x:border>
      <x:right style="medium">
        <x:color rgb="FF1F4E78"/>
      </x:right>
    </x:border>
    <x:border>
      <x:right style="medium">
        <x:color rgb="FF1F4E78"/>
      </x:right>
      <x:top style="thin">
        <x:color theme="0" tint="-0.24998"/>
      </x:top>
    </x:border>
    <x:border>
      <x:right style="medium">
        <x:color rgb="FF1F4E78"/>
      </x:right>
      <x:top style="thin">
        <x:color theme="0"/>
      </x:top>
      <x:bottom style="thin">
        <x:color theme="0" tint="-0.24998"/>
      </x:bottom>
    </x:border>
    <x:border>
      <x:left style="medium">
        <x:color rgb="FF1F4E78"/>
      </x:left>
      <x:bottom style="thin">
        <x:color theme="0" tint="-0.24998"/>
      </x:bottom>
    </x:border>
    <x:border>
      <x:right style="medium">
        <x:color rgb="FF1F4E78"/>
      </x:right>
      <x:bottom style="thin">
        <x:color theme="0" tint="-0.24998"/>
      </x:bottom>
    </x:border>
    <x:border>
      <x:left style="thin">
        <x:color rgb="FFB2B2B2"/>
      </x:left>
      <x:right style="medium">
        <x:color rgb="FF1F4E78"/>
      </x:right>
      <x:top style="thin">
        <x:color rgb="FFB2B2B2"/>
      </x:top>
      <x:bottom style="thin">
        <x:color rgb="FFB2B2B2"/>
      </x:bottom>
    </x:border>
    <x:border>
      <x:left style="medium">
        <x:color rgb="FF1F4E78"/>
      </x:left>
      <x:bottom style="medium">
        <x:color rgb="FF1F4E78"/>
      </x:bottom>
    </x:border>
    <x:border>
      <x:bottom style="medium">
        <x:color rgb="FF1F4E78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medium">
        <x:color rgb="FF1F4E78"/>
      </x:bottom>
    </x:border>
    <x:border>
      <x:left style="thin">
        <x:color rgb="FFB2B2B2"/>
      </x:left>
      <x:right style="medium">
        <x:color rgb="FF1F4E78"/>
      </x:right>
      <x:top style="thin">
        <x:color rgb="FFB2B2B2"/>
      </x:top>
      <x:bottom style="medium">
        <x:color rgb="FF1F4E78"/>
      </x:bottom>
    </x:border>
    <x:border>
      <x:top style="thin">
        <x:color theme="0"/>
      </x:top>
      <x:bottom style="medium">
        <x:color rgb="FF2F75B5"/>
      </x:bottom>
    </x:border>
    <x:border>
      <x:bottom style="medium">
        <x:color rgb="FF2F75B5"/>
      </x:bottom>
    </x:border>
    <x:border>
      <x:top style="thin">
        <x:color theme="0"/>
      </x:top>
      <x:bottom style="medium">
        <x:color rgb="FFED7D31"/>
      </x:bottom>
    </x:border>
    <x:border>
      <x:bottom style="medium">
        <x:color rgb="FFED7D3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medium">
        <x:color rgb="FFED7D31"/>
      </x:bottom>
    </x:border>
    <x:border>
      <x:left style="medium">
        <x:color rgb="FF1F4E78"/>
      </x:left>
      <x:top style="medium">
        <x:color rgb="FF1F4E78"/>
      </x:top>
    </x:border>
    <x:border>
      <x:top style="medium">
        <x:color rgb="FF1F4E78"/>
      </x:top>
    </x:border>
    <x:border>
      <x:right style="medium">
        <x:color rgb="FF1F4E78"/>
      </x:right>
      <x:top style="medium">
        <x:color rgb="FF1F4E78"/>
      </x:top>
    </x:border>
    <x:border>
      <x:left style="medium">
        <x:color rgb="FF1F4E78"/>
      </x:left>
      <x:top style="thin">
        <x:color indexed="64"/>
      </x:top>
    </x:border>
    <x:border>
      <x:right style="medium">
        <x:color rgb="FF1F4E78"/>
      </x:right>
      <x:top style="thin">
        <x:color indexed="64"/>
      </x:top>
    </x:border>
    <x:border>
      <x:left style="medium">
        <x:color rgb="FF1F4E78"/>
      </x:left>
      <x:top style="thin">
        <x:color indexed="64"/>
      </x:top>
      <x:bottom style="medium">
        <x:color rgb="FF1F4E78"/>
      </x:bottom>
    </x:border>
    <x:border>
      <x:top style="thin">
        <x:color indexed="64"/>
      </x:top>
      <x:bottom style="medium">
        <x:color rgb="FF1F4E78"/>
      </x:bottom>
    </x:border>
    <x:border>
      <x:right style="medium">
        <x:color rgb="FF1F4E78"/>
      </x:right>
      <x:top style="thin">
        <x:color indexed="64"/>
      </x:top>
      <x:bottom style="medium">
        <x:color rgb="FF1F4E78"/>
      </x:bottom>
    </x:border>
    <x:border>
      <x:top style="thin">
        <x:color indexed="64"/>
      </x:top>
      <x:bottom style="medium">
        <x:color rgb="FF2F75B5"/>
      </x:bottom>
    </x:border>
    <x:border>
      <x:top style="thin">
        <x:color indexed="64"/>
      </x:top>
      <x:bottom style="medium">
        <x:color rgb="FFED7D31"/>
      </x:bottom>
    </x:border>
    <x:border>
      <x:left style="medium">
        <x:color rgb="FF1F4E78"/>
      </x:left>
      <x:bottom style="thin">
        <x:color indexed="64"/>
      </x:bottom>
    </x:border>
    <x:border>
      <x:right style="medium">
        <x:color rgb="FF1F4E78"/>
      </x:right>
      <x:bottom style="thin">
        <x:color indexed="64"/>
      </x:bottom>
    </x:border>
    <x:border>
      <x:left style="medium">
        <x:color rgb="FF1F4E78"/>
      </x:left>
      <x:top style="thin">
        <x:color indexed="64"/>
      </x:top>
      <x:bottom style="double">
        <x:color indexed="64"/>
      </x:bottom>
    </x:border>
    <x:border>
      <x:right style="medium">
        <x:color rgb="FF1F4E78"/>
      </x:right>
      <x:top style="thin">
        <x:color indexed="64"/>
      </x:top>
      <x:bottom style="double">
        <x:color indexed="64"/>
      </x:bottom>
    </x:border>
    <x:border>
      <x:right style="medium">
        <x:color rgb="FF1F4E78"/>
      </x:right>
      <x:bottom style="medium">
        <x:color rgb="FF1F4E78"/>
      </x:bottom>
    </x:border>
    <x:border>
      <x:right style="thin">
        <x:color theme="0"/>
      </x:right>
      <x:top style="medium">
        <x:color rgb="FF1F4E78"/>
      </x:top>
    </x:border>
    <x:border>
      <x:left style="medium">
        <x:color rgb="FF1F4E78"/>
      </x:left>
      <x:top style="thin">
        <x:color theme="0"/>
      </x:top>
      <x:bottom style="medium">
        <x:color rgb="FF1F4E78"/>
      </x:bottom>
    </x:border>
    <x:border>
      <x:top style="thin">
        <x:color theme="0"/>
      </x:top>
      <x:bottom style="medium">
        <x:color rgb="FF1F4E78"/>
      </x:bottom>
    </x:border>
    <x:border>
      <x:right style="thin">
        <x:color theme="0"/>
      </x:right>
      <x:top style="thin">
        <x:color theme="0"/>
      </x:top>
      <x:bottom style="medium">
        <x:color rgb="FF1F4E78"/>
      </x:bottom>
    </x:border>
    <x:border>
      <x:right style="medium">
        <x:color rgb="FF1F4E78"/>
      </x:right>
      <x:top style="thin">
        <x:color theme="0"/>
      </x:top>
      <x:bottom style="medium">
        <x:color rgb="FF1F4E78"/>
      </x:bottom>
    </x:border>
    <x:border>
      <x:left style="medium">
        <x:color rgb="FF1F4E78"/>
      </x:left>
      <x:top style="thin">
        <x:color theme="0"/>
      </x:top>
      <x:bottom style="medium">
        <x:color rgb="FF2F75B5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medium">
        <x:color rgb="FF2F75B5"/>
      </x:bottom>
    </x:border>
    <x:border>
      <x:right style="medium">
        <x:color rgb="FF1F4E78"/>
      </x:right>
      <x:bottom style="medium">
        <x:color rgb="FFED7D31"/>
      </x:bottom>
    </x:border>
    <x:border>
      <x:bottom style="thin">
        <x:color rgb="FFD6DEE8"/>
      </x:bottom>
    </x:border>
    <x:border>
      <x:left style="medium">
        <x:color rgb="FF1F4E78"/>
      </x:left>
      <x:top style="medium">
        <x:color rgb="FF1F4E78"/>
      </x:top>
      <x:bottom style="medium">
        <x:color rgb="FF1F4E78"/>
      </x:bottom>
    </x:border>
    <x:border>
      <x:right style="medium">
        <x:color rgb="FF1F4E78"/>
      </x:right>
      <x:top style="medium">
        <x:color rgb="FF1F4E78"/>
      </x:top>
      <x:bottom style="medium">
        <x:color rgb="FF1F4E78"/>
      </x:bottom>
    </x:border>
    <x:border>
      <x:bottom style="medium">
        <x:color rgb="FF17365D"/>
      </x:bottom>
    </x:border>
    <x:border>
      <x:right style="medium">
        <x:color rgb="FF1F4E78"/>
      </x:right>
      <x:top style="thin">
        <x:color theme="0"/>
      </x:top>
      <x:bottom style="medium">
        <x:color rgb="FFED7D31"/>
      </x:bottom>
    </x:border>
    <x:border>
      <x:left style="thin">
        <x:color rgb="FFB2B2B2"/>
      </x:left>
      <x:right style="medium">
        <x:color rgb="FF1F4E78"/>
      </x:right>
      <x:top style="thin">
        <x:color rgb="FFB2B2B2"/>
      </x:top>
      <x:bottom style="medium">
        <x:color rgb="FFED7D31"/>
      </x:bottom>
    </x:border>
    <x:border>
      <x:left style="thin">
        <x:color rgb="FFB2B2B2"/>
      </x:left>
      <x:right style="medium">
        <x:color rgb="FF1F4E78"/>
      </x:right>
      <x:top style="thin">
        <x:color rgb="FFB2B2B2"/>
      </x:top>
      <x:bottom style="thin">
        <x:color indexed="64"/>
      </x:bottom>
    </x:border>
    <x:border>
      <x:right style="medium">
        <x:color rgb="FF1F4E78"/>
      </x:right>
      <x:top style="thin">
        <x:color indexed="64"/>
      </x:top>
      <x:bottom style="medium">
        <x:color rgb="FFED7D31"/>
      </x:bottom>
    </x:border>
  </x:borders>
  <x:cellStyleXfs count="2">
    <x:xf numFmtId="0" fontId="0" fillId="0" borderId="0"/>
    <x:xf numFmtId="0" fontId="1" fillId="2" borderId="1" applyNumberFormat="0" applyFont="0" applyAlignment="0" applyProtection="0"/>
  </x:cellStyleXfs>
  <x:cellXfs count="366">
    <x:xf numFmtId="0" fontId="0" fillId="0" borderId="0" xfId="0"/>
    <x:xf numFmtId="0" fontId="2" fillId="0" borderId="0" xfId="0" applyFont="1" applyAlignment="1">
      <x:alignment horizontal="left"/>
    </x:xf>
    <x:xf numFmtId="0" fontId="2" fillId="0" borderId="0" xfId="0" applyFont="1" applyAlignment="1">
      <x:alignment vertical="center"/>
    </x:xf>
    <x:xf numFmtId="0" fontId="12" fillId="0" borderId="5" xfId="0" applyFont="1" applyBorder="1" applyAlignment="1">
      <x:alignment vertical="center"/>
    </x:xf>
    <x:xf numFmtId="0" fontId="12" fillId="0" borderId="5" xfId="0" applyFont="1" applyBorder="1" applyAlignment="1">
      <x:alignment horizontal="center" vertical="center"/>
    </x:xf>
    <x:xf numFmtId="170" fontId="2" fillId="0" borderId="0" xfId="0" applyNumberFormat="1" applyFont="1" applyAlignment="1">
      <x:alignment vertical="center"/>
    </x:xf>
    <x:xf numFmtId="0" fontId="7" fillId="2" borderId="7" xfId="1" applyFont="1" applyBorder="1" applyAlignment="1">
      <x:alignment horizontal="right" vertical="center"/>
    </x:xf>
    <x:xf numFmtId="0" fontId="3" fillId="0" borderId="0" xfId="0" applyFont="1" applyAlignment="1">
      <x:alignment vertical="center"/>
    </x:xf>
    <x:xf numFmtId="0" fontId="3" fillId="0" borderId="0" xfId="0" applyFont="1" applyAlignment="1">
      <x:alignment horizontal="center" vertical="center"/>
    </x:xf>
    <x:xf numFmtId="168" fontId="3" fillId="0" borderId="0" xfId="0" applyNumberFormat="1" applyFont="1" applyAlignment="1">
      <x:alignment horizontal="right" vertical="center"/>
    </x:xf>
    <x:xf numFmtId="0" fontId="2" fillId="0" borderId="0" xfId="0" applyFont="1" applyAlignment="1">
      <x:alignment horizontal="center" vertical="center"/>
    </x:xf>
    <x:xf numFmtId="0" fontId="3" fillId="0" borderId="3" xfId="0" applyFont="1" applyBorder="1" applyAlignment="1">
      <x:alignment vertical="center"/>
    </x:xf>
    <x:xf numFmtId="168" fontId="3" fillId="0" borderId="3" xfId="0" applyNumberFormat="1" applyFont="1" applyBorder="1" applyAlignment="1">
      <x:alignment horizontal="right" vertical="center"/>
    </x:xf>
    <x:xf numFmtId="168" fontId="2" fillId="0" borderId="0" xfId="0" applyNumberFormat="1" applyFont="1" applyAlignment="1">
      <x:alignment vertical="center"/>
    </x:xf>
    <x:xf numFmtId="168" fontId="8" fillId="0" borderId="0" xfId="0" applyNumberFormat="1" applyFont="1" applyAlignment="1">
      <x:alignment horizontal="right" vertical="center"/>
    </x:xf>
    <x:xf numFmtId="169" fontId="7" fillId="2" borderId="1" xfId="1" applyNumberFormat="1" applyFont="1" applyAlignment="1">
      <x:alignment horizontal="right" vertical="center"/>
    </x:xf>
    <x:xf numFmtId="167" fontId="7" fillId="2" borderId="1" xfId="1" applyNumberFormat="1" applyFont="1" applyAlignment="1">
      <x:alignment horizontal="right" vertical="center"/>
    </x:xf>
    <x:xf numFmtId="168" fontId="2" fillId="0" borderId="0" xfId="0" applyNumberFormat="1" applyFont="1" applyAlignment="1">
      <x:alignment horizontal="right" vertical="center"/>
    </x:xf>
    <x:xf numFmtId="167" fontId="2" fillId="0" borderId="0" xfId="0" applyNumberFormat="1" applyFont="1" applyAlignment="1">
      <x:alignment horizontal="right" vertical="center"/>
    </x:xf>
    <x:xf numFmtId="169" fontId="2" fillId="0" borderId="0" xfId="0" applyNumberFormat="1" applyFont="1" applyAlignment="1">
      <x:alignment horizontal="right" vertical="center"/>
    </x:xf>
    <x:xf numFmtId="168" fontId="13" fillId="0" borderId="0" xfId="0" applyNumberFormat="1" applyFont="1" applyAlignment="1">
      <x:alignment horizontal="right" vertical="center"/>
    </x:xf>
    <x:xf numFmtId="0" fontId="3" fillId="0" borderId="4" xfId="0" applyFont="1" applyBorder="1" applyAlignment="1">
      <x:alignment vertical="center"/>
    </x:xf>
    <x:xf numFmtId="168" fontId="3" fillId="0" borderId="4" xfId="0" applyNumberFormat="1" applyFont="1" applyBorder="1" applyAlignment="1">
      <x:alignment horizontal="right" vertical="center"/>
    </x:xf>
    <x:xf numFmtId="170" fontId="9" fillId="0" borderId="0" xfId="0" applyNumberFormat="1" applyFont="1" applyAlignment="1">
      <x:alignment vertical="center"/>
    </x:xf>
    <x:xf numFmtId="0" fontId="9" fillId="0" borderId="0" xfId="0" applyFont="1" applyAlignment="1">
      <x:alignment vertical="center"/>
    </x:xf>
    <x:xf numFmtId="170" fontId="3" fillId="0" borderId="0" xfId="0" applyNumberFormat="1" applyFont="1" applyAlignment="1">
      <x:alignment vertical="center"/>
    </x:xf>
    <x:xf numFmtId="168" fontId="13" fillId="0" borderId="0" xfId="0" applyNumberFormat="1" applyFont="1" applyAlignment="1">
      <x:alignment vertical="center"/>
    </x:xf>
    <x:xf numFmtId="172" fontId="7" fillId="2" borderId="1" xfId="1" applyNumberFormat="1" applyFont="1" applyAlignment="1">
      <x:alignment horizontal="right" vertical="center"/>
    </x:xf>
    <x:xf numFmtId="0" fontId="4" fillId="0" borderId="0" xfId="0" applyFont="1" applyAlignment="1">
      <x:alignment vertical="center"/>
    </x:xf>
    <x:xf numFmtId="0" fontId="4" fillId="0" borderId="0" xfId="0" applyFont="1" applyAlignment="1">
      <x:alignment horizontal="center" vertical="center"/>
    </x:xf>
    <x:xf numFmtId="0" fontId="5" fillId="3" borderId="0" xfId="0" applyFont="1" applyFill="1" applyAlignment="1">
      <x:alignment horizontal="left" vertical="center"/>
    </x:xf>
    <x:xf numFmtId="0" fontId="6" fillId="3" borderId="0" xfId="0" applyFont="1" applyFill="1" applyAlignment="1">
      <x:alignment horizontal="centerContinuous" vertical="center"/>
    </x:xf>
    <x:xf numFmtId="0" fontId="5" fillId="3" borderId="0" xfId="0" applyFont="1" applyFill="1" applyAlignment="1">
      <x:alignment horizontal="centerContinuous" vertical="center"/>
    </x:xf>
    <x:xf numFmtId="0" fontId="6" fillId="0" borderId="0" xfId="0" applyFont="1" applyAlignment="1">
      <x:alignment vertical="center"/>
    </x:xf>
    <x:xf numFmtId="0" fontId="6" fillId="0" borderId="0" xfId="0" applyFont="1" applyAlignment="1">
      <x:alignment horizontal="center" vertical="center"/>
    </x:xf>
    <x:xf numFmtId="167" fontId="6" fillId="0" borderId="0" xfId="0" applyNumberFormat="1" applyFont="1" applyAlignment="1">
      <x:alignment horizontal="right" vertical="center"/>
    </x:xf>
    <x:xf numFmtId="165" fontId="6" fillId="0" borderId="0" xfId="0" applyNumberFormat="1" applyFont="1" applyAlignment="1">
      <x:alignment vertical="center"/>
    </x:xf>
    <x:xf numFmtId="166" fontId="6" fillId="0" borderId="0" xfId="0" applyNumberFormat="1" applyFont="1" applyAlignment="1">
      <x:alignment vertical="center"/>
    </x:xf>
    <x:xf numFmtId="168" fontId="6" fillId="0" borderId="0" xfId="0" applyNumberFormat="1" applyFont="1" applyAlignment="1">
      <x:alignment horizontal="right" vertical="center"/>
    </x:xf>
    <x:xf numFmtId="169" fontId="2" fillId="0" borderId="0" xfId="0" applyNumberFormat="1" applyFont="1" applyAlignment="1">
      <x:alignment vertical="center"/>
    </x:xf>
    <x:xf numFmtId="168" fontId="7" fillId="0" borderId="0" xfId="0" applyNumberFormat="1" applyFont="1" applyAlignment="1">
      <x:alignment horizontal="right" vertical="center"/>
    </x:xf>
    <x:xf numFmtId="168" fontId="14" fillId="0" borderId="0" xfId="0" applyNumberFormat="1" applyFont="1" applyAlignment="1">
      <x:alignment horizontal="right" vertical="center"/>
    </x:xf>
    <x:xf numFmtId="0" fontId="2" fillId="0" borderId="5" xfId="0" applyFont="1" applyBorder="1" applyAlignment="1">
      <x:alignment vertical="center"/>
    </x:xf>
    <x:xf numFmtId="168" fontId="7" fillId="0" borderId="5" xfId="0" applyNumberFormat="1" applyFont="1" applyBorder="1" applyAlignment="1">
      <x:alignment horizontal="right" vertical="center"/>
    </x:xf>
    <x:xf numFmtId="168" fontId="8" fillId="0" borderId="5" xfId="0" applyNumberFormat="1" applyFont="1" applyBorder="1" applyAlignment="1">
      <x:alignment horizontal="right" vertical="center"/>
    </x:xf>
    <x:xf numFmtId="168" fontId="10" fillId="0" borderId="0" xfId="0" applyNumberFormat="1" applyFont="1" applyAlignment="1">
      <x:alignment horizontal="right" vertical="center"/>
    </x:xf>
    <x:xf numFmtId="168" fontId="10" fillId="0" borderId="3" xfId="0" applyNumberFormat="1" applyFont="1" applyBorder="1" applyAlignment="1">
      <x:alignment horizontal="right" vertical="center"/>
    </x:xf>
    <x:xf numFmtId="168" fontId="11" fillId="0" borderId="0" xfId="0" applyNumberFormat="1" applyFont="1" applyAlignment="1">
      <x:alignment horizontal="right" vertical="center"/>
    </x:xf>
    <x:xf numFmtId="168" fontId="10" fillId="0" borderId="4" xfId="0" applyNumberFormat="1" applyFont="1" applyBorder="1" applyAlignment="1">
      <x:alignment horizontal="right" vertical="center"/>
    </x:xf>
    <x:xf numFmtId="0" fontId="6" fillId="0" borderId="0" xfId="0" applyFont="1" applyAlignment="1">
      <x:alignment horizontal="left" vertical="center"/>
    </x:xf>
    <x:xf numFmtId="0" fontId="2" fillId="0" borderId="0" xfId="0" applyFont="1" applyAlignment="1">
      <x:alignment horizontal="left" vertical="center"/>
    </x:xf>
    <x:xf numFmtId="0" fontId="4" fillId="4" borderId="10" xfId="0" applyFont="1" applyFill="1" applyBorder="1" applyAlignment="1">
      <x:alignment horizontal="centerContinuous" vertical="center"/>
    </x:xf>
    <x:xf numFmtId="0" fontId="4" fillId="4" borderId="6" xfId="0" applyFont="1" applyFill="1" applyBorder="1" applyAlignment="1">
      <x:alignment horizontal="centerContinuous" vertical="center"/>
    </x:xf>
    <x:xf numFmtId="165" fontId="4" fillId="4" borderId="8" xfId="0" applyNumberFormat="1" applyFont="1" applyFill="1" applyBorder="1" applyAlignment="1">
      <x:alignment horizontal="center" vertical="center"/>
    </x:xf>
    <x:xf numFmtId="166" fontId="4" fillId="4" borderId="8" xfId="0" applyNumberFormat="1" applyFont="1" applyFill="1" applyBorder="1" applyAlignment="1">
      <x:alignment horizontal="center" vertical="center"/>
    </x:xf>
    <x:xf numFmtId="165" fontId="4" fillId="4" borderId="9" xfId="0" applyNumberFormat="1" applyFont="1" applyFill="1" applyBorder="1" applyAlignment="1">
      <x:alignment horizontal="center" vertical="center"/>
    </x:xf>
    <x:xf numFmtId="0" fontId="3" fillId="5" borderId="2" xfId="0" applyFont="1" applyFill="1" applyBorder="1" applyAlignment="1">
      <x:alignment vertical="center"/>
    </x:xf>
    <x:xf numFmtId="168" fontId="7" fillId="2" borderId="1" xfId="1" applyNumberFormat="1" applyFont="1" applyAlignment="1">
      <x:alignment horizontal="right" vertical="center"/>
    </x:xf>
    <x:xf numFmtId="0" fontId="2" fillId="5" borderId="0" xfId="0" applyFont="1" applyFill="1" applyAlignment="1">
      <x:alignment vertical="center"/>
    </x:xf>
    <x:xf numFmtId="165" fontId="6" fillId="5" borderId="0" xfId="0" applyNumberFormat="1" applyFont="1" applyFill="1" applyAlignment="1">
      <x:alignment vertical="center"/>
    </x:xf>
    <x:xf numFmtId="168" fontId="6" fillId="5" borderId="0" xfId="0" applyNumberFormat="1" applyFont="1" applyFill="1" applyAlignment="1">
      <x:alignment horizontal="right" vertical="center"/>
    </x:xf>
    <x:xf numFmtId="174" fontId="4" fillId="0" borderId="0" xfId="0" applyNumberFormat="1" applyFont="1" applyAlignment="1">
      <x:alignment vertical="center"/>
    </x:xf>
    <x:xf numFmtId="175" fontId="15" fillId="0" borderId="0" xfId="0" applyNumberFormat="1" applyFont="1" applyAlignment="1">
      <x:alignment vertical="center"/>
    </x:xf>
    <x:xf numFmtId="9" fontId="2" fillId="0" borderId="0" xfId="0" applyNumberFormat="1" applyFont="1" applyAlignment="1">
      <x:alignment vertical="center"/>
    </x:xf>
    <x:xf numFmtId="175" fontId="2" fillId="0" borderId="0" xfId="0" applyNumberFormat="1" applyFont="1" applyAlignment="1">
      <x:alignment horizontal="left" vertical="center"/>
    </x:xf>
    <x:xf numFmtId="168" fontId="3" fillId="0" borderId="4" xfId="0" applyNumberFormat="1" applyFont="1" applyBorder="1" applyAlignment="1">
      <x:alignment vertical="center"/>
    </x:xf>
    <x:xf numFmtId="176" fontId="7" fillId="2" borderId="1" xfId="1" applyNumberFormat="1" applyFont="1" applyAlignment="1">
      <x:alignment horizontal="right" vertical="center"/>
    </x:xf>
    <x:xf numFmtId="169" fontId="3" fillId="0" borderId="0" xfId="0" applyNumberFormat="1" applyFont="1" applyAlignment="1">
      <x:alignment vertical="center"/>
    </x:xf>
    <x:xf numFmtId="174" fontId="2" fillId="0" borderId="0" xfId="0" applyNumberFormat="1" applyFont="1" applyAlignment="1">
      <x:alignment vertical="center"/>
    </x:xf>
    <x:xf numFmtId="176" fontId="13" fillId="2" borderId="1" xfId="1" applyNumberFormat="1" applyFont="1" applyAlignment="1">
      <x:alignment horizontal="right" vertical="center"/>
    </x:xf>
    <x:xf numFmtId="177" fontId="2" fillId="0" borderId="0" xfId="0" applyNumberFormat="1" applyFont="1" applyAlignment="1">
      <x:alignment horizontal="left" vertical="center"/>
    </x:xf>
    <x:xf numFmtId="0" fontId="16" fillId="0" borderId="0" xfId="0" applyFont="1" applyAlignment="1">
      <x:alignment vertical="center"/>
    </x:xf>
    <x:xf numFmtId="178" fontId="16" fillId="0" borderId="0" xfId="0" applyNumberFormat="1" applyFont="1" applyAlignment="1">
      <x:alignment horizontal="right" vertical="center"/>
    </x:xf>
    <x:xf numFmtId="0" fontId="2" fillId="0" borderId="0" xfId="0" applyFont="1"/>
    <x:xf numFmtId="168" fontId="2" fillId="0" borderId="0" xfId="0" applyNumberFormat="1" applyFont="1"/>
    <x:xf numFmtId="167" fontId="8" fillId="0" borderId="0" xfId="0" applyNumberFormat="1" applyFont="1" applyAlignment="1">
      <x:alignment horizontal="right" vertical="center"/>
    </x:xf>
    <x:xf numFmtId="169" fontId="7" fillId="0" borderId="0" xfId="0" applyNumberFormat="1" applyFont="1" applyAlignment="1">
      <x:alignment horizontal="right" vertical="center"/>
    </x:xf>
    <x:xf numFmtId="173" fontId="6" fillId="0" borderId="0" xfId="0" applyNumberFormat="1" applyFont="1" applyAlignment="1">
      <x:alignment horizontal="right" vertical="center"/>
    </x:xf>
    <x:xf numFmtId="173" fontId="7" fillId="2" borderId="1" xfId="1" applyNumberFormat="1" applyFont="1" applyAlignment="1">
      <x:alignment horizontal="right" vertical="center"/>
    </x:xf>
    <x:xf numFmtId="171" fontId="7" fillId="2" borderId="1" xfId="1" applyNumberFormat="1" applyFont="1" applyAlignment="1">
      <x:alignment horizontal="right" vertical="center"/>
    </x:xf>
    <x:xf numFmtId="172" fontId="8" fillId="0" borderId="0" xfId="0" applyNumberFormat="1" applyFont="1" applyAlignment="1">
      <x:alignment horizontal="right" vertical="center"/>
    </x:xf>
    <x:xf numFmtId="169" fontId="13" fillId="0" borderId="0" xfId="0" applyNumberFormat="1" applyFont="1" applyAlignment="1">
      <x:alignment horizontal="right" vertical="center"/>
    </x:xf>
    <x:xf numFmtId="167" fontId="7" fillId="0" borderId="0" xfId="0" applyNumberFormat="1" applyFont="1" applyAlignment="1">
      <x:alignment horizontal="right" vertical="center"/>
    </x:xf>
    <x:xf numFmtId="169" fontId="3" fillId="0" borderId="3" xfId="0" applyNumberFormat="1" applyFont="1" applyBorder="1" applyAlignment="1">
      <x:alignment vertical="center"/>
    </x:xf>
    <x:xf numFmtId="172" fontId="13" fillId="2" borderId="1" xfId="1" applyNumberFormat="1" applyFont="1" applyAlignment="1">
      <x:alignment horizontal="right" vertical="center"/>
    </x:xf>
    <x:xf numFmtId="167" fontId="3" fillId="5" borderId="2" xfId="0" applyNumberFormat="1" applyFont="1" applyFill="1" applyBorder="1" applyAlignment="1">
      <x:alignment horizontal="right" vertical="center"/>
    </x:xf>
    <x:xf numFmtId="164" fontId="2" fillId="0" borderId="0" xfId="0" applyNumberFormat="1" applyFont="1" applyAlignment="1">
      <x:alignment vertical="center"/>
    </x:xf>
    <x:xf numFmtId="179" fontId="2" fillId="0" borderId="11" xfId="0" applyNumberFormat="1" applyFont="1" applyBorder="1" applyAlignment="1">
      <x:alignment horizontal="right" vertical="center"/>
    </x:xf>
    <x:xf numFmtId="168" fontId="7" fillId="0" borderId="0" xfId="0" applyNumberFormat="1" applyFont="1" applyAlignment="1">
      <x:alignment vertical="center"/>
    </x:xf>
    <x:xf numFmtId="169" fontId="13" fillId="0" borderId="0" xfId="0" applyNumberFormat="1" applyFont="1" applyAlignment="1">
      <x:alignment vertical="center"/>
    </x:xf>
    <x:xf numFmtId="178" fontId="2" fillId="0" borderId="11" xfId="0" applyNumberFormat="1" applyFont="1" applyBorder="1" applyAlignment="1">
      <x:alignment vertical="center"/>
    </x:xf>
    <x:xf numFmtId="178" fontId="2" fillId="0" borderId="12" xfId="0" applyNumberFormat="1" applyFont="1" applyBorder="1" applyAlignment="1">
      <x:alignment vertical="center"/>
    </x:xf>
    <x:xf numFmtId="0" fontId="12" fillId="0" borderId="13" xfId="0" applyNumberFormat="1" applyFont="1" applyFill="1" applyBorder="1" applyAlignment="1">
      <x:alignment vertical="center"/>
    </x:xf>
    <x:xf numFmtId="0" fontId="12" fillId="0" borderId="14" xfId="0" applyNumberFormat="1" applyFont="1" applyFill="1" applyBorder="1" applyAlignment="1">
      <x:alignment vertical="center"/>
    </x:xf>
    <x:xf numFmtId="0" fontId="12" fillId="0" borderId="14" xfId="0" applyNumberFormat="1" applyFont="1" applyFill="1" applyBorder="1" applyAlignment="1">
      <x:alignment horizontal="center" vertical="center"/>
    </x:xf>
    <x:xf numFmtId="0" fontId="12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/>
    <x:xf numFmtId="0" fontId="0" fillId="0" borderId="0" xfId="0" applyNumberFormat="1" applyFont="1" applyFill="1" applyBorder="1"/>
    <x:xf numFmtId="0" fontId="0" fillId="0" borderId="17" xfId="0" applyNumberFormat="1" applyFont="1" applyFill="1" applyBorder="1"/>
    <x:xf numFmtId="0" fontId="3" fillId="0" borderId="16" xfId="0" applyNumberFormat="1" applyFont="1" applyFill="1" applyBorder="1" applyAlignment="1">
      <x:alignment vertical="center"/>
    </x:xf>
    <x:xf numFmtId="0" fontId="7" fillId="2" borderId="7" xfId="0" applyNumberFormat="1" applyFont="1" applyFill="1" applyBorder="1" applyAlignment="1">
      <x:alignment horizontal="right" vertical="center"/>
    </x:xf>
    <x:xf numFmtId="0" fontId="4" fillId="4" borderId="6" xfId="0" applyNumberFormat="1" applyFont="1" applyFill="1" applyBorder="1" applyAlignment="1">
      <x:alignment vertical="center"/>
    </x:xf>
    <x:xf numFmtId="0" fontId="4" fillId="4" borderId="10" xfId="0" applyNumberFormat="1" applyFont="1" applyFill="1" applyBorder="1" applyAlignment="1">
      <x:alignment vertical="center"/>
    </x:xf>
    <x:xf numFmtId="0" fontId="4" fillId="4" borderId="18" xfId="0" applyNumberFormat="1" applyFont="1" applyFill="1" applyBorder="1" applyAlignment="1">
      <x:alignment vertical="center"/>
    </x:xf>
    <x:xf numFmtId="0" fontId="4" fillId="0" borderId="16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center" vertical="center"/>
    </x:xf>
    <x:xf numFmtId="166" fontId="4" fillId="4" borderId="19" xfId="0" applyNumberFormat="1" applyFont="1" applyFill="1" applyBorder="1" applyAlignment="1">
      <x:alignment horizontal="center" vertical="center"/>
    </x:xf>
    <x:xf numFmtId="0" fontId="5" fillId="3" borderId="16" xfId="0" applyNumberFormat="1" applyFont="1" applyFill="1" applyBorder="1" applyAlignment="1">
      <x:alignment horizontal="left" vertical="center"/>
    </x:xf>
    <x:xf numFmtId="0" fontId="6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6" fillId="3" borderId="17" xfId="0" applyNumberFormat="1" applyFont="1" applyFill="1" applyBorder="1" applyAlignment="1">
      <x:alignment vertical="center"/>
    </x:xf>
    <x:xf numFmtId="0" fontId="3" fillId="5" borderId="20" xfId="0" applyNumberFormat="1" applyFont="1" applyFill="1" applyBorder="1" applyAlignment="1">
      <x:alignment vertical="center"/>
    </x:xf>
    <x:xf numFmtId="0" fontId="3" fillId="5" borderId="2" xfId="0" applyNumberFormat="1" applyFont="1" applyFill="1" applyBorder="1" applyAlignment="1">
      <x:alignment vertical="center"/>
    </x:xf>
    <x:xf numFmtId="167" fontId="3" fillId="5" borderId="21" xfId="0" applyNumberFormat="1" applyFont="1" applyFill="1" applyBorder="1" applyAlignment="1">
      <x:alignment horizontal="right" vertical="center"/>
    </x:xf>
    <x:xf numFmtId="0" fontId="6" fillId="0" borderId="16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168" fontId="8" fillId="0" borderId="0" xfId="0" applyNumberFormat="1" applyFont="1" applyFill="1" applyBorder="1" applyAlignment="1">
      <x:alignment horizontal="right" vertical="center"/>
    </x:xf>
    <x:xf numFmtId="168" fontId="6" fillId="0" borderId="0" xfId="0" applyNumberFormat="1" applyFont="1" applyFill="1" applyBorder="1" applyAlignment="1">
      <x:alignment horizontal="right" vertical="center"/>
    </x:xf>
    <x:xf numFmtId="168" fontId="6" fillId="0" borderId="17" xfId="0" applyNumberFormat="1" applyFont="1" applyFill="1" applyBorder="1" applyAlignment="1">
      <x:alignment horizontal="right" vertical="center"/>
    </x:xf>
    <x:xf numFmtId="168" fontId="13" fillId="0" borderId="0" xfId="0" applyNumberFormat="1" applyFont="1" applyFill="1" applyBorder="1" applyAlignment="1">
      <x:alignment horizontal="right" vertical="center"/>
    </x:xf>
    <x:xf numFmtId="167" fontId="8" fillId="0" borderId="0" xfId="0" applyNumberFormat="1" applyFont="1" applyFill="1" applyBorder="1" applyAlignment="1">
      <x:alignment horizontal="right" vertical="center"/>
    </x:xf>
    <x:xf numFmtId="167" fontId="6" fillId="0" borderId="0" xfId="0" applyNumberFormat="1" applyFont="1" applyFill="1" applyBorder="1" applyAlignment="1">
      <x:alignment horizontal="right" vertical="center"/>
    </x:xf>
    <x:xf numFmtId="167" fontId="6" fillId="0" borderId="17" xfId="0" applyNumberFormat="1" applyFont="1" applyFill="1" applyBorder="1" applyAlignment="1">
      <x:alignment horizontal="right" vertical="center"/>
    </x:xf>
    <x:xf numFmtId="0" fontId="6" fillId="0" borderId="16" xfId="0" applyNumberFormat="1" applyFont="1" applyFill="1" applyBorder="1" applyAlignment="1">
      <x:alignment horizontal="left" vertical="center"/>
    </x:xf>
    <x:xf numFmtId="167" fontId="7" fillId="2" borderId="1" xfId="0" applyNumberFormat="1" applyFont="1" applyFill="1" applyBorder="1" applyAlignment="1">
      <x:alignment horizontal="right" vertical="center"/>
    </x:xf>
    <x:xf numFmtId="167" fontId="7" fillId="2" borderId="22" xfId="0" applyNumberFormat="1" applyFont="1" applyFill="1" applyBorder="1" applyAlignment="1">
      <x:alignment horizontal="right" vertical="center"/>
    </x:xf>
    <x:xf numFmtId="168" fontId="2" fillId="0" borderId="0" xfId="0" applyNumberFormat="1" applyFont="1" applyFill="1" applyBorder="1"/>
    <x:xf numFmtId="165" fontId="6" fillId="0" borderId="0" xfId="0" applyNumberFormat="1" applyFont="1" applyFill="1" applyBorder="1" applyAlignment="1">
      <x:alignment vertical="center"/>
    </x:xf>
    <x:xf numFmtId="166" fontId="6" fillId="0" borderId="0" xfId="0" applyNumberFormat="1" applyFont="1" applyFill="1" applyBorder="1" applyAlignment="1">
      <x:alignment vertical="center"/>
    </x:xf>
    <x:xf numFmtId="166" fontId="6" fillId="0" borderId="17" xfId="0" applyNumberFormat="1" applyFont="1" applyFill="1" applyBorder="1" applyAlignment="1">
      <x:alignment vertical="center"/>
    </x:xf>
    <x:xf numFmtId="165" fontId="6" fillId="5" borderId="0" xfId="0" applyNumberFormat="1" applyFont="1" applyFill="1" applyBorder="1" applyAlignment="1">
      <x:alignment vertical="center"/>
    </x:xf>
    <x:xf numFmtId="169" fontId="7" fillId="2" borderId="1" xfId="0" applyNumberFormat="1" applyFont="1" applyFill="1" applyBorder="1" applyAlignment="1">
      <x:alignment horizontal="right" vertical="center"/>
    </x:xf>
    <x:xf numFmtId="169" fontId="7" fillId="2" borderId="22" xfId="0" applyNumberFormat="1" applyFont="1" applyFill="1" applyBorder="1" applyAlignment="1">
      <x:alignment horizontal="right" vertical="center"/>
    </x:xf>
    <x:xf numFmtId="176" fontId="7" fillId="2" borderId="1" xfId="0" applyNumberFormat="1" applyFont="1" applyFill="1" applyBorder="1" applyAlignment="1">
      <x:alignment horizontal="right" vertical="center"/>
    </x:xf>
    <x:xf numFmtId="168" fontId="7" fillId="0" borderId="0" xfId="0" applyNumberFormat="1" applyFont="1" applyFill="1" applyBorder="1" applyAlignment="1">
      <x:alignment horizontal="right" vertical="center"/>
    </x:xf>
    <x:xf numFmtId="172" fontId="7" fillId="2" borderId="1" xfId="0" applyNumberFormat="1" applyFont="1" applyFill="1" applyBorder="1" applyAlignment="1">
      <x:alignment horizontal="right" vertical="center"/>
    </x:xf>
    <x:xf numFmtId="168" fontId="7" fillId="2" borderId="1" xfId="0" applyNumberFormat="1" applyFont="1" applyFill="1" applyBorder="1" applyAlignment="1">
      <x:alignment horizontal="right" vertical="center"/>
    </x:xf>
    <x:xf numFmtId="168" fontId="7" fillId="2" borderId="22" xfId="0" applyNumberFormat="1" applyFont="1" applyFill="1" applyBorder="1" applyAlignment="1">
      <x:alignment horizontal="right" vertical="center"/>
    </x:xf>
    <x:xf numFmtId="168" fontId="2" fillId="0" borderId="0" xfId="0" applyNumberFormat="1" applyFont="1" applyFill="1" applyBorder="1" applyAlignment="1">
      <x:alignment horizontal="right" vertical="center"/>
    </x:xf>
    <x:xf numFmtId="168" fontId="2" fillId="0" borderId="17" xfId="0" applyNumberFormat="1" applyFont="1" applyFill="1" applyBorder="1" applyAlignment="1">
      <x:alignment horizontal="right" vertical="center"/>
    </x:xf>
    <x:xf numFmtId="169" fontId="7" fillId="0" borderId="0" xfId="0" applyNumberFormat="1" applyFont="1" applyFill="1" applyBorder="1" applyAlignment="1">
      <x:alignment horizontal="right" vertical="center"/>
    </x:xf>
    <x:xf numFmtId="169" fontId="2" fillId="0" borderId="0" xfId="0" applyNumberFormat="1" applyFont="1" applyFill="1" applyBorder="1" applyAlignment="1">
      <x:alignment vertical="center"/>
    </x:xf>
    <x:xf numFmtId="169" fontId="2" fillId="0" borderId="17" xfId="0" applyNumberFormat="1" applyFont="1" applyFill="1" applyBorder="1" applyAlignment="1">
      <x:alignment vertical="center"/>
    </x:xf>
    <x:xf numFmtId="173" fontId="6" fillId="0" borderId="0" xfId="0" applyNumberFormat="1" applyFont="1" applyFill="1" applyBorder="1" applyAlignment="1">
      <x:alignment horizontal="right" vertical="center"/>
    </x:xf>
    <x:xf numFmtId="173" fontId="7" fillId="2" borderId="1" xfId="0" applyNumberFormat="1" applyFont="1" applyFill="1" applyBorder="1" applyAlignment="1">
      <x:alignment horizontal="right" vertical="center"/>
    </x:xf>
    <x:xf numFmtId="173" fontId="7" fillId="2" borderId="22" xfId="0" applyNumberFormat="1" applyFont="1" applyFill="1" applyBorder="1" applyAlignment="1">
      <x:alignment horizontal="right" vertical="center"/>
    </x:xf>
    <x:xf numFmtId="168" fontId="6" fillId="5" borderId="0" xfId="0" applyNumberFormat="1" applyFont="1" applyFill="1" applyBorder="1" applyAlignment="1">
      <x:alignment horizontal="right" vertical="center"/>
    </x:xf>
    <x:xf numFmtId="171" fontId="7" fillId="2" borderId="1" xfId="0" applyNumberFormat="1" applyFont="1" applyFill="1" applyBorder="1" applyAlignment="1">
      <x:alignment horizontal="right" vertical="center"/>
    </x:xf>
    <x:xf numFmtId="0" fontId="6" fillId="0" borderId="23" xfId="0" applyNumberFormat="1" applyFont="1" applyFill="1" applyBorder="1" applyAlignment="1">
      <x:alignment vertical="center"/>
    </x:xf>
    <x:xf numFmtId="0" fontId="6" fillId="0" borderId="24" xfId="0" applyNumberFormat="1" applyFont="1" applyFill="1" applyBorder="1" applyAlignment="1">
      <x:alignment vertical="center"/>
    </x:xf>
    <x:xf numFmtId="0" fontId="6" fillId="0" borderId="24" xfId="0" applyNumberFormat="1" applyFont="1" applyFill="1" applyBorder="1" applyAlignment="1">
      <x:alignment horizontal="center" vertical="center"/>
    </x:xf>
    <x:xf numFmtId="168" fontId="6" fillId="5" borderId="24" xfId="0" applyNumberFormat="1" applyFont="1" applyFill="1" applyBorder="1" applyAlignment="1">
      <x:alignment horizontal="right" vertical="center"/>
    </x:xf>
    <x:xf numFmtId="168" fontId="7" fillId="2" borderId="25" xfId="0" applyNumberFormat="1" applyFont="1" applyFill="1" applyBorder="1" applyAlignment="1">
      <x:alignment horizontal="right" vertical="center"/>
    </x:xf>
    <x:xf numFmtId="169" fontId="7" fillId="2" borderId="25" xfId="0" applyNumberFormat="1" applyFont="1" applyFill="1" applyBorder="1" applyAlignment="1">
      <x:alignment horizontal="right" vertical="center"/>
    </x:xf>
    <x:xf numFmtId="169" fontId="7" fillId="2" borderId="26" xfId="0" applyNumberFormat="1" applyFont="1" applyFill="1" applyBorder="1" applyAlignment="1">
      <x:alignment horizontal="right" vertical="center"/>
    </x:xf>
    <x:xf numFmtId="165" fontId="4" fillId="4" borderId="27" xfId="0" applyNumberFormat="1" applyFont="1" applyFill="1" applyBorder="1" applyAlignment="1">
      <x:alignment horizontal="center" vertical="center"/>
    </x:xf>
    <x:xf numFmtId="168" fontId="8" fillId="0" borderId="28" xfId="0" applyNumberFormat="1" applyFont="1" applyFill="1" applyBorder="1" applyAlignment="1">
      <x:alignment horizontal="right" vertical="center"/>
    </x:xf>
    <x:xf numFmtId="167" fontId="8" fillId="0" borderId="28" xfId="0" applyNumberFormat="1" applyFont="1" applyFill="1" applyBorder="1" applyAlignment="1">
      <x:alignment horizontal="right" vertical="center"/>
    </x:xf>
    <x:xf numFmtId="167" fontId="6" fillId="0" borderId="28" xfId="0" applyNumberFormat="1" applyFont="1" applyFill="1" applyBorder="1" applyAlignment="1">
      <x:alignment horizontal="right" vertical="center"/>
    </x:xf>
    <x:xf numFmtId="168" fontId="6" fillId="0" borderId="28" xfId="0" applyNumberFormat="1" applyFont="1" applyFill="1" applyBorder="1" applyAlignment="1">
      <x:alignment horizontal="right" vertical="center"/>
    </x:xf>
    <x:xf numFmtId="168" fontId="7" fillId="0" borderId="28" xfId="0" applyNumberFormat="1" applyFont="1" applyFill="1" applyBorder="1" applyAlignment="1">
      <x:alignment horizontal="right" vertical="center"/>
    </x:xf>
    <x:xf numFmtId="169" fontId="7" fillId="0" borderId="28" xfId="0" applyNumberFormat="1" applyFont="1" applyFill="1" applyBorder="1" applyAlignment="1">
      <x:alignment horizontal="right" vertical="center"/>
    </x:xf>
    <x:xf numFmtId="173" fontId="6" fillId="0" borderId="28" xfId="0" applyNumberFormat="1" applyFont="1" applyFill="1" applyBorder="1" applyAlignment="1">
      <x:alignment horizontal="right" vertical="center"/>
    </x:xf>
    <x:xf numFmtId="166" fontId="4" fillId="4" borderId="29" xfId="0" applyNumberFormat="1" applyFont="1" applyFill="1" applyBorder="1" applyAlignment="1">
      <x:alignment horizontal="center" vertical="center"/>
    </x:xf>
    <x:xf numFmtId="168" fontId="6" fillId="0" borderId="30" xfId="0" applyNumberFormat="1" applyFont="1" applyFill="1" applyBorder="1" applyAlignment="1">
      <x:alignment horizontal="right" vertical="center"/>
    </x:xf>
    <x:xf numFmtId="167" fontId="6" fillId="0" borderId="30" xfId="0" applyNumberFormat="1" applyFont="1" applyFill="1" applyBorder="1" applyAlignment="1">
      <x:alignment horizontal="right" vertical="center"/>
    </x:xf>
    <x:xf numFmtId="167" fontId="7" fillId="2" borderId="31" xfId="0" applyNumberFormat="1" applyFont="1" applyFill="1" applyBorder="1" applyAlignment="1">
      <x:alignment horizontal="right" vertical="center"/>
    </x:xf>
    <x:xf numFmtId="169" fontId="7" fillId="2" borderId="31" xfId="0" applyNumberFormat="1" applyFont="1" applyFill="1" applyBorder="1" applyAlignment="1">
      <x:alignment horizontal="right" vertical="center"/>
    </x:xf>
    <x:xf numFmtId="176" fontId="7" fillId="2" borderId="31" xfId="0" applyNumberFormat="1" applyFont="1" applyFill="1" applyBorder="1" applyAlignment="1">
      <x:alignment horizontal="right" vertical="center"/>
    </x:xf>
    <x:xf numFmtId="172" fontId="7" fillId="2" borderId="31" xfId="0" applyNumberFormat="1" applyFont="1" applyFill="1" applyBorder="1" applyAlignment="1">
      <x:alignment horizontal="right" vertical="center"/>
    </x:xf>
    <x:xf numFmtId="168" fontId="7" fillId="2" borderId="31" xfId="0" applyNumberFormat="1" applyFont="1" applyFill="1" applyBorder="1" applyAlignment="1">
      <x:alignment horizontal="right" vertical="center"/>
    </x:xf>
    <x:xf numFmtId="168" fontId="2" fillId="0" borderId="30" xfId="0" applyNumberFormat="1" applyFont="1" applyFill="1" applyBorder="1" applyAlignment="1">
      <x:alignment horizontal="right" vertical="center"/>
    </x:xf>
    <x:xf numFmtId="169" fontId="2" fillId="0" borderId="30" xfId="0" applyNumberFormat="1" applyFont="1" applyFill="1" applyBorder="1" applyAlignment="1">
      <x:alignment vertical="center"/>
    </x:xf>
    <x:xf numFmtId="173" fontId="7" fillId="2" borderId="31" xfId="0" applyNumberFormat="1" applyFont="1" applyFill="1" applyBorder="1" applyAlignment="1">
      <x:alignment horizontal="right" vertical="center"/>
    </x:xf>
    <x:xf numFmtId="171" fontId="7" fillId="2" borderId="31" xfId="0" applyNumberFormat="1" applyFont="1" applyFill="1" applyBorder="1" applyAlignment="1">
      <x:alignment horizontal="right" vertical="center"/>
    </x:xf>
    <x:xf numFmtId="0" fontId="5" fillId="3" borderId="32" xfId="0" applyNumberFormat="1" applyFont="1" applyFill="1" applyBorder="1" applyAlignment="1">
      <x:alignment horizontal="left" vertical="center"/>
    </x:xf>
    <x:xf numFmtId="0" fontId="6" fillId="3" borderId="33" xfId="0" applyNumberFormat="1" applyFont="1" applyFill="1" applyBorder="1" applyAlignment="1">
      <x:alignment vertical="center"/>
    </x:xf>
    <x:xf numFmtId="0" fontId="5" fillId="3" borderId="33" xfId="0" applyNumberFormat="1" applyFont="1" applyFill="1" applyBorder="1" applyAlignment="1">
      <x:alignment vertical="center"/>
    </x:xf>
    <x:xf numFmtId="0" fontId="6" fillId="3" borderId="34" xfId="0" applyNumberFormat="1" applyFont="1" applyFill="1" applyBorder="1" applyAlignment="1">
      <x:alignment vertical="center"/>
    </x:xf>
    <x:xf numFmtId="0" fontId="2" fillId="0" borderId="16" xfId="0" applyNumberFormat="1" applyFont="1" applyFill="1" applyBorder="1" applyAlignment="1">
      <x:alignment vertical="center"/>
    </x:xf>
    <x:xf numFmtId="168" fontId="8" fillId="0" borderId="17" xfId="0" applyNumberFormat="1" applyFont="1" applyFill="1" applyBorder="1" applyAlignment="1">
      <x:alignment horizontal="right" vertical="center"/>
    </x:xf>
    <x:xf numFmtId="0" fontId="2" fillId="0" borderId="16" xfId="0" applyNumberFormat="1" applyFont="1" applyFill="1" applyBorder="1" applyAlignment="1">
      <x:alignment horizontal="left" vertical="center"/>
    </x:xf>
    <x:xf numFmtId="168" fontId="7" fillId="0" borderId="17" xfId="0" applyNumberFormat="1" applyFont="1" applyFill="1" applyBorder="1" applyAlignment="1">
      <x:alignment horizontal="right" vertical="center"/>
    </x:xf>
    <x:xf numFmtId="172" fontId="8" fillId="0" borderId="0" xfId="0" applyNumberFormat="1" applyFont="1" applyFill="1" applyBorder="1" applyAlignment="1">
      <x:alignment horizontal="right" vertical="center"/>
    </x:xf>
    <x:xf numFmtId="172" fontId="8" fillId="0" borderId="17" xfId="0" applyNumberFormat="1" applyFont="1" applyFill="1" applyBorder="1" applyAlignment="1">
      <x:alignment horizontal="right" vertical="center"/>
    </x:xf>
    <x:xf numFmtId="0" fontId="3" fillId="0" borderId="35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168" fontId="3" fillId="0" borderId="3" xfId="0" applyNumberFormat="1" applyFont="1" applyFill="1" applyBorder="1" applyAlignment="1">
      <x:alignment horizontal="right" vertical="center"/>
    </x:xf>
    <x:xf numFmtId="168" fontId="3" fillId="0" borderId="36" xfId="0" applyNumberFormat="1" applyFont="1" applyFill="1" applyBorder="1" applyAlignment="1">
      <x:alignment horizontal="right" vertical="center"/>
    </x:xf>
    <x:xf numFmtId="167" fontId="2" fillId="0" borderId="0" xfId="0" applyNumberFormat="1" applyFont="1" applyFill="1" applyBorder="1" applyAlignment="1">
      <x:alignment horizontal="right" vertical="center"/>
    </x:xf>
    <x:xf numFmtId="167" fontId="2" fillId="0" borderId="17" xfId="0" applyNumberFormat="1" applyFont="1" applyFill="1" applyBorder="1" applyAlignment="1">
      <x:alignment horizontal="right" vertical="center"/>
    </x:xf>
    <x:xf numFmtId="168" fontId="13" fillId="0" borderId="17" xfId="0" applyNumberFormat="1" applyFont="1" applyFill="1" applyBorder="1" applyAlignment="1">
      <x:alignment horizontal="right" vertical="center"/>
    </x:xf>
    <x:xf numFmtId="168" fontId="3" fillId="0" borderId="0" xfId="0" applyNumberFormat="1" applyFont="1" applyFill="1" applyBorder="1" applyAlignment="1">
      <x:alignment horizontal="right" vertical="center"/>
    </x:xf>
    <x:xf numFmtId="168" fontId="3" fillId="0" borderId="17" xfId="0" applyNumberFormat="1" applyFont="1" applyFill="1" applyBorder="1" applyAlignment="1">
      <x:alignment horizontal="right" vertical="center"/>
    </x:xf>
    <x:xf numFmtId="168" fontId="2" fillId="0" borderId="0" xfId="0" applyNumberFormat="1" applyFont="1" applyFill="1" applyBorder="1" applyAlignment="1">
      <x:alignment vertical="center"/>
    </x:xf>
    <x:xf numFmtId="0" fontId="3" fillId="0" borderId="37" xfId="0" applyNumberFormat="1" applyFont="1" applyFill="1" applyBorder="1" applyAlignment="1">
      <x:alignment vertical="center"/>
    </x:xf>
    <x:xf numFmtId="0" fontId="3" fillId="0" borderId="38" xfId="0" applyNumberFormat="1" applyFont="1" applyFill="1" applyBorder="1" applyAlignment="1">
      <x:alignment vertical="center"/>
    </x:xf>
    <x:xf numFmtId="168" fontId="3" fillId="0" borderId="38" xfId="0" applyNumberFormat="1" applyFont="1" applyFill="1" applyBorder="1" applyAlignment="1">
      <x:alignment horizontal="right" vertical="center"/>
    </x:xf>
    <x:xf numFmtId="168" fontId="3" fillId="0" borderId="39" xfId="0" applyNumberFormat="1" applyFont="1" applyFill="1" applyBorder="1" applyAlignment="1">
      <x:alignment horizontal="right" vertical="center"/>
    </x:xf>
    <x:xf numFmtId="168" fontId="3" fillId="0" borderId="40" xfId="0" applyNumberFormat="1" applyFont="1" applyFill="1" applyBorder="1" applyAlignment="1">
      <x:alignment horizontal="right" vertical="center"/>
    </x:xf>
    <x:xf numFmtId="168" fontId="8" fillId="0" borderId="30" xfId="0" applyNumberFormat="1" applyFont="1" applyFill="1" applyBorder="1" applyAlignment="1">
      <x:alignment horizontal="right" vertical="center"/>
    </x:xf>
    <x:xf numFmtId="168" fontId="7" fillId="0" borderId="30" xfId="0" applyNumberFormat="1" applyFont="1" applyFill="1" applyBorder="1" applyAlignment="1">
      <x:alignment horizontal="right" vertical="center"/>
    </x:xf>
    <x:xf numFmtId="168" fontId="3" fillId="0" borderId="41" xfId="0" applyNumberFormat="1" applyFont="1" applyFill="1" applyBorder="1" applyAlignment="1">
      <x:alignment horizontal="right" vertical="center"/>
    </x:xf>
    <x:xf numFmtId="168" fontId="13" fillId="0" borderId="30" xfId="0" applyNumberFormat="1" applyFont="1" applyFill="1" applyBorder="1" applyAlignment="1">
      <x:alignment horizontal="right" vertical="center"/>
    </x:xf>
    <x:xf numFmtId="0" fontId="2" fillId="0" borderId="42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168" fontId="7" fillId="0" borderId="5" xfId="0" applyNumberFormat="1" applyFont="1" applyFill="1" applyBorder="1" applyAlignment="1">
      <x:alignment horizontal="right" vertical="center"/>
    </x:xf>
    <x:xf numFmtId="168" fontId="8" fillId="0" borderId="5" xfId="0" applyNumberFormat="1" applyFont="1" applyFill="1" applyBorder="1" applyAlignment="1">
      <x:alignment horizontal="right" vertical="center"/>
    </x:xf>
    <x:xf numFmtId="168" fontId="8" fillId="0" borderId="43" xfId="0" applyNumberFormat="1" applyFont="1" applyFill="1" applyBorder="1" applyAlignment="1">
      <x:alignment horizontal="right" vertical="center"/>
    </x:xf>
    <x:xf numFmtId="0" fontId="3" fillId="0" borderId="44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168" fontId="3" fillId="0" borderId="4" xfId="0" applyNumberFormat="1" applyFont="1" applyFill="1" applyBorder="1" applyAlignment="1">
      <x:alignment horizontal="right" vertical="center"/>
    </x:xf>
    <x:xf numFmtId="168" fontId="3" fillId="0" borderId="45" xfId="0" applyNumberFormat="1" applyFont="1" applyFill="1" applyBorder="1" applyAlignment="1">
      <x:alignment horizontal="right" vertical="center"/>
    </x:xf>
    <x:xf numFmtId="168" fontId="14" fillId="0" borderId="0" xfId="0" applyNumberFormat="1" applyFont="1" applyFill="1" applyBorder="1" applyAlignment="1">
      <x:alignment horizontal="right" vertical="center"/>
    </x:xf>
    <x:xf numFmtId="168" fontId="14" fillId="0" borderId="17" xfId="0" applyNumberFormat="1" applyFont="1" applyFill="1" applyBorder="1" applyAlignment="1">
      <x:alignment horizontal="right" vertical="center"/>
    </x:xf>
    <x:xf numFmtId="0" fontId="16" fillId="0" borderId="23" xfId="0" applyNumberFormat="1" applyFont="1" applyFill="1" applyBorder="1" applyAlignment="1">
      <x:alignment vertical="center"/>
    </x:xf>
    <x:xf numFmtId="0" fontId="0" fillId="0" borderId="24" xfId="0" applyNumberFormat="1" applyFont="1" applyFill="1" applyBorder="1"/>
    <x:xf numFmtId="178" fontId="16" fillId="0" borderId="24" xfId="0" applyNumberFormat="1" applyFont="1" applyFill="1" applyBorder="1" applyAlignment="1">
      <x:alignment horizontal="right" vertical="center"/>
    </x:xf>
    <x:xf numFmtId="178" fontId="16" fillId="0" borderId="46" xfId="0" applyNumberFormat="1" applyFont="1" applyFill="1" applyBorder="1" applyAlignment="1">
      <x:alignment horizontal="right" vertical="center"/>
    </x:xf>
    <x:xf numFmtId="168" fontId="3" fillId="0" borderId="28" xfId="0" applyNumberFormat="1" applyFont="1" applyFill="1" applyBorder="1" applyAlignment="1">
      <x:alignment horizontal="right" vertical="center"/>
    </x:xf>
    <x:xf numFmtId="178" fontId="16" fillId="0" borderId="28" xfId="0" applyNumberFormat="1" applyFont="1" applyFill="1" applyBorder="1" applyAlignment="1">
      <x:alignment horizontal="right" vertical="center"/>
    </x:xf>
    <x:xf numFmtId="168" fontId="3" fillId="0" borderId="30" xfId="0" applyNumberFormat="1" applyFont="1" applyFill="1" applyBorder="1" applyAlignment="1">
      <x:alignment horizontal="right" vertical="center"/>
    </x:xf>
    <x:xf numFmtId="168" fontId="14" fillId="0" borderId="30" xfId="0" applyNumberFormat="1" applyFont="1" applyFill="1" applyBorder="1" applyAlignment="1">
      <x:alignment horizontal="right" vertical="center"/>
    </x:xf>
    <x:xf numFmtId="178" fontId="16" fillId="0" borderId="30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 applyAlignment="1">
      <x:alignment vertical="center"/>
    </x:xf>
    <x:xf numFmtId="168" fontId="10" fillId="0" borderId="0" xfId="0" applyNumberFormat="1" applyFont="1" applyFill="1" applyBorder="1" applyAlignment="1">
      <x:alignment horizontal="right" vertical="center"/>
    </x:xf>
    <x:xf numFmtId="168" fontId="10" fillId="0" borderId="17" xfId="0" applyNumberFormat="1" applyFont="1" applyFill="1" applyBorder="1" applyAlignment="1">
      <x:alignment horizontal="right" vertical="center"/>
    </x:xf>
    <x:xf numFmtId="168" fontId="10" fillId="0" borderId="3" xfId="0" applyNumberFormat="1" applyFont="1" applyFill="1" applyBorder="1" applyAlignment="1">
      <x:alignment horizontal="right" vertical="center"/>
    </x:xf>
    <x:xf numFmtId="168" fontId="10" fillId="0" borderId="36" xfId="0" applyNumberFormat="1" applyFont="1" applyFill="1" applyBorder="1" applyAlignment="1">
      <x:alignment horizontal="right" vertical="center"/>
    </x:xf>
    <x:xf numFmtId="168" fontId="11" fillId="0" borderId="0" xfId="0" applyNumberFormat="1" applyFont="1" applyFill="1" applyBorder="1" applyAlignment="1">
      <x:alignment horizontal="right" vertical="center"/>
    </x:xf>
    <x:xf numFmtId="168" fontId="11" fillId="0" borderId="17" xfId="0" applyNumberFormat="1" applyFont="1" applyFill="1" applyBorder="1" applyAlignment="1">
      <x:alignment horizontal="right" vertical="center"/>
    </x:xf>
    <x:xf numFmtId="168" fontId="10" fillId="0" borderId="38" xfId="0" applyNumberFormat="1" applyFont="1" applyFill="1" applyBorder="1" applyAlignment="1">
      <x:alignment horizontal="right" vertical="center"/>
    </x:xf>
    <x:xf numFmtId="168" fontId="10" fillId="0" borderId="39" xfId="0" applyNumberFormat="1" applyFont="1" applyFill="1" applyBorder="1" applyAlignment="1">
      <x:alignment horizontal="right" vertical="center"/>
    </x:xf>
    <x:xf numFmtId="168" fontId="10" fillId="0" borderId="28" xfId="0" applyNumberFormat="1" applyFont="1" applyFill="1" applyBorder="1" applyAlignment="1">
      <x:alignment horizontal="right" vertical="center"/>
    </x:xf>
    <x:xf numFmtId="168" fontId="10" fillId="0" borderId="40" xfId="0" applyNumberFormat="1" applyFont="1" applyFill="1" applyBorder="1" applyAlignment="1">
      <x:alignment horizontal="right" vertical="center"/>
    </x:xf>
    <x:xf numFmtId="168" fontId="10" fillId="0" borderId="30" xfId="0" applyNumberFormat="1" applyFont="1" applyFill="1" applyBorder="1" applyAlignment="1">
      <x:alignment horizontal="right" vertical="center"/>
    </x:xf>
    <x:xf numFmtId="168" fontId="10" fillId="0" borderId="41" xfId="0" applyNumberFormat="1" applyFont="1" applyFill="1" applyBorder="1" applyAlignment="1">
      <x:alignment horizontal="right" vertical="center"/>
    </x:xf>
    <x:xf numFmtId="0" fontId="4" fillId="4" borderId="32" xfId="0" applyNumberFormat="1" applyFont="1" applyFill="1" applyBorder="1" applyAlignment="1">
      <x:alignment vertical="center"/>
    </x:xf>
    <x:xf numFmtId="0" fontId="4" fillId="4" borderId="33" xfId="0" applyNumberFormat="1" applyFont="1" applyFill="1" applyBorder="1" applyAlignment="1">
      <x:alignment vertical="center"/>
    </x:xf>
    <x:xf numFmtId="0" fontId="4" fillId="4" borderId="47" xfId="0" applyNumberFormat="1" applyFont="1" applyFill="1" applyBorder="1" applyAlignment="1">
      <x:alignment vertical="center"/>
    </x:xf>
    <x:xf numFmtId="0" fontId="4" fillId="4" borderId="34" xfId="0" applyNumberFormat="1" applyFont="1" applyFill="1" applyBorder="1" applyAlignment="1">
      <x:alignment vertical="center"/>
    </x:xf>
    <x:xf numFmtId="165" fontId="4" fillId="4" borderId="48" xfId="0" applyNumberFormat="1" applyFont="1" applyFill="1" applyBorder="1" applyAlignment="1">
      <x:alignment horizontal="center" vertical="center"/>
    </x:xf>
    <x:xf numFmtId="165" fontId="4" fillId="4" borderId="49" xfId="0" applyNumberFormat="1" applyFont="1" applyFill="1" applyBorder="1" applyAlignment="1">
      <x:alignment horizontal="center" vertical="center"/>
    </x:xf>
    <x:xf numFmtId="165" fontId="4" fillId="4" borderId="50" xfId="0" applyNumberFormat="1" applyFont="1" applyFill="1" applyBorder="1" applyAlignment="1">
      <x:alignment horizontal="center" vertical="center"/>
    </x:xf>
    <x:xf numFmtId="166" fontId="4" fillId="4" borderId="49" xfId="0" applyNumberFormat="1" applyFont="1" applyFill="1" applyBorder="1" applyAlignment="1">
      <x:alignment horizontal="center" vertical="center"/>
    </x:xf>
    <x:xf numFmtId="166" fontId="4" fillId="4" borderId="5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vertical="center"/>
    </x:xf>
    <x:xf numFmtId="168" fontId="13" fillId="0" borderId="0" xfId="0" applyNumberFormat="1" applyFont="1" applyFill="1" applyBorder="1" applyAlignment="1">
      <x:alignment vertical="center"/>
    </x:xf>
    <x:xf numFmtId="168" fontId="2" fillId="0" borderId="17" xfId="0" applyNumberFormat="1" applyFont="1" applyFill="1" applyBorder="1" applyAlignment="1">
      <x:alignment vertical="center"/>
    </x:xf>
    <x:xf numFmtId="168" fontId="13" fillId="0" borderId="17" xfId="0" applyNumberFormat="1" applyFont="1" applyFill="1" applyBorder="1" applyAlignment="1">
      <x:alignment vertical="center"/>
    </x:xf>
    <x:xf numFmtId="176" fontId="13" fillId="2" borderId="1" xfId="0" applyNumberFormat="1" applyFont="1" applyFill="1" applyBorder="1" applyAlignment="1">
      <x:alignment horizontal="right" vertical="center"/>
    </x:xf>
    <x:xf numFmtId="174" fontId="4" fillId="0" borderId="0" xfId="0" applyNumberFormat="1" applyFont="1" applyFill="1" applyBorder="1" applyAlignment="1">
      <x:alignment vertical="center"/>
    </x:xf>
    <x:xf numFmtId="175" fontId="15" fillId="0" borderId="0" xfId="0" applyNumberFormat="1" applyFont="1" applyFill="1" applyBorder="1" applyAlignment="1">
      <x:alignment vertical="center"/>
    </x:xf>
    <x:xf numFmtId="175" fontId="15" fillId="0" borderId="17" xfId="0" applyNumberFormat="1" applyFont="1" applyFill="1" applyBorder="1" applyAlignment="1">
      <x:alignment vertical="center"/>
    </x:xf>
    <x:xf numFmtId="9" fontId="2" fillId="0" borderId="0" xfId="0" applyNumberFormat="1" applyFont="1" applyFill="1" applyBorder="1" applyAlignment="1">
      <x:alignment vertical="center"/>
    </x:xf>
    <x:xf numFmtId="0" fontId="2" fillId="0" borderId="17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center" vertical="center"/>
    </x:xf>
    <x:xf numFmtId="177" fontId="2" fillId="0" borderId="16" xfId="0" applyNumberFormat="1" applyFont="1" applyFill="1" applyBorder="1" applyAlignment="1">
      <x:alignment horizontal="left" vertical="center"/>
    </x:xf>
    <x:xf numFmtId="179" fontId="2" fillId="0" borderId="11" xfId="0" applyNumberFormat="1" applyFont="1" applyFill="1" applyBorder="1" applyAlignment="1">
      <x:alignment horizontal="right" vertical="center"/>
    </x:xf>
    <x:xf numFmtId="0" fontId="2" fillId="5" borderId="0" xfId="0" applyNumberFormat="1" applyFont="1" applyFill="1" applyBorder="1" applyAlignment="1">
      <x:alignment vertical="center"/>
    </x:xf>
    <x:xf numFmtId="175" fontId="2" fillId="0" borderId="16" xfId="0" applyNumberFormat="1" applyFont="1" applyFill="1" applyBorder="1" applyAlignment="1">
      <x:alignment horizontal="left" vertical="center"/>
    </x:xf>
    <x:xf numFmtId="168" fontId="7" fillId="0" borderId="0" xfId="0" applyNumberFormat="1" applyFont="1" applyFill="1" applyBorder="1" applyAlignment="1">
      <x:alignment vertical="center"/>
    </x:xf>
    <x:xf numFmtId="168" fontId="3" fillId="0" borderId="38" xfId="0" applyNumberFormat="1" applyFont="1" applyFill="1" applyBorder="1" applyAlignment="1">
      <x:alignment vertical="center"/>
    </x:xf>
    <x:xf numFmtId="168" fontId="3" fillId="0" borderId="39" xfId="0" applyNumberFormat="1" applyFont="1" applyFill="1" applyBorder="1" applyAlignment="1">
      <x:alignment vertical="center"/>
    </x:xf>
    <x:xf numFmtId="165" fontId="4" fillId="4" borderId="52" xfId="0" applyNumberFormat="1" applyFont="1" applyFill="1" applyBorder="1" applyAlignment="1">
      <x:alignment horizontal="center" vertical="center"/>
    </x:xf>
    <x:xf numFmtId="176" fontId="13" fillId="2" borderId="53" xfId="0" applyNumberFormat="1" applyFont="1" applyFill="1" applyBorder="1" applyAlignment="1">
      <x:alignment horizontal="right" vertical="center"/>
    </x:xf>
    <x:xf numFmtId="168" fontId="13" fillId="0" borderId="30" xfId="0" applyNumberFormat="1" applyFont="1" applyFill="1" applyBorder="1" applyAlignment="1">
      <x:alignment vertical="center"/>
    </x:xf>
    <x:xf numFmtId="168" fontId="2" fillId="0" borderId="30" xfId="0" applyNumberFormat="1" applyFont="1" applyFill="1" applyBorder="1" applyAlignment="1">
      <x:alignment vertical="center"/>
    </x:xf>
    <x:xf numFmtId="168" fontId="8" fillId="0" borderId="54" xfId="0" applyNumberFormat="1" applyFont="1" applyFill="1" applyBorder="1" applyAlignment="1">
      <x:alignment horizontal="right" vertical="center"/>
    </x:xf>
    <x:xf numFmtId="168" fontId="7" fillId="0" borderId="30" xfId="0" applyNumberFormat="1" applyFont="1" applyFill="1" applyBorder="1" applyAlignment="1">
      <x:alignment vertical="center"/>
    </x:xf>
    <x:xf numFmtId="168" fontId="3" fillId="0" borderId="41" xfId="0" applyNumberFormat="1" applyFont="1" applyFill="1" applyBorder="1" applyAlignment="1">
      <x:alignment vertical="center"/>
    </x:xf>
    <x:xf numFmtId="172" fontId="13" fillId="2" borderId="1" xfId="0" applyNumberFormat="1" applyFont="1" applyFill="1" applyBorder="1" applyAlignment="1">
      <x:alignment horizontal="right" vertical="center"/>
    </x:xf>
    <x:xf numFmtId="169" fontId="13" fillId="0" borderId="0" xfId="0" applyNumberFormat="1" applyFont="1" applyFill="1" applyBorder="1" applyAlignment="1">
      <x:alignment horizontal="right" vertical="center"/>
    </x:xf>
    <x:xf numFmtId="169" fontId="13" fillId="0" borderId="0" xfId="0" applyNumberFormat="1" applyFont="1" applyFill="1" applyBorder="1" applyAlignment="1">
      <x:alignment vertical="center"/>
    </x:xf>
    <x:xf numFmtId="169" fontId="2" fillId="0" borderId="0" xfId="0" applyNumberFormat="1" applyFont="1" applyFill="1" applyBorder="1" applyAlignment="1">
      <x:alignment horizontal="right" vertical="center"/>
    </x:xf>
    <x:xf numFmtId="169" fontId="13" fillId="0" borderId="17" xfId="0" applyNumberFormat="1" applyFont="1" applyFill="1" applyBorder="1" applyAlignment="1">
      <x:alignment vertical="center"/>
    </x:xf>
    <x:xf numFmtId="167" fontId="7" fillId="0" borderId="0" xfId="0" applyNumberFormat="1" applyFont="1" applyFill="1" applyBorder="1" applyAlignment="1">
      <x:alignment horizontal="right" vertical="center"/>
    </x:xf>
    <x:xf numFmtId="169" fontId="13" fillId="0" borderId="17" xfId="0" applyNumberFormat="1" applyFont="1" applyFill="1" applyBorder="1" applyAlignment="1">
      <x:alignment horizontal="right" vertical="center"/>
    </x:xf>
    <x:xf numFmtId="164" fontId="2" fillId="0" borderId="0" xfId="0" applyNumberFormat="1" applyFont="1" applyFill="1" applyBorder="1" applyAlignment="1">
      <x:alignment vertical="center"/>
    </x:xf>
    <x:xf numFmtId="178" fontId="2" fillId="0" borderId="11" xfId="0" applyNumberFormat="1" applyFont="1" applyFill="1" applyBorder="1" applyAlignment="1">
      <x:alignment vertical="center"/>
    </x:xf>
    <x:xf numFmtId="178" fontId="2" fillId="0" borderId="12" xfId="0" applyNumberFormat="1" applyFont="1" applyFill="1" applyBorder="1" applyAlignment="1">
      <x:alignment vertical="center"/>
    </x:xf>
    <x:xf numFmtId="169" fontId="3" fillId="0" borderId="3" xfId="0" applyNumberFormat="1" applyFont="1" applyFill="1" applyBorder="1" applyAlignment="1">
      <x:alignment vertical="center"/>
    </x:xf>
    <x:xf numFmtId="169" fontId="3" fillId="0" borderId="36" xfId="0" applyNumberFormat="1" applyFont="1" applyFill="1" applyBorder="1" applyAlignment="1">
      <x:alignment vertical="center"/>
    </x:xf>
    <x:xf numFmtId="169" fontId="3" fillId="0" borderId="38" xfId="0" applyNumberFormat="1" applyFont="1" applyFill="1" applyBorder="1" applyAlignment="1">
      <x:alignment vertical="center"/>
    </x:xf>
    <x:xf numFmtId="169" fontId="3" fillId="0" borderId="39" xfId="0" applyNumberFormat="1" applyFont="1" applyFill="1" applyBorder="1" applyAlignment="1">
      <x:alignment vertical="center"/>
    </x:xf>
    <x:xf numFmtId="0" fontId="0" fillId="0" borderId="32" xfId="0" applyNumberFormat="1" applyFont="1" applyFill="1" applyBorder="1"/>
    <x:xf numFmtId="0" fontId="2" fillId="0" borderId="34" xfId="0" applyNumberFormat="1" applyFont="1" applyFill="1" applyBorder="1" applyAlignment="1">
      <x:alignment horizontal="left"/>
    </x:xf>
    <x:xf numFmtId="0" fontId="2" fillId="0" borderId="17" xfId="0" applyNumberFormat="1" applyFont="1" applyFill="1" applyBorder="1" applyAlignment="1">
      <x:alignment horizontal="left"/>
    </x:xf>
    <x:xf numFmtId="0" fontId="0" fillId="0" borderId="23" xfId="0" applyNumberFormat="1" applyFont="1" applyFill="1" applyBorder="1"/>
    <x:xf numFmtId="0" fontId="0" fillId="0" borderId="46" xfId="0" applyNumberFormat="1" applyFont="1" applyFill="1" applyBorder="1"/>
    <x:xf numFmtId="0" fontId="0" fillId="6" borderId="0" xfId="0" applyNumberFormat="1" applyFont="1" applyFill="1" applyBorder="1"/>
    <x:xf numFmtId="0" fontId="18" fillId="6" borderId="0" xfId="0" applyNumberFormat="1" applyFont="1" applyFill="1" applyBorder="1"/>
    <x:xf numFmtId="0" fontId="18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19" fillId="7" borderId="0" xfId="0" applyNumberFormat="1" applyFont="1" applyFill="1" applyBorder="1"/>
    <x:xf numFmtId="0" fontId="19" fillId="7" borderId="0" xfId="0" applyNumberFormat="1" applyFont="1" applyFill="1" applyBorder="1" applyAlignment="1">
      <x:alignment wrapText="1"/>
    </x:xf>
    <x:xf numFmtId="0" fontId="19" fillId="7" borderId="0" xfId="0" applyNumberFormat="1" applyFont="1" applyFill="1" applyBorder="1" applyAlignment="1">
      <x:alignment vertical="center" wrapText="1"/>
    </x:xf>
    <x:xf numFmtId="0" fontId="20" fillId="0" borderId="0" xfId="0" applyNumberFormat="1" applyFont="1" applyFill="1" applyBorder="1"/>
    <x:xf numFmtId="0" fontId="20" fillId="0" borderId="55" xfId="0" applyNumberFormat="1" applyFont="1" applyFill="1" applyBorder="1"/>
    <x:xf numFmtId="0" fontId="0" fillId="0" borderId="56" xfId="0" applyNumberFormat="1" applyFont="1" applyFill="1" applyBorder="1"/>
    <x:xf numFmtId="0" fontId="0" fillId="0" borderId="57" xfId="0" applyNumberFormat="1" applyFont="1" applyFill="1" applyBorder="1"/>
    <x:xf numFmtId="0" fontId="0" fillId="0" borderId="28" xfId="0" applyNumberFormat="1" applyFont="1" applyFill="1" applyBorder="1"/>
    <x:xf numFmtId="0" fontId="0" fillId="0" borderId="30" xfId="0" applyNumberFormat="1" applyFont="1" applyFill="1" applyBorder="1"/>
    <x:xf numFmtId="0" fontId="0" fillId="8" borderId="0" xfId="0" applyNumberFormat="1" applyFont="1" applyFill="1" applyBorder="1"/>
    <x:xf numFmtId="0" fontId="21" fillId="8" borderId="0" xfId="0" applyNumberFormat="1" applyFont="1" applyFill="1" applyBorder="1"/>
    <x:xf numFmtId="0" fontId="21" fillId="8" borderId="58" xfId="0" applyNumberFormat="1" applyFont="1" applyFill="1" applyBorder="1"/>
    <x:xf numFmtId="0" fontId="21" fillId="8" borderId="58" xfId="0" applyNumberFormat="1" applyFont="1" applyFill="1" applyBorder="1" applyAlignment="1">
      <x:alignment horizontal="center"/>
    </x:xf>
    <x:xf numFmtId="0" fontId="21" fillId="8" borderId="58" xfId="0" applyNumberFormat="1" applyFont="1" applyFill="1" applyBorder="1" applyAlignment="1">
      <x:alignment horizontal="center" vertical="center"/>
    </x:xf>
    <x:xf numFmtId="0" fontId="0" fillId="0" borderId="55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0" fontId="0" fillId="0" borderId="55" xfId="0" applyNumberFormat="1" applyFont="1" applyFill="1" applyBorder="1" applyAlignment="1">
      <x:alignment vertical="top"/>
    </x:xf>
    <x:xf numFmtId="0" fontId="22" fillId="0" borderId="0" xfId="0" applyNumberFormat="1" applyFont="1" applyFill="1" applyBorder="1" applyAlignment="1">
      <x:alignment vertical="top"/>
    </x:xf>
    <x:xf numFmtId="0" fontId="22" fillId="0" borderId="55" xfId="0" applyNumberFormat="1" applyFont="1" applyFill="1" applyBorder="1" applyAlignment="1">
      <x:alignment vertical="top"/>
    </x:xf>
    <x:xf numFmtId="0" fontId="22" fillId="0" borderId="0" xfId="0" applyNumberFormat="1" applyFont="1" applyFill="1" applyBorder="1" applyAlignment="1">
      <x:alignment horizontal="center" vertical="top"/>
    </x:xf>
    <x:xf numFmtId="0" fontId="22" fillId="0" borderId="55" xfId="0" applyNumberFormat="1" applyFont="1" applyFill="1" applyBorder="1" applyAlignment="1">
      <x:alignment horizontal="center" vertical="top"/>
    </x:xf>
    <x:xf numFmtId="200" fontId="0" fillId="0" borderId="0" xfId="0" applyNumberFormat="1" applyFont="1" applyFill="1" applyBorder="1" applyAlignment="1">
      <x:alignment vertical="top"/>
    </x:xf>
    <x:xf numFmtId="200" fontId="0" fillId="0" borderId="55" xfId="0" applyNumberFormat="1" applyFont="1" applyFill="1" applyBorder="1" applyAlignment="1">
      <x:alignment vertical="top"/>
    </x:xf>
    <x:xf numFmtId="0" fontId="22" fillId="9" borderId="0" xfId="0" applyNumberFormat="1" applyFont="1" applyFill="1" applyBorder="1" applyAlignment="1">
      <x:alignment horizontal="center" vertical="top"/>
    </x:xf>
    <x:xf numFmtId="0" fontId="0" fillId="9" borderId="0" xfId="0" applyNumberFormat="1" applyFont="1" applyFill="1" applyBorder="1" applyAlignment="1">
      <x:alignment vertical="top"/>
    </x:xf>
    <x:xf numFmtId="200" fontId="0" fillId="9" borderId="0" xfId="0" applyNumberFormat="1" applyFont="1" applyFill="1" applyBorder="1" applyAlignment="1">
      <x:alignment vertical="top"/>
    </x:xf>
    <x:xf numFmtId="0" fontId="22" fillId="9" borderId="55" xfId="0" applyNumberFormat="1" applyFont="1" applyFill="1" applyBorder="1" applyAlignment="1">
      <x:alignment horizontal="center" vertical="top"/>
    </x:xf>
    <x:xf numFmtId="0" fontId="0" fillId="9" borderId="55" xfId="0" applyNumberFormat="1" applyFont="1" applyFill="1" applyBorder="1" applyAlignment="1">
      <x:alignment vertical="top"/>
    </x:xf>
    <x:xf numFmtId="200" fontId="0" fillId="9" borderId="55" xfId="0" applyNumberFormat="1" applyFont="1" applyFill="1" applyBorder="1" applyAlignment="1">
      <x:alignment vertical="top"/>
    </x:xf>
    <x:xf numFmtId="0" fontId="18" fillId="6" borderId="0" xfId="0" applyNumberFormat="1" applyFont="1" applyFill="1" applyBorder="1" applyAlignment="1">
      <x:alignment vertical="center" wrapText="0"/>
    </x:xf>
    <x:xf numFmtId="0" fontId="19" fillId="7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wrapText="0"/>
    </x:xf>
    <x:xf numFmtId="0" fontId="20" fillId="0" borderId="55" xfId="0" applyNumberFormat="1" applyFont="1" applyFill="1" applyBorder="1" applyAlignment="1">
      <x:alignment wrapText="0"/>
    </x:xf>
    <x:xf numFmtId="0" fontId="0" fillId="0" borderId="56" xfId="0" applyNumberFormat="1" applyFont="1" applyFill="1" applyBorder="1" applyAlignment="1">
      <x:alignment wrapText="0"/>
    </x:xf>
    <x:xf numFmtId="0" fontId="0" fillId="0" borderId="57" xfId="0" applyNumberFormat="1" applyFont="1" applyFill="1" applyBorder="1" applyAlignment="1">
      <x:alignment wrapText="0"/>
    </x:xf>
    <x:xf numFmtId="0" fontId="0" fillId="0" borderId="28" xfId="0" applyNumberFormat="1" applyFont="1" applyFill="1" applyBorder="1" applyAlignment="1">
      <x:alignment wrapText="0"/>
    </x:xf>
    <x:xf numFmtId="0" fontId="0" fillId="0" borderId="30" xfId="0" applyNumberFormat="1" applyFont="1" applyFill="1" applyBorder="1" applyAlignment="1">
      <x:alignment wrapText="0"/>
    </x:xf>
    <x:xf numFmtId="0" fontId="21" fillId="8" borderId="58" xfId="0" applyNumberFormat="1" applyFont="1" applyFill="1" applyBorder="1" applyAlignment="1">
      <x:alignment horizontal="center" vertical="center" wrapText="0"/>
    </x:xf>
    <x:xf numFmtId="0" fontId="22" fillId="9" borderId="0" xfId="0" applyNumberFormat="1" applyFont="1" applyFill="1" applyBorder="1" applyAlignment="1">
      <x:alignment horizontal="center" vertical="top" wrapText="0"/>
    </x:xf>
    <x:xf numFmtId="0" fontId="0" fillId="9" borderId="0" xfId="0" applyNumberFormat="1" applyFont="1" applyFill="1" applyBorder="1" applyAlignment="1">
      <x:alignment vertical="top" wrapText="0"/>
    </x:xf>
    <x:xf numFmtId="200" fontId="0" fillId="9" borderId="0" xfId="0" applyNumberFormat="1" applyFont="1" applyFill="1" applyBorder="1" applyAlignment="1">
      <x:alignment vertical="top" wrapText="0"/>
    </x:xf>
    <x:xf numFmtId="0" fontId="22" fillId="0" borderId="0" xfId="0" applyNumberFormat="1" applyFont="1" applyFill="1" applyBorder="1" applyAlignment="1">
      <x:alignment horizontal="center" vertical="top" wrapText="0"/>
    </x:xf>
    <x:xf numFmtId="0" fontId="0" fillId="0" borderId="0" xfId="0" applyNumberFormat="1" applyFont="1" applyFill="1" applyBorder="1" applyAlignment="1">
      <x:alignment vertical="top" wrapText="0"/>
    </x:xf>
    <x:xf numFmtId="200" fontId="0" fillId="0" borderId="0" xfId="0" applyNumberFormat="1" applyFont="1" applyFill="1" applyBorder="1" applyAlignment="1">
      <x:alignment vertical="top" wrapText="0"/>
    </x:xf>
    <x:xf numFmtId="0" fontId="22" fillId="9" borderId="55" xfId="0" applyNumberFormat="1" applyFont="1" applyFill="1" applyBorder="1" applyAlignment="1">
      <x:alignment horizontal="center" vertical="top" wrapText="0"/>
    </x:xf>
    <x:xf numFmtId="0" fontId="0" fillId="9" borderId="55" xfId="0" applyNumberFormat="1" applyFont="1" applyFill="1" applyBorder="1" applyAlignment="1">
      <x:alignment vertical="top" wrapText="0"/>
    </x:xf>
    <x:xf numFmtId="200" fontId="0" fillId="9" borderId="55" xfId="0" applyNumberFormat="1" applyFont="1" applyFill="1" applyBorder="1" applyAlignment="1">
      <x:alignment vertical="top" wrapText="0"/>
    </x:xf>
    <x:xf numFmtId="0" fontId="0" fillId="9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9" borderId="55" xfId="0" applyNumberFormat="1" applyFont="1" applyFill="1" applyBorder="1" applyAlignment="1">
      <x:alignment vertical="top" wrapText="1"/>
    </x:xf>
    <x:xf numFmtId="0" fontId="6" fillId="0" borderId="42" xfId="0" applyNumberFormat="1" applyFont="1" applyFill="1" applyBorder="1" applyAlignment="1">
      <x:alignment vertical="center"/>
    </x:xf>
    <x:xf numFmtId="166" fontId="4" fillId="4" borderId="59" xfId="0" applyNumberFormat="1" applyFont="1" applyFill="1" applyBorder="1" applyAlignment="1">
      <x:alignment horizontal="center" vertical="center"/>
    </x:xf>
    <x:xf numFmtId="168" fontId="6" fillId="0" borderId="54" xfId="0" applyNumberFormat="1" applyFont="1" applyFill="1" applyBorder="1" applyAlignment="1">
      <x:alignment horizontal="right" vertical="center"/>
    </x:xf>
    <x:xf numFmtId="167" fontId="6" fillId="0" borderId="54" xfId="0" applyNumberFormat="1" applyFont="1" applyFill="1" applyBorder="1" applyAlignment="1">
      <x:alignment horizontal="right" vertical="center"/>
    </x:xf>
    <x:xf numFmtId="167" fontId="7" fillId="2" borderId="60" xfId="0" applyNumberFormat="1" applyFont="1" applyFill="1" applyBorder="1" applyAlignment="1">
      <x:alignment horizontal="right" vertical="center"/>
    </x:xf>
    <x:xf numFmtId="169" fontId="7" fillId="2" borderId="60" xfId="0" applyNumberFormat="1" applyFont="1" applyFill="1" applyBorder="1" applyAlignment="1">
      <x:alignment horizontal="right" vertical="center"/>
    </x:xf>
    <x:xf numFmtId="168" fontId="7" fillId="2" borderId="60" xfId="0" applyNumberFormat="1" applyFont="1" applyFill="1" applyBorder="1" applyAlignment="1">
      <x:alignment horizontal="right" vertical="center"/>
    </x:xf>
    <x:xf numFmtId="168" fontId="2" fillId="0" borderId="54" xfId="0" applyNumberFormat="1" applyFont="1" applyFill="1" applyBorder="1" applyAlignment="1">
      <x:alignment horizontal="right" vertical="center"/>
    </x:xf>
    <x:xf numFmtId="169" fontId="2" fillId="0" borderId="54" xfId="0" applyNumberFormat="1" applyFont="1" applyFill="1" applyBorder="1" applyAlignment="1">
      <x:alignment vertical="center"/>
    </x:xf>
    <x:xf numFmtId="173" fontId="7" fillId="2" borderId="60" xfId="0" applyNumberFormat="1" applyFont="1" applyFill="1" applyBorder="1" applyAlignment="1">
      <x:alignment horizontal="right" vertical="center"/>
    </x:xf>
    <x:xf numFmtId="169" fontId="7" fillId="2" borderId="61" xfId="0" applyNumberFormat="1" applyFont="1" applyFill="1" applyBorder="1" applyAlignment="1">
      <x:alignment horizontal="right" vertical="center"/>
    </x:xf>
    <x:xf numFmtId="168" fontId="7" fillId="0" borderId="54" xfId="0" applyNumberFormat="1" applyFont="1" applyFill="1" applyBorder="1" applyAlignment="1">
      <x:alignment horizontal="right" vertical="center"/>
    </x:xf>
    <x:xf numFmtId="168" fontId="3" fillId="0" borderId="62" xfId="0" applyNumberFormat="1" applyFont="1" applyFill="1" applyBorder="1" applyAlignment="1">
      <x:alignment horizontal="right" vertical="center"/>
    </x:xf>
    <x:xf numFmtId="168" fontId="13" fillId="0" borderId="54" xfId="0" applyNumberFormat="1" applyFont="1" applyFill="1" applyBorder="1" applyAlignment="1">
      <x:alignment horizontal="right" vertical="center"/>
    </x:xf>
    <x:xf numFmtId="168" fontId="3" fillId="0" borderId="54" xfId="0" applyNumberFormat="1" applyFont="1" applyFill="1" applyBorder="1" applyAlignment="1">
      <x:alignment horizontal="right" vertical="center"/>
    </x:xf>
    <x:xf numFmtId="168" fontId="14" fillId="0" borderId="54" xfId="0" applyNumberFormat="1" applyFont="1" applyFill="1" applyBorder="1" applyAlignment="1">
      <x:alignment horizontal="right" vertical="center"/>
    </x:xf>
    <x:xf numFmtId="168" fontId="10" fillId="0" borderId="54" xfId="0" applyNumberFormat="1" applyFont="1" applyFill="1" applyBorder="1" applyAlignment="1">
      <x:alignment horizontal="right" vertical="center"/>
    </x:xf>
    <x:xf numFmtId="168" fontId="10" fillId="0" borderId="62" xfId="0" applyNumberFormat="1" applyFont="1" applyFill="1" applyBorder="1" applyAlignment="1">
      <x:alignment horizontal="right" vertical="center"/>
    </x:xf>
    <x:xf numFmtId="168" fontId="2" fillId="0" borderId="54" xfId="0" applyNumberFormat="1" applyFont="1" applyFill="1" applyBorder="1" applyAlignment="1">
      <x:alignment vertical="center"/>
    </x:xf>
    <x:xf numFmtId="168" fontId="13" fillId="0" borderId="54" xfId="0" applyNumberFormat="1" applyFont="1" applyFill="1" applyBorder="1" applyAlignment="1">
      <x:alignment vertical="center"/>
    </x:xf>
  </x:cellXfs>
  <x:cellStyles count="2">
    <x:cellStyle name="Normal" xfId="0"/>
    <x:cellStyle name="Note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340a8ed86049d6" /><Relationship Type="http://schemas.openxmlformats.org/officeDocument/2006/relationships/theme" Target="/xl/theme/theme1.xml" Id="Rf209db6938e74bcb" /><Relationship Type="http://schemas.openxmlformats.org/officeDocument/2006/relationships/sharedStrings" Target="/xl/sharedStrings.xml" Id="R7c1ce7666d5c423b" /><Relationship Type="http://schemas.openxmlformats.org/officeDocument/2006/relationships/worksheet" Target="/xl/worksheets/sheet1.xml" Id="R9b2c296139b94a66" /><Relationship Type="http://schemas.openxmlformats.org/officeDocument/2006/relationships/worksheet" Target="/xl/worksheets/sheet2.xml" Id="R418510ff0870407f" /><Relationship Type="http://schemas.openxmlformats.org/officeDocument/2006/relationships/worksheet" Target="/xl/worksheets/sheet3.xml" Id="R6c229ef8c37f4f76" /><Relationship Type="http://schemas.openxmlformats.org/officeDocument/2006/relationships/worksheet" Target="/xl/worksheets/sheet4.xml" Id="R01d9b1edd3c2427a" /><Relationship Type="http://schemas.microsoft.com/office/2017/10/relationships/person" Target="/xl/persons/person.xml" Id="R4fc29fe51a1b496c" /></Relationships>
</file>

<file path=xl/persons/person.xml><?xml version="1.0" encoding="utf-8"?>
<xltc:personList xmlns:xltc="http://schemas.microsoft.com/office/spreadsheetml/2018/threadedcomments">
  <xltc:person displayName="User" id="{5594D017-4D7C-45C0-A800-7D01FB531BCC}"/>
</xltc:personList>
</file>

<file path=xl/theme/theme1.xml><?xml version="1.0" encoding="utf-8"?>
<a:theme xmlns:a="http://schemas.openxmlformats.org/drawingml/2006/main" name="Office Theme">
  <a:themeElements>
    <a:clrScheme name="Fav">
      <a:dk1>
        <a:sysClr val="windowText" lastClr="000000"/>
      </a:dk1>
      <a:lt1>
        <a:sysClr val="window" lastClr="FFFFFF"/>
      </a:lt1>
      <a:dk2>
        <a:srgbClr val="00205C"/>
      </a:dk2>
      <a:lt2>
        <a:srgbClr val="E7E6E6"/>
      </a:lt2>
      <a:accent1>
        <a:srgbClr val="76236C"/>
      </a:accent1>
      <a:accent2>
        <a:srgbClr val="3F738D"/>
      </a:accent2>
      <a:accent3>
        <a:srgbClr val="FEDA2F"/>
      </a:accent3>
      <a:accent4>
        <a:srgbClr val="411315"/>
      </a:accent4>
      <a:accent5>
        <a:srgbClr val="FBA91E"/>
      </a:accent5>
      <a:accent6>
        <a:srgbClr val="09172C"/>
      </a:accent6>
      <a:hlink>
        <a:srgbClr val="00205C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Fav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1" dT="2026-08-08T05:07:06.175" personId="{5594D017-4D7C-45C0-A800-7D01FB531BCC}" id="{75FD605A-DE5D-5109-0FE0-F900DB687F7A}">
    <xltc:text>S001: Textron Inc.| Operating model
Machine ID: textron:operating-model:section:1
Component: B1:N92
Base cells: 1196
Historical cells: 99
Projected cells: 335</xltc:text>
  </xltc:threadedComment>
  <xltc:threadedComment ref="B94" dT="2026-08-08T05:07:06.182" personId="{5594D017-4D7C-45C0-A800-7D01FB531BCC}" id="{04452B28-708B-489C-805D-5C0662484319}">
    <xltc:text>S002: Income Statement (in $ mn)
Machine ID: textron:operating-model:section:2
Component: B94:N131
Base cells: 494
Historical cells: 99
Projected cells: 198</xltc:text>
  </xltc:threadedComment>
  <xltc:threadedComment ref="B133" dT="2026-08-08T05:07:06.185" personId="{5594D017-4D7C-45C0-A800-7D01FB531BCC}" id="{E5522297-EBC4-6543-C6BA-61E33E9758B6}">
    <xltc:text>S003: Balance Sheet (in $ mn)
Machine ID: textron:operating-model:section:3
Component: B133:N166
Base cells: 442
Historical cells: 87
Projected cells: 174</xltc:text>
  </xltc:threadedComment>
  <xltc:threadedComment ref="B168" dT="2026-08-08T05:07:06.188" personId="{5594D017-4D7C-45C0-A800-7D01FB531BCC}" id="{CF5CCDEC-0581-4027-815E-C7C7E8C98D0D}">
    <xltc:text>S004: Cash flow statement (in $ mn)
Machine ID: textron:operating-model:section:4
Component: B168:N194
Base cells: 351
Historical cells: 60
Projected cells: 120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F3" dT="2026-08-08T05:07:06.19" personId="{5594D017-4D7C-45C0-A800-7D01FB531BCC}" id="{C46DEF8F-1FA4-136C-7DB6-2AC831037C55}">
    <xltc:text>S005: PPE schedule (in $ mn)
Machine ID: textron:schedules:section:1
Component: F3:N4
Base cells: 330
Historical cells: 5
Projected cells: 81</xltc:text>
  </xltc:threadedComment>
  <xltc:threadedComment ref="B6" dT="2026-08-08T05:07:06.191" personId="{5594D017-4D7C-45C0-A800-7D01FB531BCC}" id="{F6582494-B009-5665-50DB-5E3594F5222F}">
    <xltc:text>S005: PPE schedule (in $ mn)
Machine ID: textron:schedules:section:1
Component: B6:N29
Base cells: 330
Historical cells: 5
Projected cells: 81</xltc:text>
  </xltc:threadedComment>
  <xltc:threadedComment ref="B31" dT="2026-08-08T05:07:06.194" personId="{5594D017-4D7C-45C0-A800-7D01FB531BCC}" id="{50E055E5-CEB0-9073-0D52-F4AA2A3F3F32}">
    <xltc:text>S006: Operating lease schedule (in $ mn)
Machine ID: textron:schedules:section:2
Component: B31:N62
Base cells: 416
Historical cells: 0
Projected cells: 0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A2" dT="2026-08-08T05:07:06.194" personId="{5594D017-4D7C-45C0-A800-7D01FB531BCC}" id="{A604E599-7949-D929-D671-D996FB389218}">
    <xltc:text>S007: Growth
Machine ID: textron:dropdowns:section:1
Component: A2:B6
Base cells: 10
Historical cells: 0
Projected cells: 0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d2b551a90fa34e8f" /><Relationship Type="http://schemas.openxmlformats.org/officeDocument/2006/relationships/vmlDrawing" Target="/xl/drawings/vmldrawing.vml" Id="R5648279e060b4d2a" /><Relationship Type="http://schemas.microsoft.com/office/2017/10/relationships/threadedComment" Target="/xl/threadedcomments/threadedcomment.xml" Id="R9d9e5145b229414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ae81a4b9045f4c65" /><Relationship Type="http://schemas.openxmlformats.org/officeDocument/2006/relationships/vmlDrawing" Target="/xl/drawings/vmldrawing2.vml" Id="R01de0ad094804784" /><Relationship Type="http://schemas.microsoft.com/office/2017/10/relationships/threadedComment" Target="/xl/threadedcomments/threadedcomment2.xml" Id="R10394216196042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1c290e70d3c14c46" /><Relationship Type="http://schemas.openxmlformats.org/officeDocument/2006/relationships/vmlDrawing" Target="/xl/drawings/vmldrawing3.vml" Id="Rc2f5283820804c24" /><Relationship Type="http://schemas.microsoft.com/office/2017/10/relationships/threadedComment" Target="/xl/threadedcomments/threadedcomment3.xml" Id="Ra16902d263db444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3.5546875" defaultRowHeight="16.200000762939453"/>
  <x:cols>
    <x:col min="1" max="1" width="1.6640625" style="5" customWidth="1"/>
    <x:col min="2" max="16384" width="13.5546875" style="2" customWidth="0"/>
  </x:cols>
  <x:sheetData>
    <x:row r="1" ht="21">
      <x:c r="B1" s="92" t="s">
        <x:v>0</x:v>
      </x:c>
      <x:c r="C1" s="93"/>
      <x:c r="D1" s="93"/>
      <x:c r="E1" s="93"/>
      <x:c r="F1" s="93"/>
      <x:c r="G1" s="93"/>
      <x:c r="H1" s="94"/>
      <x:c r="I1" s="93"/>
      <x:c r="J1" s="93"/>
      <x:c r="K1" s="93"/>
      <x:c r="L1" s="93"/>
      <x:c r="M1" s="93"/>
      <x:c r="N1" s="95"/>
    </x:row>
    <x:row r="2">
      <x:c r="B2" s="96"/>
      <x:c r="C2" s="97"/>
      <x:c r="D2" s="97"/>
      <x:c r="E2" s="97"/>
      <x:c r="F2" s="97"/>
      <x:c r="G2" s="97"/>
      <x:c r="H2" s="97"/>
      <x:c r="I2" s="97"/>
      <x:c r="J2" s="97"/>
      <x:c r="K2" s="97"/>
      <x:c r="L2" s="97"/>
      <x:c r="M2" s="97"/>
      <x:c r="N2" s="98"/>
    </x:row>
    <x:row r="3" ht="16.200000762939453" customHeight="1">
      <x:c r="B3" s="99" t="s">
        <x:v>1</x:v>
      </x:c>
      <x:c r="C3" s="97"/>
      <x:c r="D3" s="100" t="s">
        <x:v>2</x:v>
      </x:c>
      <x:c r="E3" s="97"/>
      <x:c r="F3" s="101" t="s">
        <x:v>3</x:v>
      </x:c>
      <x:c r="G3" s="101"/>
      <x:c r="H3" s="102"/>
      <x:c r="I3" s="101" t="s">
        <x:v>4</x:v>
      </x:c>
      <x:c r="J3" s="101"/>
      <x:c r="K3" s="101"/>
      <x:c r="L3" s="101"/>
      <x:c r="M3" s="101"/>
      <x:c r="N3" s="103"/>
    </x:row>
    <x:row r="4" ht="16.200000762939453" customHeight="1">
      <x:c r="B4" s="104"/>
      <x:c r="C4" s="105"/>
      <x:c r="D4" s="105"/>
      <x:c r="E4" s="106"/>
      <x:c r="F4" s="157" t="n">
        <x:f>+EOMONTH(G4,-12)</x:f>
        <x:v>44926</x:v>
      </x:c>
      <x:c r="G4" s="157" t="n">
        <x:f>+EOMONTH(H4,-12)</x:f>
        <x:v>45291</x:v>
      </x:c>
      <x:c r="H4" s="157" t="n">
        <x:f>+DATE(2024,12,31)</x:f>
        <x:v>45657</x:v>
      </x:c>
      <x:c r="I4" s="165" t="n">
        <x:f>+EOMONTH(H4,12)</x:f>
        <x:v>46022</x:v>
      </x:c>
      <x:c r="J4" s="165" t="n">
        <x:f t="shared" ref="J4:N4" si="0">+EOMONTH(I4,12)</x:f>
        <x:v>46387</x:v>
      </x:c>
      <x:c r="K4" s="165">
        <x:f t="shared" si="0"/>
        <x:v>46752</x:v>
      </x:c>
      <x:c r="L4" s="165">
        <x:f t="shared" si="0"/>
        <x:v>47118</x:v>
      </x:c>
      <x:c r="M4" s="165">
        <x:f t="shared" si="0"/>
        <x:v>47483</x:v>
      </x:c>
      <x:c r="N4" s="347">
        <x:f t="shared" si="0"/>
        <x:v>47848</x:v>
      </x:c>
    </x:row>
    <x:row r="5" ht="16.200000762939453" customHeight="1">
      <x:c r="A5" s="5" t="s">
        <x:v>5</x:v>
      </x:c>
      <x:c r="B5" s="108" t="s">
        <x:v>6</x:v>
      </x:c>
      <x:c r="C5" s="109"/>
      <x:c r="D5" s="109"/>
      <x:c r="E5" s="109"/>
      <x:c r="F5" s="109"/>
      <x:c r="G5" s="110"/>
      <x:c r="H5" s="109"/>
      <x:c r="I5" s="109"/>
      <x:c r="J5" s="109"/>
      <x:c r="K5" s="109"/>
      <x:c r="L5" s="109"/>
      <x:c r="M5" s="109"/>
      <x:c r="N5" s="111"/>
    </x:row>
    <x:row r="6" ht="16.200000762939453" customHeight="1">
      <x:c r="B6" s="112" t="s">
        <x:v>7</x:v>
      </x:c>
      <x:c r="C6" s="113"/>
      <x:c r="D6" s="113"/>
      <x:c r="E6" s="113"/>
      <x:c r="F6" s="113"/>
      <x:c r="G6" s="113"/>
      <x:c r="H6" s="113"/>
      <x:c r="I6" s="113"/>
      <x:c r="J6" s="113"/>
      <x:c r="K6" s="113"/>
      <x:c r="L6" s="113"/>
      <x:c r="M6" s="113"/>
      <x:c r="N6" s="114"/>
    </x:row>
    <x:row r="7" ht="16.200000762939453" customHeight="1">
      <x:c r="A7" s="2"/>
      <x:c r="B7" s="115" t="s">
        <x:v>8</x:v>
      </x:c>
      <x:c r="C7" s="116"/>
      <x:c r="D7" s="116"/>
      <x:c r="E7" s="117"/>
      <x:c r="F7" s="158" t="n">
        <x:f>+F96</x:f>
        <x:v>5073</x:v>
      </x:c>
      <x:c r="G7" s="158" t="n">
        <x:f t="shared" ref="G7:H7" si="1">+G96</x:f>
        <x:v>5373</x:v>
      </x:c>
      <x:c r="H7" s="158">
        <x:f t="shared" si="1"/>
        <x:v>5284</x:v>
      </x:c>
      <x:c r="I7" s="166" t="n">
        <x:f>+H7*(1+I8)</x:f>
        <x:v>5706.72</x:v>
      </x:c>
      <x:c r="J7" s="166" t="n">
        <x:f t="shared" ref="J7:N7" si="2">+I7*(1+J8)</x:f>
        <x:v>5592.5856</x:v>
      </x:c>
      <x:c r="K7" s="166">
        <x:f t="shared" si="2"/>
        <x:v>5480.7338880000007</x:v>
      </x:c>
      <x:c r="L7" s="166">
        <x:f t="shared" si="2"/>
        <x:v>5645.1559046400007</x:v>
      </x:c>
      <x:c r="M7" s="166">
        <x:f t="shared" si="2"/>
        <x:v>5758.0590227328012</x:v>
      </x:c>
      <x:c r="N7" s="348">
        <x:f t="shared" si="2"/>
        <x:v>5930.8007934147854</x:v>
      </x:c>
      <x:c r="O7" s="18"/>
      <x:c r="P7" s="18"/>
      <x:c r="Q7" s="18"/>
      <x:c r="R7" s="18"/>
      <x:c r="S7" s="18"/>
    </x:row>
    <x:row r="8" ht="16.200000762939453" customHeight="1">
      <x:c r="A8" s="2"/>
      <x:c r="B8" s="115" t="s">
        <x:v>9</x:v>
      </x:c>
      <x:c r="C8" s="116"/>
      <x:c r="D8" s="116"/>
      <x:c r="E8" s="117"/>
      <x:c r="F8" s="121"/>
      <x:c r="G8" s="159" t="n">
        <x:f>+G7/F7-1</x:f>
        <x:v>0.05913660555884093</x:v>
      </x:c>
      <x:c r="H8" s="159" t="n">
        <x:f>+H7/G7-1</x:f>
        <x:v>-0.01656430299646383</x:v>
      </x:c>
      <x:c r="I8" s="167" t="n">
        <x:f t="shared" ref="I8:N8" si="3">+CHOOSE(Scenario,I9,I10,I11,I12)</x:f>
        <x:v>0.08</x:v>
      </x:c>
      <x:c r="J8" s="167">
        <x:f t="shared" si="3"/>
        <x:v>-0.02</x:v>
      </x:c>
      <x:c r="K8" s="167">
        <x:f t="shared" si="3"/>
        <x:v>-0.02</x:v>
      </x:c>
      <x:c r="L8" s="167">
        <x:f t="shared" si="3"/>
        <x:v>0.03</x:v>
      </x:c>
      <x:c r="M8" s="167">
        <x:f t="shared" si="3"/>
        <x:v>0.02</x:v>
      </x:c>
      <x:c r="N8" s="349">
        <x:f t="shared" si="3"/>
        <x:v>0.03</x:v>
      </x:c>
      <x:c r="P8" s="18"/>
      <x:c r="Q8" s="18"/>
      <x:c r="R8" s="18"/>
      <x:c r="S8" s="18"/>
    </x:row>
    <x:row r="9" ht="16.200000762939453" customHeight="1">
      <x:c r="A9" s="2"/>
      <x:c r="B9" s="125" t="s">
        <x:v>10</x:v>
      </x:c>
      <x:c r="C9" s="116"/>
      <x:c r="D9" s="116"/>
      <x:c r="E9" s="117"/>
      <x:c r="F9" s="121"/>
      <x:c r="G9" s="121"/>
      <x:c r="H9" s="121"/>
      <x:c r="I9" s="168">
        <x:v>0.12</x:v>
      </x:c>
      <x:c r="J9" s="168">
        <x:v>0.09</x:v>
      </x:c>
      <x:c r="K9" s="168">
        <x:v>7.0000000000000007E-2</x:v>
      </x:c>
      <x:c r="L9" s="168">
        <x:v>0.05</x:v>
      </x:c>
      <x:c r="M9" s="168">
        <x:v>0.04</x:v>
      </x:c>
      <x:c r="N9" s="350">
        <x:v>0.04</x:v>
      </x:c>
      <x:c r="P9" s="18"/>
      <x:c r="Q9" s="18"/>
      <x:c r="R9" s="18"/>
      <x:c r="S9" s="18"/>
    </x:row>
    <x:row r="10" ht="16.200000762939453" customHeight="1">
      <x:c r="A10" s="2"/>
      <x:c r="B10" s="125" t="s">
        <x:v>2</x:v>
      </x:c>
      <x:c r="C10" s="116"/>
      <x:c r="D10" s="116"/>
      <x:c r="E10" s="117"/>
      <x:c r="F10" s="121"/>
      <x:c r="G10" s="121"/>
      <x:c r="H10" s="121"/>
      <x:c r="I10" s="168">
        <x:v>0.08</x:v>
      </x:c>
      <x:c r="J10" s="168">
        <x:v>-0.02</x:v>
      </x:c>
      <x:c r="K10" s="168">
        <x:v>-0.02</x:v>
      </x:c>
      <x:c r="L10" s="168">
        <x:v>0.03</x:v>
      </x:c>
      <x:c r="M10" s="168">
        <x:v>0.02</x:v>
      </x:c>
      <x:c r="N10" s="350">
        <x:v>0.03</x:v>
      </x:c>
      <x:c r="P10" s="18"/>
      <x:c r="Q10" s="18"/>
      <x:c r="R10" s="18"/>
      <x:c r="S10" s="18"/>
    </x:row>
    <x:row r="11" ht="16.200000762939453" customHeight="1">
      <x:c r="A11" s="2"/>
      <x:c r="B11" s="125" t="s">
        <x:v>11</x:v>
      </x:c>
      <x:c r="C11" s="116"/>
      <x:c r="D11" s="116"/>
      <x:c r="E11" s="117"/>
      <x:c r="F11" s="121"/>
      <x:c r="G11" s="121"/>
      <x:c r="H11" s="121"/>
      <x:c r="I11" s="168">
        <x:v>0.05</x:v>
      </x:c>
      <x:c r="J11" s="168">
        <x:v>1.4999999999999999E-2</x:v>
      </x:c>
      <x:c r="K11" s="168">
        <x:v>1.4999999999999999E-2</x:v>
      </x:c>
      <x:c r="L11" s="168">
        <x:v>0</x:v>
      </x:c>
      <x:c r="M11" s="168">
        <x:v>1.4999999999999999E-2</x:v>
      </x:c>
      <x:c r="N11" s="350">
        <x:v>1.4999999999999999E-2</x:v>
      </x:c>
      <x:c r="P11" s="18"/>
      <x:c r="Q11" s="18"/>
      <x:c r="R11" s="18"/>
      <x:c r="S11" s="18"/>
    </x:row>
    <x:row r="12" ht="16.200000762939453" customHeight="1">
      <x:c r="A12" s="2"/>
      <x:c r="B12" s="125" t="s">
        <x:v>12</x:v>
      </x:c>
      <x:c r="C12" s="116"/>
      <x:c r="D12" s="116"/>
      <x:c r="E12" s="117"/>
      <x:c r="F12" s="121"/>
      <x:c r="G12" s="121"/>
      <x:c r="H12" s="121"/>
      <x:c r="I12" s="168">
        <x:v>0.05</x:v>
      </x:c>
      <x:c r="J12" s="168">
        <x:v>0</x:v>
      </x:c>
      <x:c r="K12" s="168">
        <x:v>0</x:v>
      </x:c>
      <x:c r="L12" s="168">
        <x:v>0</x:v>
      </x:c>
      <x:c r="M12" s="168">
        <x:v>0.03</x:v>
      </x:c>
      <x:c r="N12" s="350">
        <x:v>0.03</x:v>
      </x:c>
      <x:c r="P12" s="18"/>
      <x:c r="Q12" s="18"/>
      <x:c r="R12" s="18"/>
      <x:c r="S12" s="18"/>
    </x:row>
    <x:row r="13" s="73" customFormat="1" ht="14.399999618530273">
      <x:c r="B13" s="96"/>
      <x:c r="C13" s="97"/>
      <x:c r="D13" s="97"/>
      <x:c r="E13" s="128"/>
      <x:c r="F13" s="128"/>
      <x:c r="G13" s="128"/>
      <x:c r="H13" s="97"/>
      <x:c r="I13" s="97"/>
      <x:c r="J13" s="97"/>
      <x:c r="K13" s="97"/>
      <x:c r="L13" s="97"/>
      <x:c r="M13" s="97"/>
      <x:c r="N13" s="98"/>
    </x:row>
    <x:row r="14" ht="16.200000762939453" customHeight="1">
      <x:c r="A14" s="2"/>
      <x:c r="B14" s="115" t="s">
        <x:v>13</x:v>
      </x:c>
      <x:c r="C14" s="116"/>
      <x:c r="D14" s="116"/>
      <x:c r="E14" s="117"/>
      <x:c r="F14" s="160" t="n">
        <x:f>+(F96+F104)/F96</x:f>
        <x:v>0.23023851764242065</x:v>
      </x:c>
      <x:c r="G14" s="160" t="n">
        <x:f t="shared" ref="G14:H14" si="4">+(G96+G104)/G96</x:f>
        <x:v>0.23394751535455052</x:v>
      </x:c>
      <x:c r="H14" s="160">
        <x:f t="shared" si="4"/>
        <x:v>0.22369417108251324</x:v>
      </x:c>
      <x:c r="I14" s="168">
        <x:v>0.22900000000000001</x:v>
      </x:c>
      <x:c r="J14" s="168">
        <x:v>0.22900000000000001</x:v>
      </x:c>
      <x:c r="K14" s="168">
        <x:v>0.22900000000000001</x:v>
      </x:c>
      <x:c r="L14" s="168">
        <x:v>0.22900000000000001</x:v>
      </x:c>
      <x:c r="M14" s="168">
        <x:v>0.22900000000000001</x:v>
      </x:c>
      <x:c r="N14" s="350">
        <x:v>0.22900000000000001</x:v>
      </x:c>
    </x:row>
    <x:row r="15" ht="16.200000762939453" customHeight="1">
      <x:c r="A15" s="2"/>
      <x:c r="B15" s="115"/>
      <x:c r="C15" s="116"/>
      <x:c r="D15" s="116"/>
      <x:c r="E15" s="117"/>
      <x:c r="F15" s="129"/>
      <x:c r="G15" s="129"/>
      <x:c r="H15" s="129"/>
      <x:c r="I15" s="130"/>
      <x:c r="J15" s="130"/>
      <x:c r="K15" s="130"/>
      <x:c r="L15" s="130"/>
      <x:c r="M15" s="130"/>
      <x:c r="N15" s="131"/>
    </x:row>
    <x:row r="16" ht="16.200000762939453" customHeight="1">
      <x:c r="B16" s="112" t="s">
        <x:v>14</x:v>
      </x:c>
      <x:c r="C16" s="113"/>
      <x:c r="D16" s="113"/>
      <x:c r="E16" s="113"/>
      <x:c r="F16" s="113"/>
      <x:c r="G16" s="113"/>
      <x:c r="H16" s="113"/>
      <x:c r="I16" s="113"/>
      <x:c r="J16" s="113"/>
      <x:c r="K16" s="113"/>
      <x:c r="L16" s="113"/>
      <x:c r="M16" s="113"/>
      <x:c r="N16" s="114"/>
    </x:row>
    <x:row r="17" ht="16.200000762939453" customHeight="1">
      <x:c r="A17" s="2"/>
      <x:c r="B17" s="115" t="s">
        <x:v>8</x:v>
      </x:c>
      <x:c r="C17" s="116"/>
      <x:c r="D17" s="116"/>
      <x:c r="E17" s="117"/>
      <x:c r="F17" s="158" t="n">
        <x:f>+F97</x:f>
        <x:v>3091</x:v>
      </x:c>
      <x:c r="G17" s="158" t="n">
        <x:f t="shared" ref="G17:H17" si="5">+G97</x:f>
        <x:v>3147</x:v>
      </x:c>
      <x:c r="H17" s="158">
        <x:f t="shared" si="5"/>
        <x:v>3579</x:v>
      </x:c>
      <x:c r="I17" s="166" t="n">
        <x:f>+H17*(1+I18)</x:f>
        <x:v>4008.4800000000005</x:v>
      </x:c>
      <x:c r="J17" s="166" t="n">
        <x:f t="shared" ref="J17" si="6">+I17*(1+J18)</x:f>
        <x:v>4008.4800000000005</x:v>
      </x:c>
      <x:c r="K17" s="166" t="n">
        <x:f t="shared" ref="K17" si="7">+J17*(1+K18)</x:f>
        <x:v>3928.3104000000003</x:v>
      </x:c>
      <x:c r="L17" s="166" t="n">
        <x:f t="shared" ref="L17" si="8">+K17*(1+L18)</x:f>
        <x:v>3849.744192</x:v>
      </x:c>
      <x:c r="M17" s="166" t="n">
        <x:f t="shared" ref="M17" si="9">+L17*(1+M18)</x:f>
        <x:v>3849.744192</x:v>
      </x:c>
      <x:c r="N17" s="348" t="n">
        <x:f t="shared" ref="N17" si="10">+M17*(1+N18)</x:f>
        <x:v>3849.744192</x:v>
      </x:c>
      <x:c r="O17" s="18"/>
      <x:c r="P17" s="18"/>
      <x:c r="Q17" s="18"/>
      <x:c r="R17" s="18"/>
      <x:c r="S17" s="18"/>
    </x:row>
    <x:row r="18" ht="16.200000762939453" customHeight="1">
      <x:c r="A18" s="2"/>
      <x:c r="B18" s="115" t="s">
        <x:v>9</x:v>
      </x:c>
      <x:c r="C18" s="116"/>
      <x:c r="D18" s="116"/>
      <x:c r="E18" s="117"/>
      <x:c r="F18" s="121"/>
      <x:c r="G18" s="159" t="n">
        <x:f>+G17/F17-1</x:f>
        <x:v>0.018117114202523377</x:v>
      </x:c>
      <x:c r="H18" s="159" t="n">
        <x:f>+H17/G17-1</x:f>
        <x:v>0.13727359389895133</x:v>
      </x:c>
      <x:c r="I18" s="167" t="n">
        <x:f t="shared" ref="I18:N18" si="11">+CHOOSE(Scenario,I19,I20,I21,I22)</x:f>
        <x:v>0.12</x:v>
      </x:c>
      <x:c r="J18" s="167">
        <x:f t="shared" si="11"/>
        <x:v>0</x:v>
      </x:c>
      <x:c r="K18" s="167">
        <x:f t="shared" si="11"/>
        <x:v>-0.02</x:v>
      </x:c>
      <x:c r="L18" s="167">
        <x:f t="shared" si="11"/>
        <x:v>-0.02</x:v>
      </x:c>
      <x:c r="M18" s="167">
        <x:f t="shared" si="11"/>
        <x:v>0</x:v>
      </x:c>
      <x:c r="N18" s="349">
        <x:f t="shared" si="11"/>
        <x:v>0</x:v>
      </x:c>
      <x:c r="P18" s="18"/>
      <x:c r="Q18" s="18"/>
      <x:c r="R18" s="18"/>
      <x:c r="S18" s="18"/>
    </x:row>
    <x:row r="19" ht="16.200000762939453" customHeight="1">
      <x:c r="A19" s="2"/>
      <x:c r="B19" s="125" t="s">
        <x:v>10</x:v>
      </x:c>
      <x:c r="C19" s="116"/>
      <x:c r="D19" s="116"/>
      <x:c r="E19" s="117"/>
      <x:c r="F19" s="121"/>
      <x:c r="G19" s="121"/>
      <x:c r="H19" s="121"/>
      <x:c r="I19" s="168">
        <x:v>0.12</x:v>
      </x:c>
      <x:c r="J19" s="168">
        <x:v>0.15</x:v>
      </x:c>
      <x:c r="K19" s="168">
        <x:v>0.18</x:v>
      </x:c>
      <x:c r="L19" s="168">
        <x:v>0.15</x:v>
      </x:c>
      <x:c r="M19" s="168">
        <x:v>0.1</x:v>
      </x:c>
      <x:c r="N19" s="350">
        <x:v>0.08</x:v>
      </x:c>
      <x:c r="P19" s="18"/>
      <x:c r="Q19" s="18"/>
      <x:c r="R19" s="18"/>
      <x:c r="S19" s="18"/>
    </x:row>
    <x:row r="20" ht="16.200000762939453" customHeight="1">
      <x:c r="A20" s="2"/>
      <x:c r="B20" s="125" t="s">
        <x:v>2</x:v>
      </x:c>
      <x:c r="C20" s="116"/>
      <x:c r="D20" s="116"/>
      <x:c r="E20" s="117"/>
      <x:c r="F20" s="121"/>
      <x:c r="G20" s="121"/>
      <x:c r="H20" s="121"/>
      <x:c r="I20" s="168">
        <x:v>0.12</x:v>
      </x:c>
      <x:c r="J20" s="168">
        <x:v>0</x:v>
      </x:c>
      <x:c r="K20" s="168">
        <x:v>-0.02</x:v>
      </x:c>
      <x:c r="L20" s="168">
        <x:v>-0.02</x:v>
      </x:c>
      <x:c r="M20" s="168">
        <x:v>0</x:v>
      </x:c>
      <x:c r="N20" s="350">
        <x:v>0</x:v>
      </x:c>
      <x:c r="P20" s="18"/>
      <x:c r="Q20" s="18"/>
      <x:c r="R20" s="18"/>
      <x:c r="S20" s="18"/>
    </x:row>
    <x:row r="21" ht="16.200000762939453" customHeight="1">
      <x:c r="A21" s="2"/>
      <x:c r="B21" s="125" t="s">
        <x:v>11</x:v>
      </x:c>
      <x:c r="C21" s="116"/>
      <x:c r="D21" s="116"/>
      <x:c r="E21" s="117"/>
      <x:c r="F21" s="121"/>
      <x:c r="G21" s="121"/>
      <x:c r="H21" s="121"/>
      <x:c r="I21" s="168">
        <x:v>0.03</x:v>
      </x:c>
      <x:c r="J21" s="168">
        <x:v>5.0000000000000001E-3</x:v>
      </x:c>
      <x:c r="K21" s="168">
        <x:v>5.0000000000000001E-3</x:v>
      </x:c>
      <x:c r="L21" s="168">
        <x:v>5.0000000000000001E-3</x:v>
      </x:c>
      <x:c r="M21" s="168">
        <x:v>0.02</x:v>
      </x:c>
      <x:c r="N21" s="350">
        <x:v>0.02</x:v>
      </x:c>
      <x:c r="P21" s="18"/>
      <x:c r="Q21" s="18"/>
      <x:c r="R21" s="18"/>
      <x:c r="S21" s="18"/>
    </x:row>
    <x:row r="22" ht="16.200000762939453" customHeight="1">
      <x:c r="A22" s="2"/>
      <x:c r="B22" s="125" t="s">
        <x:v>12</x:v>
      </x:c>
      <x:c r="C22" s="116"/>
      <x:c r="D22" s="116"/>
      <x:c r="E22" s="117"/>
      <x:c r="F22" s="121"/>
      <x:c r="G22" s="121"/>
      <x:c r="H22" s="121"/>
      <x:c r="I22" s="168">
        <x:v>0.01</x:v>
      </x:c>
      <x:c r="J22" s="168">
        <x:v>0.01</x:v>
      </x:c>
      <x:c r="K22" s="168">
        <x:v>-0.01</x:v>
      </x:c>
      <x:c r="L22" s="168">
        <x:v>0</x:v>
      </x:c>
      <x:c r="M22" s="168">
        <x:v>0.02</x:v>
      </x:c>
      <x:c r="N22" s="350">
        <x:v>0.02</x:v>
      </x:c>
      <x:c r="P22" s="18"/>
      <x:c r="Q22" s="18"/>
      <x:c r="R22" s="18"/>
      <x:c r="S22" s="18"/>
    </x:row>
    <x:row r="23" s="73" customFormat="1" ht="14.399999618530273">
      <x:c r="B23" s="96"/>
      <x:c r="C23" s="97"/>
      <x:c r="D23" s="97"/>
      <x:c r="E23" s="128"/>
      <x:c r="F23" s="128"/>
      <x:c r="G23" s="128"/>
      <x:c r="H23" s="97"/>
      <x:c r="I23" s="97"/>
      <x:c r="J23" s="97"/>
      <x:c r="K23" s="97"/>
      <x:c r="L23" s="97"/>
      <x:c r="M23" s="97"/>
      <x:c r="N23" s="98"/>
    </x:row>
    <x:row r="24" ht="16.200000762939453" customHeight="1">
      <x:c r="A24" s="2"/>
      <x:c r="B24" s="115" t="s">
        <x:v>13</x:v>
      </x:c>
      <x:c r="C24" s="116"/>
      <x:c r="D24" s="116"/>
      <x:c r="E24" s="117"/>
      <x:c r="F24" s="160" t="n">
        <x:f>+(F97+F105)/F97</x:f>
        <x:v>0.25072791976706565</x:v>
      </x:c>
      <x:c r="G24" s="160" t="n">
        <x:f>+(G97+G105)/G97</x:f>
        <x:v>0.23991102637432477</x:v>
      </x:c>
      <x:c r="H24" s="160" t="n">
        <x:f>+(H97+H105)/H97</x:f>
        <x:v>0.1899972059234423</x:v>
      </x:c>
      <x:c r="I24" s="168">
        <x:v>0.22700000000000001</x:v>
      </x:c>
      <x:c r="J24" s="168">
        <x:v>0.22700000000000001</x:v>
      </x:c>
      <x:c r="K24" s="168">
        <x:v>0.22700000000000001</x:v>
      </x:c>
      <x:c r="L24" s="168">
        <x:v>0.22700000000000001</x:v>
      </x:c>
      <x:c r="M24" s="168">
        <x:v>0.22700000000000001</x:v>
      </x:c>
      <x:c r="N24" s="350">
        <x:v>0.22700000000000001</x:v>
      </x:c>
    </x:row>
    <x:row r="25" ht="16.200000762939453" customHeight="1">
      <x:c r="A25" s="2"/>
      <x:c r="B25" s="115"/>
      <x:c r="C25" s="116"/>
      <x:c r="D25" s="116"/>
      <x:c r="E25" s="117"/>
      <x:c r="F25" s="129"/>
      <x:c r="G25" s="129"/>
      <x:c r="H25" s="129"/>
      <x:c r="I25" s="130"/>
      <x:c r="J25" s="130"/>
      <x:c r="K25" s="130"/>
      <x:c r="L25" s="130"/>
      <x:c r="M25" s="130"/>
      <x:c r="N25" s="131"/>
    </x:row>
    <x:row r="26" ht="16.200000762939453" customHeight="1">
      <x:c r="B26" s="112" t="s">
        <x:v>15</x:v>
      </x:c>
      <x:c r="C26" s="113"/>
      <x:c r="D26" s="113"/>
      <x:c r="E26" s="113"/>
      <x:c r="F26" s="113"/>
      <x:c r="G26" s="113"/>
      <x:c r="H26" s="113"/>
      <x:c r="I26" s="113"/>
      <x:c r="J26" s="113"/>
      <x:c r="K26" s="113"/>
      <x:c r="L26" s="113"/>
      <x:c r="M26" s="113"/>
      <x:c r="N26" s="114"/>
    </x:row>
    <x:row r="27" ht="16.200000762939453" customHeight="1">
      <x:c r="A27" s="2"/>
      <x:c r="B27" s="115" t="s">
        <x:v>8</x:v>
      </x:c>
      <x:c r="C27" s="116"/>
      <x:c r="D27" s="116"/>
      <x:c r="E27" s="117"/>
      <x:c r="F27" s="158" t="n">
        <x:f>+F98</x:f>
        <x:v>1172</x:v>
      </x:c>
      <x:c r="G27" s="158" t="n">
        <x:f t="shared" ref="G27:H27" si="12">+G98</x:f>
        <x:v>1235</x:v>
      </x:c>
      <x:c r="H27" s="158">
        <x:f t="shared" si="12"/>
        <x:v>1241</x:v>
      </x:c>
      <x:c r="I27" s="166" t="n">
        <x:f>+H27*(1+I28)</x:f>
        <x:v>1253.41</x:v>
      </x:c>
      <x:c r="J27" s="166" t="n">
        <x:f t="shared" ref="J27" si="13">+I27*(1+J28)</x:f>
        <x:v>1265.9441000000002</x:v>
      </x:c>
      <x:c r="K27" s="166" t="n">
        <x:f t="shared" ref="K27" si="14">+J27*(1+K28)</x:f>
        <x:v>1278.6035410000002</x:v>
      </x:c>
      <x:c r="L27" s="166" t="n">
        <x:f t="shared" ref="L27" si="15">+K27*(1+L28)</x:f>
        <x:v>1291.3895764100002</x:v>
      </x:c>
      <x:c r="M27" s="166" t="n">
        <x:f t="shared" ref="M27" si="16">+L27*(1+M28)</x:f>
        <x:v>1304.3034721741003</x:v>
      </x:c>
      <x:c r="N27" s="348" t="n">
        <x:f t="shared" ref="N27" si="17">+M27*(1+N28)</x:f>
        <x:v>1317.3465068958412</x:v>
      </x:c>
      <x:c r="O27" s="18"/>
      <x:c r="P27" s="18"/>
      <x:c r="Q27" s="18"/>
      <x:c r="R27" s="18"/>
      <x:c r="S27" s="18"/>
    </x:row>
    <x:row r="28" ht="16.200000762939453" customHeight="1">
      <x:c r="A28" s="2"/>
      <x:c r="B28" s="115" t="s">
        <x:v>9</x:v>
      </x:c>
      <x:c r="C28" s="116"/>
      <x:c r="D28" s="116"/>
      <x:c r="E28" s="117"/>
      <x:c r="F28" s="121"/>
      <x:c r="G28" s="159" t="n">
        <x:f>+G27/F27-1</x:f>
        <x:v>0.053754266211604174</x:v>
      </x:c>
      <x:c r="H28" s="159" t="n">
        <x:f>+H27/G27-1</x:f>
        <x:v>0.004858299595141613</x:v>
      </x:c>
      <x:c r="I28" s="167" t="n">
        <x:f t="shared" ref="I28:N28" si="18">+CHOOSE(Scenario,I29,I30,I31,I32)</x:f>
        <x:v>0.01</x:v>
      </x:c>
      <x:c r="J28" s="167">
        <x:f t="shared" si="18"/>
        <x:v>0.01</x:v>
      </x:c>
      <x:c r="K28" s="167">
        <x:f t="shared" si="18"/>
        <x:v>0.01</x:v>
      </x:c>
      <x:c r="L28" s="167">
        <x:f t="shared" si="18"/>
        <x:v>0.01</x:v>
      </x:c>
      <x:c r="M28" s="167">
        <x:f t="shared" si="18"/>
        <x:v>0.01</x:v>
      </x:c>
      <x:c r="N28" s="349">
        <x:f t="shared" si="18"/>
        <x:v>0.01</x:v>
      </x:c>
      <x:c r="P28" s="18"/>
      <x:c r="Q28" s="18"/>
      <x:c r="R28" s="18"/>
      <x:c r="S28" s="18"/>
    </x:row>
    <x:row r="29" ht="16.200000762939453" customHeight="1">
      <x:c r="A29" s="2"/>
      <x:c r="B29" s="125" t="s">
        <x:v>10</x:v>
      </x:c>
      <x:c r="C29" s="116"/>
      <x:c r="D29" s="116"/>
      <x:c r="E29" s="117"/>
      <x:c r="F29" s="121"/>
      <x:c r="G29" s="121"/>
      <x:c r="H29" s="121"/>
      <x:c r="I29" s="168">
        <x:v>0.05</x:v>
      </x:c>
      <x:c r="J29" s="168">
        <x:v>0.09</x:v>
      </x:c>
      <x:c r="K29" s="168">
        <x:v>0.09</x:v>
      </x:c>
      <x:c r="L29" s="168">
        <x:v>0.08</x:v>
      </x:c>
      <x:c r="M29" s="168">
        <x:v>0.06</x:v>
      </x:c>
      <x:c r="N29" s="350">
        <x:v>0.05</x:v>
      </x:c>
      <x:c r="P29" s="18"/>
      <x:c r="Q29" s="18"/>
      <x:c r="R29" s="18"/>
      <x:c r="S29" s="18"/>
    </x:row>
    <x:row r="30" ht="16.200000762939453" customHeight="1">
      <x:c r="A30" s="2"/>
      <x:c r="B30" s="125" t="s">
        <x:v>2</x:v>
      </x:c>
      <x:c r="C30" s="116"/>
      <x:c r="D30" s="116"/>
      <x:c r="E30" s="117"/>
      <x:c r="F30" s="121"/>
      <x:c r="G30" s="121"/>
      <x:c r="H30" s="121"/>
      <x:c r="I30" s="168">
        <x:v>0.01</x:v>
      </x:c>
      <x:c r="J30" s="168">
        <x:v>0.01</x:v>
      </x:c>
      <x:c r="K30" s="168">
        <x:v>0.01</x:v>
      </x:c>
      <x:c r="L30" s="168">
        <x:v>0.01</x:v>
      </x:c>
      <x:c r="M30" s="168">
        <x:v>0.01</x:v>
      </x:c>
      <x:c r="N30" s="350">
        <x:v>0.01</x:v>
      </x:c>
      <x:c r="P30" s="18"/>
      <x:c r="Q30" s="18"/>
      <x:c r="R30" s="18"/>
      <x:c r="S30" s="18"/>
    </x:row>
    <x:row r="31" ht="16.200000762939453" customHeight="1">
      <x:c r="A31" s="2"/>
      <x:c r="B31" s="125" t="s">
        <x:v>11</x:v>
      </x:c>
      <x:c r="C31" s="116"/>
      <x:c r="D31" s="116"/>
      <x:c r="E31" s="117"/>
      <x:c r="F31" s="121"/>
      <x:c r="G31" s="121"/>
      <x:c r="H31" s="121"/>
      <x:c r="I31" s="168">
        <x:v>0.02</x:v>
      </x:c>
      <x:c r="J31" s="168">
        <x:v>0.01</x:v>
      </x:c>
      <x:c r="K31" s="168">
        <x:v>0.01</x:v>
      </x:c>
      <x:c r="L31" s="168">
        <x:v>-0.02</x:v>
      </x:c>
      <x:c r="M31" s="168">
        <x:v>-0.02</x:v>
      </x:c>
      <x:c r="N31" s="350">
        <x:v>-0.02</x:v>
      </x:c>
      <x:c r="P31" s="18"/>
      <x:c r="Q31" s="18"/>
      <x:c r="R31" s="18"/>
      <x:c r="S31" s="18"/>
    </x:row>
    <x:row r="32" ht="16.200000762939453" customHeight="1">
      <x:c r="A32" s="2"/>
      <x:c r="B32" s="125" t="s">
        <x:v>12</x:v>
      </x:c>
      <x:c r="C32" s="116"/>
      <x:c r="D32" s="116"/>
      <x:c r="E32" s="117"/>
      <x:c r="F32" s="121"/>
      <x:c r="G32" s="121"/>
      <x:c r="H32" s="121"/>
      <x:c r="I32" s="168">
        <x:v>0.03</x:v>
      </x:c>
      <x:c r="J32" s="168">
        <x:v>0</x:v>
      </x:c>
      <x:c r="K32" s="168">
        <x:v>0</x:v>
      </x:c>
      <x:c r="L32" s="168">
        <x:v>0</x:v>
      </x:c>
      <x:c r="M32" s="168">
        <x:v>0</x:v>
      </x:c>
      <x:c r="N32" s="350">
        <x:v>0</x:v>
      </x:c>
      <x:c r="P32" s="18"/>
      <x:c r="Q32" s="18"/>
      <x:c r="R32" s="18"/>
      <x:c r="S32" s="18"/>
    </x:row>
    <x:row r="33" s="73" customFormat="1" ht="14.399999618530273">
      <x:c r="B33" s="96"/>
      <x:c r="C33" s="97"/>
      <x:c r="D33" s="97"/>
      <x:c r="E33" s="128"/>
      <x:c r="F33" s="128"/>
      <x:c r="G33" s="128"/>
      <x:c r="H33" s="97"/>
      <x:c r="I33" s="97"/>
      <x:c r="J33" s="97"/>
      <x:c r="K33" s="97"/>
      <x:c r="L33" s="97"/>
      <x:c r="M33" s="97"/>
      <x:c r="N33" s="98"/>
    </x:row>
    <x:row r="34" ht="16.200000762939453" customHeight="1">
      <x:c r="A34" s="2"/>
      <x:c r="B34" s="115" t="s">
        <x:v>13</x:v>
      </x:c>
      <x:c r="C34" s="116"/>
      <x:c r="D34" s="116"/>
      <x:c r="E34" s="117"/>
      <x:c r="F34" s="160" t="n">
        <x:f>+(F98+F106)/F98</x:f>
        <x:v>0.2508532423208191</x:v>
      </x:c>
      <x:c r="G34" s="160" t="n">
        <x:f>+(G98+G106)/G98</x:f>
        <x:v>0.25101214574898784</x:v>
      </x:c>
      <x:c r="H34" s="160" t="n">
        <x:f>+(H98+H106)/H98</x:f>
        <x:v>0.25141015310233683</x:v>
      </x:c>
      <x:c r="I34" s="168">
        <x:v>0.251</x:v>
      </x:c>
      <x:c r="J34" s="168">
        <x:v>0.251</x:v>
      </x:c>
      <x:c r="K34" s="168">
        <x:v>0.251</x:v>
      </x:c>
      <x:c r="L34" s="168">
        <x:v>0.251</x:v>
      </x:c>
      <x:c r="M34" s="168">
        <x:v>0.251</x:v>
      </x:c>
      <x:c r="N34" s="350">
        <x:v>0.251</x:v>
      </x:c>
    </x:row>
    <x:row r="35" ht="16.200000762939453" customHeight="1">
      <x:c r="A35" s="2"/>
      <x:c r="B35" s="115"/>
      <x:c r="C35" s="116"/>
      <x:c r="D35" s="116"/>
      <x:c r="E35" s="117"/>
      <x:c r="F35" s="129"/>
      <x:c r="G35" s="129"/>
      <x:c r="H35" s="129"/>
      <x:c r="I35" s="130"/>
      <x:c r="J35" s="130"/>
      <x:c r="K35" s="130"/>
      <x:c r="L35" s="130"/>
      <x:c r="M35" s="130"/>
      <x:c r="N35" s="131"/>
    </x:row>
    <x:row r="36" ht="16.200000762939453" customHeight="1">
      <x:c r="B36" s="112" t="s">
        <x:v>16</x:v>
      </x:c>
      <x:c r="C36" s="113"/>
      <x:c r="D36" s="113"/>
      <x:c r="E36" s="113"/>
      <x:c r="F36" s="113"/>
      <x:c r="G36" s="113"/>
      <x:c r="H36" s="113"/>
      <x:c r="I36" s="113"/>
      <x:c r="J36" s="113"/>
      <x:c r="K36" s="113"/>
      <x:c r="L36" s="113"/>
      <x:c r="M36" s="113"/>
      <x:c r="N36" s="114"/>
    </x:row>
    <x:row r="37" ht="16.200000762939453" customHeight="1">
      <x:c r="A37" s="2"/>
      <x:c r="B37" s="115" t="s">
        <x:v>8</x:v>
      </x:c>
      <x:c r="C37" s="116"/>
      <x:c r="D37" s="116"/>
      <x:c r="E37" s="117"/>
      <x:c r="F37" s="158" t="n">
        <x:f>+F99</x:f>
        <x:v>3465</x:v>
      </x:c>
      <x:c r="G37" s="158" t="n">
        <x:f t="shared" ref="G37:H37" si="19">+G99</x:f>
        <x:v>3841</x:v>
      </x:c>
      <x:c r="H37" s="158">
        <x:f t="shared" si="19"/>
        <x:v>3515</x:v>
      </x:c>
      <x:c r="I37" s="166" t="n">
        <x:f>+H37*(1+I38)</x:f>
        <x:v>3233.8</x:v>
      </x:c>
      <x:c r="J37" s="166" t="n">
        <x:f t="shared" ref="J37" si="20">+I37*(1+J38)</x:f>
        <x:v>3136.786</x:v>
      </x:c>
      <x:c r="K37" s="166" t="n">
        <x:f t="shared" ref="K37" si="21">+J37*(1+K38)</x:f>
        <x:v>3136.786</x:v>
      </x:c>
      <x:c r="L37" s="166" t="n">
        <x:f t="shared" ref="L37" si="22">+K37*(1+L38)</x:f>
        <x:v>3136.786</x:v>
      </x:c>
      <x:c r="M37" s="166" t="n">
        <x:f t="shared" ref="M37" si="23">+L37*(1+M38)</x:f>
        <x:v>3136.786</x:v>
      </x:c>
      <x:c r="N37" s="348" t="n">
        <x:f t="shared" ref="N37" si="24">+M37*(1+N38)</x:f>
        <x:v>3136.786</x:v>
      </x:c>
      <x:c r="O37" s="18"/>
      <x:c r="P37" s="18"/>
      <x:c r="Q37" s="18"/>
      <x:c r="R37" s="18"/>
      <x:c r="S37" s="18"/>
    </x:row>
    <x:row r="38" ht="16.200000762939453" customHeight="1">
      <x:c r="A38" s="2"/>
      <x:c r="B38" s="115" t="s">
        <x:v>9</x:v>
      </x:c>
      <x:c r="C38" s="116"/>
      <x:c r="D38" s="116"/>
      <x:c r="E38" s="117"/>
      <x:c r="F38" s="121"/>
      <x:c r="G38" s="159" t="n">
        <x:f>+G37/F37-1</x:f>
        <x:v>0.10851370851370845</x:v>
      </x:c>
      <x:c r="H38" s="159" t="n">
        <x:f>+H37/G37-1</x:f>
        <x:v>-0.08487373079927107</x:v>
      </x:c>
      <x:c r="I38" s="167" t="n">
        <x:f t="shared" ref="I38:N38" si="25">+CHOOSE(Scenario,I39,I40,I41,I42)</x:f>
        <x:v>-0.08</x:v>
      </x:c>
      <x:c r="J38" s="167">
        <x:f t="shared" si="25"/>
        <x:v>-0.03</x:v>
      </x:c>
      <x:c r="K38" s="167">
        <x:f t="shared" si="25"/>
        <x:v>0</x:v>
      </x:c>
      <x:c r="L38" s="167">
        <x:f t="shared" si="25"/>
        <x:v>0</x:v>
      </x:c>
      <x:c r="M38" s="167">
        <x:f t="shared" si="25"/>
        <x:v>0</x:v>
      </x:c>
      <x:c r="N38" s="349">
        <x:f t="shared" si="25"/>
        <x:v>0</x:v>
      </x:c>
      <x:c r="P38" s="18"/>
      <x:c r="Q38" s="18"/>
      <x:c r="R38" s="18"/>
      <x:c r="S38" s="18"/>
    </x:row>
    <x:row r="39" ht="16.200000762939453" customHeight="1">
      <x:c r="A39" s="2"/>
      <x:c r="B39" s="125" t="s">
        <x:v>10</x:v>
      </x:c>
      <x:c r="C39" s="116"/>
      <x:c r="D39" s="116"/>
      <x:c r="E39" s="117"/>
      <x:c r="F39" s="121"/>
      <x:c r="G39" s="121"/>
      <x:c r="H39" s="121"/>
      <x:c r="I39" s="168">
        <x:v>-0.05</x:v>
      </x:c>
      <x:c r="J39" s="168">
        <x:v>0.02</x:v>
      </x:c>
      <x:c r="K39" s="168">
        <x:v>0.03</x:v>
      </x:c>
      <x:c r="L39" s="168">
        <x:v>0.03</x:v>
      </x:c>
      <x:c r="M39" s="168">
        <x:v>0.03</x:v>
      </x:c>
      <x:c r="N39" s="350">
        <x:v>0.03</x:v>
      </x:c>
      <x:c r="P39" s="18"/>
      <x:c r="Q39" s="18"/>
      <x:c r="R39" s="18"/>
      <x:c r="S39" s="18"/>
    </x:row>
    <x:row r="40" ht="16.200000762939453" customHeight="1">
      <x:c r="A40" s="2"/>
      <x:c r="B40" s="125" t="s">
        <x:v>2</x:v>
      </x:c>
      <x:c r="C40" s="116"/>
      <x:c r="D40" s="116"/>
      <x:c r="E40" s="117"/>
      <x:c r="F40" s="121"/>
      <x:c r="G40" s="121"/>
      <x:c r="H40" s="121"/>
      <x:c r="I40" s="168">
        <x:v>-0.08</x:v>
      </x:c>
      <x:c r="J40" s="168">
        <x:v>-0.03</x:v>
      </x:c>
      <x:c r="K40" s="168">
        <x:v>0</x:v>
      </x:c>
      <x:c r="L40" s="168">
        <x:v>0</x:v>
      </x:c>
      <x:c r="M40" s="168">
        <x:v>0</x:v>
      </x:c>
      <x:c r="N40" s="350">
        <x:v>0</x:v>
      </x:c>
      <x:c r="P40" s="18"/>
      <x:c r="Q40" s="18"/>
      <x:c r="R40" s="18"/>
      <x:c r="S40" s="18"/>
    </x:row>
    <x:row r="41" ht="16.200000762939453" customHeight="1">
      <x:c r="A41" s="2"/>
      <x:c r="B41" s="125" t="s">
        <x:v>11</x:v>
      </x:c>
      <x:c r="C41" s="116"/>
      <x:c r="D41" s="116"/>
      <x:c r="E41" s="117"/>
      <x:c r="F41" s="121"/>
      <x:c r="G41" s="121"/>
      <x:c r="H41" s="121"/>
      <x:c r="I41" s="168">
        <x:v>-0.1</x:v>
      </x:c>
      <x:c r="J41" s="168">
        <x:v>-0.05</x:v>
      </x:c>
      <x:c r="K41" s="168">
        <x:v>-0.02</x:v>
      </x:c>
      <x:c r="L41" s="168">
        <x:v>0</x:v>
      </x:c>
      <x:c r="M41" s="168">
        <x:v>0</x:v>
      </x:c>
      <x:c r="N41" s="350">
        <x:v>0</x:v>
      </x:c>
      <x:c r="P41" s="18"/>
      <x:c r="Q41" s="18"/>
      <x:c r="R41" s="18"/>
      <x:c r="S41" s="18"/>
    </x:row>
    <x:row r="42" ht="16.200000762939453" customHeight="1">
      <x:c r="A42" s="2"/>
      <x:c r="B42" s="125" t="s">
        <x:v>12</x:v>
      </x:c>
      <x:c r="C42" s="116"/>
      <x:c r="D42" s="116"/>
      <x:c r="E42" s="117"/>
      <x:c r="F42" s="121"/>
      <x:c r="G42" s="121"/>
      <x:c r="H42" s="121"/>
      <x:c r="I42" s="168">
        <x:v>-0.12</x:v>
      </x:c>
      <x:c r="J42" s="168">
        <x:v>-0.08</x:v>
      </x:c>
      <x:c r="K42" s="168">
        <x:v>-0.05</x:v>
      </x:c>
      <x:c r="L42" s="168">
        <x:v>-0.03</x:v>
      </x:c>
      <x:c r="M42" s="168">
        <x:v>-0.03</x:v>
      </x:c>
      <x:c r="N42" s="350">
        <x:v>-0.03</x:v>
      </x:c>
      <x:c r="P42" s="18"/>
      <x:c r="Q42" s="18"/>
      <x:c r="R42" s="18"/>
      <x:c r="S42" s="18"/>
    </x:row>
    <x:row r="43" s="73" customFormat="1" ht="14.399999618530273">
      <x:c r="B43" s="96"/>
      <x:c r="C43" s="97"/>
      <x:c r="D43" s="97"/>
      <x:c r="E43" s="128"/>
      <x:c r="F43" s="128"/>
      <x:c r="G43" s="128"/>
      <x:c r="H43" s="97"/>
      <x:c r="I43" s="97"/>
      <x:c r="J43" s="97"/>
      <x:c r="K43" s="97"/>
      <x:c r="L43" s="97"/>
      <x:c r="M43" s="97"/>
      <x:c r="N43" s="98"/>
    </x:row>
    <x:row r="44" ht="16.200000762939453" customHeight="1">
      <x:c r="A44" s="2"/>
      <x:c r="B44" s="115" t="s">
        <x:v>13</x:v>
      </x:c>
      <x:c r="C44" s="116"/>
      <x:c r="D44" s="116"/>
      <x:c r="E44" s="117"/>
      <x:c r="F44" s="160" t="n">
        <x:f>+(F99+F107)/F99</x:f>
        <x:v>0.14603174603174604</x:v>
      </x:c>
      <x:c r="G44" s="160" t="n">
        <x:f>+(G99+G107)/G99</x:f>
        <x:v>0.1614162978391044</x:v>
      </x:c>
      <x:c r="H44" s="160" t="n">
        <x:f>+(H99+H107)/H99</x:f>
        <x:v>0.14850640113798008</x:v>
      </x:c>
      <x:c r="I44" s="168">
        <x:v>0.152</x:v>
      </x:c>
      <x:c r="J44" s="168">
        <x:v>0.152</x:v>
      </x:c>
      <x:c r="K44" s="168">
        <x:v>0.152</x:v>
      </x:c>
      <x:c r="L44" s="168">
        <x:v>0.152</x:v>
      </x:c>
      <x:c r="M44" s="168">
        <x:v>0.152</x:v>
      </x:c>
      <x:c r="N44" s="350">
        <x:v>0.152</x:v>
      </x:c>
    </x:row>
    <x:row r="45" ht="16.200000762939453" customHeight="1">
      <x:c r="A45" s="2"/>
      <x:c r="B45" s="115"/>
      <x:c r="C45" s="116"/>
      <x:c r="D45" s="116"/>
      <x:c r="E45" s="117"/>
      <x:c r="F45" s="129"/>
      <x:c r="G45" s="129"/>
      <x:c r="H45" s="129"/>
      <x:c r="I45" s="130"/>
      <x:c r="J45" s="130"/>
      <x:c r="K45" s="130"/>
      <x:c r="L45" s="130"/>
      <x:c r="M45" s="130"/>
      <x:c r="N45" s="131"/>
    </x:row>
    <x:row r="46" ht="16.200000762939453" customHeight="1">
      <x:c r="A46" s="5" t="s">
        <x:v>5</x:v>
      </x:c>
      <x:c r="B46" s="108" t="s">
        <x:v>17</x:v>
      </x:c>
      <x:c r="C46" s="109"/>
      <x:c r="D46" s="109"/>
      <x:c r="E46" s="109"/>
      <x:c r="F46" s="109"/>
      <x:c r="G46" s="110"/>
      <x:c r="H46" s="109"/>
      <x:c r="I46" s="109"/>
      <x:c r="J46" s="109"/>
      <x:c r="K46" s="109"/>
      <x:c r="L46" s="109"/>
      <x:c r="M46" s="109"/>
      <x:c r="N46" s="111"/>
    </x:row>
    <x:row r="47" ht="16.200000762939453" customHeight="1">
      <x:c r="A47" s="2"/>
      <x:c r="B47" s="115" t="s">
        <x:v>18</x:v>
      </x:c>
      <x:c r="C47" s="116"/>
      <x:c r="D47" s="116"/>
      <x:c r="E47" s="117"/>
      <x:c r="F47" s="160" t="n">
        <x:f>-Operating_Model!F114/Operating_Model!F$95</x:f>
        <x:v>0.08679773098142823</x:v>
      </x:c>
      <x:c r="G47" s="160" t="n">
        <x:f>-Operating_Model!G114/Operating_Model!G$95</x:f>
        <x:v>0.08448439669663085</x:v>
      </x:c>
      <x:c r="H47" s="160" t="n">
        <x:f>-Operating_Model!H114/Operating_Model!H$95</x:f>
        <x:v>0.07896657422274121</x:v>
      </x:c>
      <x:c r="I47" s="168">
        <x:v>0.08</x:v>
      </x:c>
      <x:c r="J47" s="168" t="n">
        <x:f>+I47</x:f>
        <x:v>0.08</x:v>
      </x:c>
      <x:c r="K47" s="168" t="n">
        <x:f t="shared" ref="K47:N49" si="26">+J47</x:f>
        <x:v>0.08</x:v>
      </x:c>
      <x:c r="L47" s="168">
        <x:f t="shared" si="26"/>
        <x:v>0.08</x:v>
      </x:c>
      <x:c r="M47" s="168">
        <x:f t="shared" si="26"/>
        <x:v>0.08</x:v>
      </x:c>
      <x:c r="N47" s="350">
        <x:f t="shared" si="26"/>
        <x:v>0.08</x:v>
      </x:c>
    </x:row>
    <x:row r="48" ht="16.200000762939453" customHeight="1">
      <x:c r="A48" s="2"/>
      <x:c r="B48" s="115"/>
      <x:c r="C48" s="116"/>
      <x:c r="D48" s="116"/>
      <x:c r="E48" s="117"/>
      <x:c r="F48" s="129"/>
      <x:c r="G48" s="129"/>
      <x:c r="H48" s="129"/>
      <x:c r="I48" s="130"/>
      <x:c r="J48" s="130"/>
      <x:c r="K48" s="130"/>
      <x:c r="L48" s="130"/>
      <x:c r="M48" s="130"/>
      <x:c r="N48" s="131"/>
    </x:row>
    <x:row r="49" ht="16.200000762939453" customHeight="1">
      <x:c r="A49" s="2"/>
      <x:c r="B49" s="115" t="s">
        <x:v>19</x:v>
      </x:c>
      <x:c r="C49" s="116"/>
      <x:c r="D49" s="116"/>
      <x:c r="E49" s="117"/>
      <x:c r="F49" s="160" t="n">
        <x:f>-Operating_Model!F115/Operating_Model!F$95</x:f>
        <x:v>0.046701375398243844</x:v>
      </x:c>
      <x:c r="G49" s="160" t="n">
        <x:f>-Operating_Model!G115/Operating_Model!G$95</x:f>
        <x:v>0.04165753124314843</x:v>
      </x:c>
      <x:c r="H49" s="160" t="n">
        <x:f>-Operating_Model!H115/Operating_Model!H$95</x:f>
        <x:v>0.035834184790541526</x:v>
      </x:c>
      <x:c r="I49" s="168">
        <x:v>0.04</x:v>
      </x:c>
      <x:c r="J49" s="168" t="n">
        <x:f>+I49</x:f>
        <x:v>0.04</x:v>
      </x:c>
      <x:c r="K49" s="168">
        <x:f t="shared" si="26"/>
        <x:v>0.04</x:v>
      </x:c>
      <x:c r="L49" s="168">
        <x:f t="shared" si="26"/>
        <x:v>0.04</x:v>
      </x:c>
      <x:c r="M49" s="168">
        <x:f t="shared" si="26"/>
        <x:v>0.04</x:v>
      </x:c>
      <x:c r="N49" s="350">
        <x:f t="shared" si="26"/>
        <x:v>0.04</x:v>
      </x:c>
    </x:row>
    <x:row r="50" ht="16.200000762939453" customHeight="1">
      <x:c r="A50" s="2"/>
      <x:c r="B50" s="115"/>
      <x:c r="C50" s="116"/>
      <x:c r="D50" s="116"/>
      <x:c r="E50" s="117"/>
      <x:c r="F50" s="129"/>
      <x:c r="G50" s="129"/>
      <x:c r="H50" s="129"/>
      <x:c r="I50" s="130"/>
      <x:c r="J50" s="130"/>
      <x:c r="K50" s="130"/>
      <x:c r="L50" s="130"/>
      <x:c r="M50" s="130"/>
      <x:c r="N50" s="131"/>
    </x:row>
    <x:row r="51" ht="16.200000762939453" customHeight="1">
      <x:c r="A51" s="2"/>
      <x:c r="B51" s="115" t="s">
        <x:v>20</x:v>
      </x:c>
      <x:c r="C51" s="116"/>
      <x:c r="D51" s="116"/>
      <x:c r="E51" s="117"/>
      <x:c r="F51" s="160" t="n">
        <x:f>+F126/F95</x:f>
        <x:v>0.018649467713109023</x:v>
      </x:c>
      <x:c r="G51" s="160" t="n">
        <x:f>+G126/G95</x:f>
        <x:v>0.017320762990572242</x:v>
      </x:c>
      <x:c r="H51" s="160" t="n">
        <x:f>+H126/H95</x:f>
        <x:v>0.01919427820756094</x:v>
      </x:c>
      <x:c r="I51" s="168">
        <x:v>0.02</x:v>
      </x:c>
      <x:c r="J51" s="168" t="n">
        <x:f>+I51</x:f>
        <x:v>0.02</x:v>
      </x:c>
      <x:c r="K51" s="168" t="n">
        <x:f t="shared" ref="K51:N51" si="27">+J51</x:f>
        <x:v>0.02</x:v>
      </x:c>
      <x:c r="L51" s="168">
        <x:f t="shared" si="27"/>
        <x:v>0.02</x:v>
      </x:c>
      <x:c r="M51" s="168">
        <x:f t="shared" si="27"/>
        <x:v>0.02</x:v>
      </x:c>
      <x:c r="N51" s="350">
        <x:f t="shared" si="27"/>
        <x:v>0.02</x:v>
      </x:c>
    </x:row>
    <x:row r="52" ht="16.200000762939453" customHeight="1">
      <x:c r="A52" s="2"/>
      <x:c r="B52" s="115"/>
      <x:c r="C52" s="116"/>
      <x:c r="D52" s="116"/>
      <x:c r="E52" s="117"/>
      <x:c r="F52" s="129"/>
      <x:c r="G52" s="129"/>
      <x:c r="H52" s="129"/>
      <x:c r="I52" s="130"/>
      <x:c r="J52" s="130"/>
      <x:c r="K52" s="130"/>
      <x:c r="L52" s="130"/>
      <x:c r="M52" s="130"/>
      <x:c r="N52" s="131"/>
    </x:row>
    <x:row r="53" ht="16.200000762939453" customHeight="1">
      <x:c r="A53" s="2"/>
      <x:c r="B53" s="115" t="s">
        <x:v>21</x:v>
      </x:c>
      <x:c r="C53" s="116"/>
      <x:c r="D53" s="116"/>
      <x:c r="E53" s="117"/>
      <x:c r="F53" s="160" t="n">
        <x:f>-Operating_Model!F128/Operating_Model!F127</x:f>
        <x:v>0.1515748031496063</x:v>
      </x:c>
      <x:c r="G53" s="160" t="n">
        <x:f>-Operating_Model!G128/Operating_Model!G127</x:f>
        <x:v>0.15179392824287027</x:v>
      </x:c>
      <x:c r="H53" s="160" t="n">
        <x:f>-Operating_Model!H128/Operating_Model!H127</x:f>
        <x:v>0.12513255567338283</x:v>
      </x:c>
      <x:c r="I53" s="168">
        <x:v>0.25</x:v>
      </x:c>
      <x:c r="J53" s="168">
        <x:v>0.25</x:v>
      </x:c>
      <x:c r="K53" s="168">
        <x:v>0.25</x:v>
      </x:c>
      <x:c r="L53" s="168">
        <x:v>0.25</x:v>
      </x:c>
      <x:c r="M53" s="168">
        <x:v>0.25</x:v>
      </x:c>
      <x:c r="N53" s="350">
        <x:v>0.25</x:v>
      </x:c>
    </x:row>
    <x:row r="54" ht="16.200000762939453" customHeight="1">
      <x:c r="A54" s="2"/>
      <x:c r="B54" s="115"/>
      <x:c r="C54" s="116"/>
      <x:c r="D54" s="116"/>
      <x:c r="E54" s="117"/>
      <x:c r="F54" s="119"/>
      <x:c r="G54" s="119"/>
      <x:c r="H54" s="119"/>
      <x:c r="I54" s="97"/>
      <x:c r="J54" s="97"/>
      <x:c r="K54" s="97"/>
      <x:c r="L54" s="97"/>
      <x:c r="M54" s="97"/>
      <x:c r="N54" s="98"/>
    </x:row>
    <x:row r="55" ht="16.200000762939453" customHeight="1">
      <x:c r="A55" s="5" t="s">
        <x:v>5</x:v>
      </x:c>
      <x:c r="B55" s="108" t="s">
        <x:v>22</x:v>
      </x:c>
      <x:c r="C55" s="109"/>
      <x:c r="D55" s="109"/>
      <x:c r="E55" s="109"/>
      <x:c r="F55" s="109"/>
      <x:c r="G55" s="110"/>
      <x:c r="H55" s="109"/>
      <x:c r="I55" s="109"/>
      <x:c r="J55" s="109"/>
      <x:c r="K55" s="109"/>
      <x:c r="L55" s="109"/>
      <x:c r="M55" s="109"/>
      <x:c r="N55" s="111"/>
    </x:row>
    <x:row r="56" ht="16.200000762939453" customHeight="1">
      <x:c r="A56" s="2"/>
      <x:c r="B56" s="115" t="s">
        <x:v>23</x:v>
      </x:c>
      <x:c r="C56" s="116"/>
      <x:c r="D56" s="116"/>
      <x:c r="E56" s="117"/>
      <x:c r="F56" s="160" t="n">
        <x:f>+Operating_Model!F135/Operating_Model!F$95</x:f>
        <x:v>0.1101872717382858</x:v>
      </x:c>
      <x:c r="G56" s="160" t="n">
        <x:f>+Operating_Model!G135/Operating_Model!G$95</x:f>
        <x:v>0.10619016297595557</x:v>
      </x:c>
      <x:c r="H56" s="160" t="n">
        <x:f>+Operating_Model!H135/Operating_Model!H$95</x:f>
        <x:v>0.11326813603853451</x:v>
      </x:c>
      <x:c r="I56" s="168">
        <x:v>0.11</x:v>
      </x:c>
      <x:c r="J56" s="168">
        <x:v>0.11</x:v>
      </x:c>
      <x:c r="K56" s="168">
        <x:v>0.11</x:v>
      </x:c>
      <x:c r="L56" s="168">
        <x:v>0.11</x:v>
      </x:c>
      <x:c r="M56" s="168">
        <x:v>0.11</x:v>
      </x:c>
      <x:c r="N56" s="350">
        <x:v>0.11</x:v>
      </x:c>
    </x:row>
    <x:row r="57" ht="16.200000762939453" customHeight="1">
      <x:c r="A57" s="2"/>
      <x:c r="B57" s="115" t="s">
        <x:v>24</x:v>
      </x:c>
      <x:c r="C57" s="116"/>
      <x:c r="D57" s="116"/>
      <x:c r="E57" s="117"/>
      <x:c r="F57" s="160" t="n">
        <x:f>-Operating_Model!F136/Operating_Model!F103</x:f>
        <x:v>0.34807334052358074</x:v>
      </x:c>
      <x:c r="G57" s="160" t="n">
        <x:f>-Operating_Model!G136/Operating_Model!G103</x:f>
        <x:v>0.36123673281033686</x:v>
      </x:c>
      <x:c r="H57" s="160" t="n">
        <x:f>-Operating_Model!H136/Operating_Model!H103</x:f>
        <x:v>0.36348214285714286</x:v>
      </x:c>
      <x:c r="I57" s="168">
        <x:v>0.36</x:v>
      </x:c>
      <x:c r="J57" s="168">
        <x:v>0.36</x:v>
      </x:c>
      <x:c r="K57" s="168">
        <x:v>0.36</x:v>
      </x:c>
      <x:c r="L57" s="168">
        <x:v>0.36</x:v>
      </x:c>
      <x:c r="M57" s="168">
        <x:v>0.36</x:v>
      </x:c>
      <x:c r="N57" s="350">
        <x:v>0.36</x:v>
      </x:c>
    </x:row>
    <x:row r="58" ht="16.200000762939453" customHeight="1">
      <x:c r="A58" s="2"/>
      <x:c r="B58" s="115" t="s">
        <x:v>25</x:v>
      </x:c>
      <x:c r="C58" s="116"/>
      <x:c r="D58" s="116"/>
      <x:c r="E58" s="117"/>
      <x:c r="F58" s="160" t="n">
        <x:f>+F137/F$95</x:f>
        <x:v>0.08027041728184008</x:v>
      </x:c>
      <x:c r="G58" s="160" t="n">
        <x:f>+G137/G$95</x:f>
        <x:v>0.0626324636410144</x:v>
      </x:c>
      <x:c r="H58" s="160" t="n">
        <x:f>+H137/H$95</x:f>
        <x:v>0.050138665888191505</x:v>
      </x:c>
      <x:c r="I58" s="168">
        <x:v>0.05</x:v>
      </x:c>
      <x:c r="J58" s="168">
        <x:v>0.05</x:v>
      </x:c>
      <x:c r="K58" s="168">
        <x:v>0.05</x:v>
      </x:c>
      <x:c r="L58" s="168">
        <x:v>0.05</x:v>
      </x:c>
      <x:c r="M58" s="168">
        <x:v>0.05</x:v>
      </x:c>
      <x:c r="N58" s="350">
        <x:v>0.05</x:v>
      </x:c>
    </x:row>
    <x:row r="59" ht="16.200000762939453" customHeight="1">
      <x:c r="A59" s="2"/>
      <x:c r="B59" s="115" t="s">
        <x:v>26</x:v>
      </x:c>
      <x:c r="C59" s="116"/>
      <x:c r="D59" s="116"/>
      <x:c r="E59" s="117"/>
      <x:c r="F59" s="160" t="n">
        <x:f>+F145/F$95</x:f>
        <x:v>0.18610614655373378</x:v>
      </x:c>
      <x:c r="G59" s="160" t="n">
        <x:f>+G145/G$95</x:f>
        <x:v>0.18022363516772638</x:v>
      </x:c>
      <x:c r="H59" s="160" t="n">
        <x:f>+H145/H$95</x:f>
        <x:v>0.23018537439789813</x:v>
      </x:c>
      <x:c r="I59" s="168">
        <x:v>0.23</x:v>
      </x:c>
      <x:c r="J59" s="168">
        <x:v>0.23</x:v>
      </x:c>
      <x:c r="K59" s="168">
        <x:v>0.23</x:v>
      </x:c>
      <x:c r="L59" s="168">
        <x:v>0.23</x:v>
      </x:c>
      <x:c r="M59" s="168">
        <x:v>0.23</x:v>
      </x:c>
      <x:c r="N59" s="350">
        <x:v>0.23</x:v>
      </x:c>
    </x:row>
    <x:row r="60" ht="16.200000762939453" customHeight="1">
      <x:c r="A60" s="2"/>
      <x:c r="B60" s="115"/>
      <x:c r="C60" s="116"/>
      <x:c r="D60" s="116"/>
      <x:c r="E60" s="117"/>
      <x:c r="F60" s="129"/>
      <x:c r="G60" s="129"/>
      <x:c r="H60" s="129"/>
      <x:c r="I60" s="130"/>
      <x:c r="J60" s="130"/>
      <x:c r="K60" s="130"/>
      <x:c r="L60" s="130"/>
      <x:c r="M60" s="130"/>
      <x:c r="N60" s="131"/>
    </x:row>
    <x:row r="61" ht="16.200000762939453" customHeight="1">
      <x:c r="A61" s="2"/>
      <x:c r="B61" s="115" t="s">
        <x:v>27</x:v>
      </x:c>
      <x:c r="C61" s="116"/>
      <x:c r="D61" s="116"/>
      <x:c r="E61" s="117"/>
      <x:c r="F61" s="160" t="n">
        <x:f>-F149/(F103)</x:f>
        <x:v>0.09981370722619864</x:v>
      </x:c>
      <x:c r="G61" s="160" t="n">
        <x:f t="shared" ref="G61:H61" si="28">-G149/(G103)</x:f>
        <x:v>0.09441624365482233</x:v>
      </x:c>
      <x:c r="H61" s="160">
        <x:f t="shared" si="28"/>
        <x:v>8.4196428571428575E-2</x:v>
      </x:c>
      <x:c r="I61" s="168">
        <x:v>9.5000000000000001E-2</x:v>
      </x:c>
      <x:c r="J61" s="168">
        <x:v>9.5000000000000001E-2</x:v>
      </x:c>
      <x:c r="K61" s="168">
        <x:v>9.5000000000000001E-2</x:v>
      </x:c>
      <x:c r="L61" s="168">
        <x:v>9.5000000000000001E-2</x:v>
      </x:c>
      <x:c r="M61" s="168">
        <x:v>9.5000000000000001E-2</x:v>
      </x:c>
      <x:c r="N61" s="350">
        <x:v>9.5000000000000001E-2</x:v>
      </x:c>
    </x:row>
    <x:row r="62" ht="16.200000762939453" customHeight="1">
      <x:c r="A62" s="2"/>
      <x:c r="B62" s="115" t="s">
        <x:v>28</x:v>
      </x:c>
      <x:c r="C62" s="116"/>
      <x:c r="D62" s="116"/>
      <x:c r="E62" s="117"/>
      <x:c r="F62" s="160" t="n">
        <x:f>-F150/(F103+F114+F115+F116)</x:f>
        <x:v>0.21616886367428667</x:v>
      </x:c>
      <x:c r="G62" s="160" t="n">
        <x:f t="shared" ref="G62:H62" si="29">-G150/(G103+G114+G115+G116)</x:f>
        <x:v>0.2330166270783848</x:v>
      </x:c>
      <x:c r="H62" s="160">
        <x:f t="shared" si="29"/>
        <x:v>0.23655328092161595</x:v>
      </x:c>
      <x:c r="I62" s="168">
        <x:v>0.24</x:v>
      </x:c>
      <x:c r="J62" s="168">
        <x:v>0.24</x:v>
      </x:c>
      <x:c r="K62" s="168">
        <x:v>0.24</x:v>
      </x:c>
      <x:c r="L62" s="168">
        <x:v>0.24</x:v>
      </x:c>
      <x:c r="M62" s="168">
        <x:v>0.24</x:v>
      </x:c>
      <x:c r="N62" s="350">
        <x:v>0.24</x:v>
      </x:c>
    </x:row>
    <x:row r="63" ht="16.200000762939453" customHeight="1">
      <x:c r="A63" s="2"/>
      <x:c r="B63" s="115" t="s">
        <x:v>29</x:v>
      </x:c>
      <x:c r="C63" s="116"/>
      <x:c r="D63" s="116"/>
      <x:c r="E63" s="117"/>
      <x:c r="F63" s="160" t="n">
        <x:f>-F155/(F103+F114+F115+F116)</x:f>
        <x:v>0.12839979976639412</x:v>
      </x:c>
      <x:c r="G63" s="160" t="n">
        <x:f t="shared" ref="G63:H63" si="30">-G155/(G103+G114+G115+G116)</x:f>
        <x:v>0.12304038004750593</x:v>
      </x:c>
      <x:c r="H63" s="160">
        <x:f t="shared" si="30"/>
        <x:v>0.12142912742274461</x:v>
      </x:c>
      <x:c r="I63" s="168">
        <x:v>0.12</x:v>
      </x:c>
      <x:c r="J63" s="168">
        <x:v>0.12</x:v>
      </x:c>
      <x:c r="K63" s="168">
        <x:v>0.12</x:v>
      </x:c>
      <x:c r="L63" s="168">
        <x:v>0.12</x:v>
      </x:c>
      <x:c r="M63" s="168">
        <x:v>0.12</x:v>
      </x:c>
      <x:c r="N63" s="350">
        <x:v>0.12</x:v>
      </x:c>
    </x:row>
    <x:row r="64" ht="16.200000762939453" customHeight="1">
      <x:c r="A64" s="2"/>
      <x:c r="B64" s="115"/>
      <x:c r="C64" s="116"/>
      <x:c r="D64" s="116"/>
      <x:c r="E64" s="117"/>
      <x:c r="F64" s="123"/>
      <x:c r="G64" s="123"/>
      <x:c r="H64" s="123"/>
      <x:c r="I64" s="130"/>
      <x:c r="J64" s="130"/>
      <x:c r="K64" s="130"/>
      <x:c r="L64" s="130"/>
      <x:c r="M64" s="130"/>
      <x:c r="N64" s="131"/>
    </x:row>
    <x:row r="65" ht="16.200000762939453" customHeight="1">
      <x:c r="A65" s="2"/>
      <x:c r="B65" s="115" t="s">
        <x:v>30</x:v>
      </x:c>
      <x:c r="C65" s="97"/>
      <x:c r="D65" s="116"/>
      <x:c r="E65" s="117"/>
      <x:c r="F65" s="160" t="n">
        <x:f>+F172/F128</x:f>
        <x:v>1.4285714285714286</x:v>
      </x:c>
      <x:c r="G65" s="160" t="n">
        <x:f>+G172/G128</x:f>
        <x:v>1.1636363636363636</x:v>
      </x:c>
      <x:c r="H65" s="160" t="n">
        <x:f>+H172/H128</x:f>
        <x:v>0.4067796610169492</x:v>
      </x:c>
      <x:c r="I65" s="168">
        <x:v>0.25</x:v>
      </x:c>
      <x:c r="J65" s="168">
        <x:v>0.25</x:v>
      </x:c>
      <x:c r="K65" s="168">
        <x:v>0.25</x:v>
      </x:c>
      <x:c r="L65" s="168">
        <x:v>0.25</x:v>
      </x:c>
      <x:c r="M65" s="168">
        <x:v>0.25</x:v>
      </x:c>
      <x:c r="N65" s="350">
        <x:v>0.25</x:v>
      </x:c>
    </x:row>
    <x:row r="66" ht="16.200000762939453" customHeight="1">
      <x:c r="A66" s="2"/>
      <x:c r="B66" s="115"/>
      <x:c r="C66" s="116"/>
      <x:c r="D66" s="116"/>
      <x:c r="E66" s="117"/>
      <x:c r="F66" s="129"/>
      <x:c r="G66" s="129"/>
      <x:c r="H66" s="129"/>
      <x:c r="I66" s="97"/>
      <x:c r="J66" s="97"/>
      <x:c r="K66" s="97"/>
      <x:c r="L66" s="97"/>
      <x:c r="M66" s="97"/>
      <x:c r="N66" s="98"/>
    </x:row>
    <x:row r="67" ht="16.200000762939453" customHeight="1">
      <x:c r="A67" s="2"/>
      <x:c r="B67" s="115" t="s">
        <x:v>31</x:v>
      </x:c>
      <x:c r="C67" s="116"/>
      <x:c r="D67" s="116"/>
      <x:c r="E67" s="117"/>
      <x:c r="F67" s="132"/>
      <x:c r="G67" s="160" t="n">
        <x:f>-G124/AVERAGE(F153:G153)</x:f>
        <x:v>0.03579598977257435</x:v>
      </x:c>
      <x:c r="H67" s="160" t="n">
        <x:f>-H124/AVERAGE(G153:H153)</x:f>
        <x:v>0.034575180916644334</x:v>
      </x:c>
      <x:c r="I67" s="168">
        <x:v>3.5000000000000003E-2</x:v>
      </x:c>
      <x:c r="J67" s="168">
        <x:v>3.5000000000000003E-2</x:v>
      </x:c>
      <x:c r="K67" s="168">
        <x:v>3.5000000000000003E-2</x:v>
      </x:c>
      <x:c r="L67" s="168">
        <x:v>3.5000000000000003E-2</x:v>
      </x:c>
      <x:c r="M67" s="168">
        <x:v>3.5000000000000003E-2</x:v>
      </x:c>
      <x:c r="N67" s="350">
        <x:v>3.5000000000000003E-2</x:v>
      </x:c>
    </x:row>
    <x:row r="68" ht="16.200000762939453" customHeight="1">
      <x:c r="A68" s="2"/>
      <x:c r="B68" s="115" t="s">
        <x:v>32</x:v>
      </x:c>
      <x:c r="C68" s="116"/>
      <x:c r="D68" s="116"/>
      <x:c r="E68" s="117"/>
      <x:c r="F68" s="132"/>
      <x:c r="G68" s="132"/>
      <x:c r="H68" s="132"/>
      <x:c r="I68" s="169">
        <x:v>350</x:v>
      </x:c>
      <x:c r="J68" s="169">
        <x:v>350</x:v>
      </x:c>
      <x:c r="K68" s="169">
        <x:v>350</x:v>
      </x:c>
      <x:c r="L68" s="169">
        <x:v>350</x:v>
      </x:c>
      <x:c r="M68" s="169">
        <x:v>350</x:v>
      </x:c>
      <x:c r="N68" s="351">
        <x:v>650</x:v>
      </x:c>
    </x:row>
    <x:row r="69" ht="16.200000762939453" customHeight="1">
      <x:c r="A69" s="2"/>
      <x:c r="B69" s="115"/>
      <x:c r="C69" s="116"/>
      <x:c r="D69" s="116"/>
      <x:c r="E69" s="117"/>
      <x:c r="F69" s="129"/>
      <x:c r="G69" s="129"/>
      <x:c r="H69" s="129"/>
      <x:c r="I69" s="97"/>
      <x:c r="J69" s="97"/>
      <x:c r="K69" s="97"/>
      <x:c r="L69" s="97"/>
      <x:c r="M69" s="97"/>
      <x:c r="N69" s="98"/>
    </x:row>
    <x:row r="70" ht="16.200000762939453" customHeight="1">
      <x:c r="A70" s="2"/>
      <x:c r="B70" s="115" t="s">
        <x:v>33</x:v>
      </x:c>
      <x:c r="C70" s="116"/>
      <x:c r="D70" s="116"/>
      <x:c r="E70" s="117"/>
      <x:c r="F70" s="132"/>
      <x:c r="G70" s="160" t="n">
        <x:f>+G125/AVERAGE(G134,F134)</x:f>
        <x:v>0.026565464895635674</x:v>
      </x:c>
      <x:c r="H70" s="160" t="n">
        <x:f>+H125/AVERAGE(H134,G134)</x:f>
        <x:v>0.0176697956929873</x:v>
      </x:c>
      <x:c r="I70" s="168">
        <x:v>0.02</x:v>
      </x:c>
      <x:c r="J70" s="168">
        <x:v>0.02</x:v>
      </x:c>
      <x:c r="K70" s="168">
        <x:v>0.02</x:v>
      </x:c>
      <x:c r="L70" s="168">
        <x:v>0.02</x:v>
      </x:c>
      <x:c r="M70" s="168">
        <x:v>0.02</x:v>
      </x:c>
      <x:c r="N70" s="350">
        <x:v>0.02</x:v>
      </x:c>
    </x:row>
    <x:row r="71" ht="16.200000762939453" customHeight="1">
      <x:c r="A71" s="2"/>
      <x:c r="B71" s="115"/>
      <x:c r="C71" s="116"/>
      <x:c r="D71" s="116"/>
      <x:c r="E71" s="117"/>
      <x:c r="F71" s="129"/>
      <x:c r="G71" s="129"/>
      <x:c r="H71" s="129"/>
      <x:c r="I71" s="97"/>
      <x:c r="J71" s="97"/>
      <x:c r="K71" s="97"/>
      <x:c r="L71" s="97"/>
      <x:c r="M71" s="97"/>
      <x:c r="N71" s="98"/>
    </x:row>
    <x:row r="72" ht="16.200000762939453" customHeight="1">
      <x:c r="A72" s="2"/>
      <x:c r="B72" s="115" t="s">
        <x:v>34</x:v>
      </x:c>
      <x:c r="C72" s="116"/>
      <x:c r="D72" s="116"/>
      <x:c r="E72" s="117"/>
      <x:c r="F72" s="161" t="n">
        <x:f>-F177</x:f>
        <x:v>354</x:v>
      </x:c>
      <x:c r="G72" s="161" t="n">
        <x:f t="shared" ref="G72:H72" si="31">-G177</x:f>
        <x:v>402</x:v>
      </x:c>
      <x:c r="H72" s="161">
        <x:f t="shared" si="31"/>
        <x:v>364</x:v>
      </x:c>
      <x:c r="I72" s="166" t="n">
        <x:f t="shared" ref="I72:N72" si="32">+I73*I95</x:f>
        <x:v>427.6327757544682</x:v>
      </x:c>
      <x:c r="J72" s="166">
        <x:f t="shared" si="32"/>
        <x:v>421.65252420465873</x:v>
      </x:c>
      <x:c r="K72" s="166">
        <x:f t="shared" si="32"/>
        <x:v>416.2519608664474</x:v>
      </x:c>
      <x:c r="L72" s="166">
        <x:f t="shared" si="32"/>
        <x:v>419.22205436301886</x:v>
      </x:c>
      <x:c r="M72" s="166">
        <x:f t="shared" si="32"/>
        <x:v>423.0103887987072</x:v>
      </x:c>
      <x:c r="N72" s="348">
        <x:f t="shared" si="32"/>
        <x:v>428.60434588259636</x:v>
      </x:c>
    </x:row>
    <x:row r="73" ht="16.200000762939453" customHeight="1">
      <x:c r="A73" s="2"/>
      <x:c r="B73" s="115" t="s">
        <x:v>35</x:v>
      </x:c>
      <x:c r="C73" s="116"/>
      <x:c r="D73" s="116"/>
      <x:c r="E73" s="117"/>
      <x:c r="F73" s="160" t="n">
        <x:f>+F72/F95</x:f>
        <x:v>0.027507964876835808</x:v>
      </x:c>
      <x:c r="G73" s="160" t="n">
        <x:f>+G72/G95</x:f>
        <x:v>0.029379522034641527</x:v>
      </x:c>
      <x:c r="H73" s="160" t="n">
        <x:f>+H72/H95</x:f>
        <x:v>0.026565464895635674</x:v>
      </x:c>
      <x:c r="I73" s="168">
        <x:v>0.03</x:v>
      </x:c>
      <x:c r="J73" s="168">
        <x:v>0.03</x:v>
      </x:c>
      <x:c r="K73" s="168">
        <x:v>0.03</x:v>
      </x:c>
      <x:c r="L73" s="168">
        <x:v>0.03</x:v>
      </x:c>
      <x:c r="M73" s="168">
        <x:v>0.03</x:v>
      </x:c>
      <x:c r="N73" s="350">
        <x:v>0.03</x:v>
      </x:c>
    </x:row>
    <x:row r="74" ht="16.200000762939453" customHeight="1">
      <x:c r="A74" s="2"/>
      <x:c r="B74" s="115" t="s">
        <x:v>36</x:v>
      </x:c>
      <x:c r="C74" s="116"/>
      <x:c r="D74" s="116"/>
      <x:c r="E74" s="117"/>
      <x:c r="F74" s="123"/>
      <x:c r="G74" s="123"/>
      <x:c r="H74" s="123"/>
      <x:c r="I74" s="170">
        <x:v>10</x:v>
      </x:c>
      <x:c r="J74" s="97"/>
      <x:c r="K74" s="97"/>
      <x:c r="L74" s="97"/>
      <x:c r="M74" s="97"/>
      <x:c r="N74" s="98"/>
    </x:row>
    <x:row r="75" ht="16.200000762939453" customHeight="1">
      <x:c r="A75" s="2"/>
      <x:c r="B75" s="115"/>
      <x:c r="C75" s="116"/>
      <x:c r="D75" s="116"/>
      <x:c r="E75" s="117"/>
      <x:c r="F75" s="123"/>
      <x:c r="G75" s="123"/>
      <x:c r="H75" s="123"/>
      <x:c r="I75" s="130"/>
      <x:c r="J75" s="130"/>
      <x:c r="K75" s="130"/>
      <x:c r="L75" s="130"/>
      <x:c r="M75" s="130"/>
      <x:c r="N75" s="131"/>
    </x:row>
    <x:row r="76" ht="16.200000762939453" customHeight="1">
      <x:c r="A76" s="2"/>
      <x:c r="B76" s="115" t="s">
        <x:v>37</x:v>
      </x:c>
      <x:c r="C76" s="116"/>
      <x:c r="D76" s="116"/>
      <x:c r="E76" s="117"/>
      <x:c r="F76" s="162">
        <x:v>49</x:v>
      </x:c>
      <x:c r="G76" s="162">
        <x:v>54</x:v>
      </x:c>
      <x:c r="H76" s="162">
        <x:v>58</x:v>
      </x:c>
      <x:c r="I76" s="166" t="n">
        <x:f t="shared" ref="I76:N76" si="33">+I77*I95</x:f>
        <x:v>57.01770343392909</x:v>
      </x:c>
      <x:c r="J76" s="166">
        <x:f t="shared" si="33"/>
        <x:v>56.22033656062117</x:v>
      </x:c>
      <x:c r="K76" s="166">
        <x:f t="shared" si="33"/>
        <x:v>55.500261448859661</x:v>
      </x:c>
      <x:c r="L76" s="166">
        <x:f t="shared" si="33"/>
        <x:v>55.896273915069187</x:v>
      </x:c>
      <x:c r="M76" s="166">
        <x:f t="shared" si="33"/>
        <x:v>56.401385173160961</x:v>
      </x:c>
      <x:c r="N76" s="348">
        <x:f t="shared" si="33"/>
        <x:v>57.147246117679522</x:v>
      </x:c>
    </x:row>
    <x:row r="77" ht="16.200000762939453" customHeight="1">
      <x:c r="A77" s="2"/>
      <x:c r="B77" s="115" t="s">
        <x:v>38</x:v>
      </x:c>
      <x:c r="C77" s="116"/>
      <x:c r="D77" s="116"/>
      <x:c r="E77" s="117"/>
      <x:c r="F77" s="160" t="n">
        <x:f>+F76/F95</x:f>
        <x:v>0.003807599658093092</x:v>
      </x:c>
      <x:c r="G77" s="160" t="n">
        <x:f>+G76/G95</x:f>
        <x:v>0.0039465029598772195</x:v>
      </x:c>
      <x:c r="H77" s="160" t="n">
        <x:f>+H76/H95</x:f>
        <x:v>0.004232958692161728</x:v>
      </x:c>
      <x:c r="I77" s="168">
        <x:v>4.0000000000000001E-3</x:v>
      </x:c>
      <x:c r="J77" s="168">
        <x:v>4.0000000000000001E-3</x:v>
      </x:c>
      <x:c r="K77" s="168">
        <x:v>4.0000000000000001E-3</x:v>
      </x:c>
      <x:c r="L77" s="168">
        <x:v>4.0000000000000001E-3</x:v>
      </x:c>
      <x:c r="M77" s="168">
        <x:v>4.0000000000000001E-3</x:v>
      </x:c>
      <x:c r="N77" s="350">
        <x:v>4.0000000000000001E-3</x:v>
      </x:c>
    </x:row>
    <x:row r="78" ht="16.200000762939453" customHeight="1">
      <x:c r="A78" s="2"/>
      <x:c r="B78" s="115" t="s">
        <x:v>39</x:v>
      </x:c>
      <x:c r="C78" s="116"/>
      <x:c r="D78" s="116"/>
      <x:c r="E78" s="117"/>
      <x:c r="F78" s="123"/>
      <x:c r="G78" s="123"/>
      <x:c r="H78" s="123"/>
      <x:c r="I78" s="171">
        <x:v>4.8399999999999999E-2</x:v>
      </x:c>
      <x:c r="J78" s="97"/>
      <x:c r="K78" s="97"/>
      <x:c r="L78" s="97"/>
      <x:c r="M78" s="97"/>
      <x:c r="N78" s="98"/>
    </x:row>
    <x:row r="79" ht="16.200000762939453" customHeight="1">
      <x:c r="A79" s="2"/>
      <x:c r="B79" s="115" t="s">
        <x:v>40</x:v>
      </x:c>
      <x:c r="C79" s="116"/>
      <x:c r="D79" s="116"/>
      <x:c r="E79" s="117"/>
      <x:c r="F79" s="123"/>
      <x:c r="G79" s="123"/>
      <x:c r="H79" s="123"/>
      <x:c r="I79" s="170">
        <x:v>10</x:v>
      </x:c>
      <x:c r="J79" s="97"/>
      <x:c r="K79" s="97"/>
      <x:c r="L79" s="97"/>
      <x:c r="M79" s="97"/>
      <x:c r="N79" s="98"/>
    </x:row>
    <x:row r="80" ht="16.200000762939453" customHeight="1">
      <x:c r="A80" s="2"/>
      <x:c r="B80" s="115" t="s">
        <x:v>41</x:v>
      </x:c>
      <x:c r="C80" s="116"/>
      <x:c r="D80" s="116"/>
      <x:c r="E80" s="117"/>
      <x:c r="F80" s="123"/>
      <x:c r="G80" s="123"/>
      <x:c r="H80" s="123"/>
      <x:c r="I80" s="170">
        <x:v>15</x:v>
      </x:c>
      <x:c r="J80" s="97"/>
      <x:c r="K80" s="97"/>
      <x:c r="L80" s="97"/>
      <x:c r="M80" s="97"/>
      <x:c r="N80" s="98"/>
    </x:row>
    <x:row r="81" ht="16.200000762939453" customHeight="1">
      <x:c r="A81" s="2"/>
      <x:c r="B81" s="115"/>
      <x:c r="C81" s="116"/>
      <x:c r="D81" s="116"/>
      <x:c r="E81" s="117"/>
      <x:c r="F81" s="123"/>
      <x:c r="G81" s="123"/>
      <x:c r="H81" s="123"/>
      <x:c r="I81" s="130"/>
      <x:c r="J81" s="130"/>
      <x:c r="K81" s="130"/>
      <x:c r="L81" s="130"/>
      <x:c r="M81" s="130"/>
      <x:c r="N81" s="131"/>
    </x:row>
    <x:row r="82" ht="16.200000762939453" customHeight="1">
      <x:c r="A82" s="2"/>
      <x:c r="B82" s="115" t="s">
        <x:v>42</x:v>
      </x:c>
      <x:c r="C82" s="116"/>
      <x:c r="D82" s="116"/>
      <x:c r="E82" s="117"/>
      <x:c r="F82" s="132"/>
      <x:c r="G82" s="132"/>
      <x:c r="H82" s="132"/>
      <x:c r="I82" s="172">
        <x:v>0</x:v>
      </x:c>
      <x:c r="J82" s="172">
        <x:v>0</x:v>
      </x:c>
      <x:c r="K82" s="172">
        <x:v>0</x:v>
      </x:c>
      <x:c r="L82" s="172">
        <x:v>0</x:v>
      </x:c>
      <x:c r="M82" s="172">
        <x:v>0</x:v>
      </x:c>
      <x:c r="N82" s="352">
        <x:v>0</x:v>
      </x:c>
    </x:row>
    <x:row r="83" ht="16.200000762939453" customHeight="1">
      <x:c r="A83" s="2"/>
      <x:c r="B83" s="115"/>
      <x:c r="C83" s="116"/>
      <x:c r="D83" s="116"/>
      <x:c r="E83" s="117"/>
      <x:c r="F83" s="129"/>
      <x:c r="G83" s="129"/>
      <x:c r="H83" s="129"/>
      <x:c r="I83" s="130"/>
      <x:c r="J83" s="130"/>
      <x:c r="K83" s="130"/>
      <x:c r="L83" s="130"/>
      <x:c r="M83" s="130"/>
      <x:c r="N83" s="131"/>
    </x:row>
    <x:row r="84" ht="16.200000762939453" customHeight="1">
      <x:c r="A84" s="2"/>
      <x:c r="B84" s="115" t="s">
        <x:v>43</x:v>
      </x:c>
      <x:c r="C84" s="116"/>
      <x:c r="D84" s="116"/>
      <x:c r="E84" s="117"/>
      <x:c r="F84" s="161" t="n">
        <x:f>+F120</x:f>
        <x:v>52</x:v>
      </x:c>
      <x:c r="G84" s="161" t="n">
        <x:f t="shared" ref="G84:H84" si="34">+G120</x:f>
        <x:v>39</x:v>
      </x:c>
      <x:c r="H84" s="161">
        <x:f t="shared" si="34"/>
        <x:v>34</x:v>
      </x:c>
      <x:c r="I84" s="172">
        <x:v>32</x:v>
      </x:c>
      <x:c r="J84" s="172">
        <x:v>29</x:v>
      </x:c>
      <x:c r="K84" s="172">
        <x:v>27</x:v>
      </x:c>
      <x:c r="L84" s="172">
        <x:v>26</x:v>
      </x:c>
      <x:c r="M84" s="172">
        <x:v>25</x:v>
      </x:c>
      <x:c r="N84" s="352">
        <x:v>25</x:v>
      </x:c>
    </x:row>
    <x:row r="85" ht="16.200000762939453" customHeight="1">
      <x:c r="A85" s="2"/>
      <x:c r="B85" s="115"/>
      <x:c r="C85" s="116"/>
      <x:c r="D85" s="116"/>
      <x:c r="E85" s="117"/>
      <x:c r="F85" s="123"/>
      <x:c r="G85" s="129"/>
      <x:c r="H85" s="129"/>
      <x:c r="I85" s="130"/>
      <x:c r="J85" s="130"/>
      <x:c r="K85" s="130"/>
      <x:c r="L85" s="130"/>
      <x:c r="M85" s="130"/>
      <x:c r="N85" s="131"/>
    </x:row>
    <x:row r="86" ht="16.200000762939453" customHeight="1">
      <x:c r="A86" s="2"/>
      <x:c r="B86" s="115" t="s">
        <x:v>44</x:v>
      </x:c>
      <x:c r="C86" s="116"/>
      <x:c r="D86" s="116"/>
      <x:c r="E86" s="117"/>
      <x:c r="F86" s="161" t="n">
        <x:f>-F185</x:f>
        <x:v>17</x:v>
      </x:c>
      <x:c r="G86" s="161" t="n">
        <x:f t="shared" ref="G86:H86" si="35">-G185</x:f>
        <x:v>16</x:v>
      </x:c>
      <x:c r="H86" s="161">
        <x:f t="shared" si="35"/>
        <x:v>12</x:v>
      </x:c>
      <x:c r="I86" s="173" t="n">
        <x:f>+I87*I88</x:f>
        <x:v>14.097440000000002</x:v>
      </x:c>
      <x:c r="J86" s="173" t="n">
        <x:f t="shared" ref="J86:N86" si="36">+J87*J88</x:f>
        <x:v>14.057440000000001</x:v>
      </x:c>
      <x:c r="K86" s="173">
        <x:f t="shared" si="36"/>
        <x:v>14.017440000000002</x:v>
      </x:c>
      <x:c r="L86" s="173">
        <x:f t="shared" si="36"/>
        <x:v>14.017440000000002</x:v>
      </x:c>
      <x:c r="M86" s="173">
        <x:f t="shared" si="36"/>
        <x:v>14.017440000000002</x:v>
      </x:c>
      <x:c r="N86" s="353">
        <x:f t="shared" si="36"/>
        <x:v>14.017440000000002</x:v>
      </x:c>
    </x:row>
    <x:row r="87" ht="16.200000762939453" customHeight="1">
      <x:c r="A87" s="2"/>
      <x:c r="B87" s="115" t="s">
        <x:v>45</x:v>
      </x:c>
      <x:c r="C87" s="116"/>
      <x:c r="D87" s="116"/>
      <x:c r="E87" s="117"/>
      <x:c r="F87" s="163">
        <x:v>212.809</x:v>
      </x:c>
      <x:c r="G87" s="163">
        <x:v>199.71899999999999</x:v>
      </x:c>
      <x:c r="H87" s="163">
        <x:v>188.31800000000001</x:v>
      </x:c>
      <x:c r="I87" s="174" t="n">
        <x:f t="shared" ref="I87:N87" si="37">+H87+I90</x:f>
        <x:v>176.21800000000002</x:v>
      </x:c>
      <x:c r="J87" s="174">
        <x:f t="shared" si="37"/>
        <x:v>175.71800000000002</x:v>
      </x:c>
      <x:c r="K87" s="174">
        <x:f t="shared" si="37"/>
        <x:v>175.21800000000002</x:v>
      </x:c>
      <x:c r="L87" s="174">
        <x:f t="shared" si="37"/>
        <x:v>175.21800000000002</x:v>
      </x:c>
      <x:c r="M87" s="174">
        <x:f t="shared" si="37"/>
        <x:v>175.21800000000002</x:v>
      </x:c>
      <x:c r="N87" s="354">
        <x:f t="shared" si="37"/>
        <x:v>175.21800000000002</x:v>
      </x:c>
    </x:row>
    <x:row r="88" ht="16.200000762939453" customHeight="1">
      <x:c r="A88" s="2"/>
      <x:c r="B88" s="115" t="s">
        <x:v>46</x:v>
      </x:c>
      <x:c r="C88" s="116"/>
      <x:c r="D88" s="116"/>
      <x:c r="E88" s="117"/>
      <x:c r="F88" s="164" t="n">
        <x:f>+F86/F87</x:f>
        <x:v>0.0798838394992693</x:v>
      </x:c>
      <x:c r="G88" s="164" t="n">
        <x:f t="shared" ref="G88:H88" si="38">+G86/G87</x:f>
        <x:v>0.08011255814419259</x:v>
      </x:c>
      <x:c r="H88" s="164">
        <x:f t="shared" si="38"/>
        <x:v>6.3722002145307405E-2</x:v>
      </x:c>
      <x:c r="I88" s="175">
        <x:v>0.08</x:v>
      </x:c>
      <x:c r="J88" s="175">
        <x:v>0.08</x:v>
      </x:c>
      <x:c r="K88" s="175">
        <x:v>0.08</x:v>
      </x:c>
      <x:c r="L88" s="175">
        <x:v>0.08</x:v>
      </x:c>
      <x:c r="M88" s="175">
        <x:v>0.08</x:v>
      </x:c>
      <x:c r="N88" s="355">
        <x:v>0.08</x:v>
      </x:c>
    </x:row>
    <x:row r="89" ht="16.200000762939453" customHeight="1">
      <x:c r="A89" s="2"/>
      <x:c r="B89" s="115"/>
      <x:c r="C89" s="116"/>
      <x:c r="D89" s="116"/>
      <x:c r="E89" s="117"/>
      <x:c r="F89" s="119"/>
      <x:c r="G89" s="119"/>
      <x:c r="H89" s="119"/>
      <x:c r="I89" s="97"/>
      <x:c r="J89" s="97"/>
      <x:c r="K89" s="97"/>
      <x:c r="L89" s="97"/>
      <x:c r="M89" s="97"/>
      <x:c r="N89" s="98"/>
    </x:row>
    <x:row r="90" ht="16.200000762939453" customHeight="1">
      <x:c r="A90" s="2"/>
      <x:c r="B90" s="115" t="s">
        <x:v>47</x:v>
      </x:c>
      <x:c r="C90" s="116"/>
      <x:c r="D90" s="116"/>
      <x:c r="E90" s="117"/>
      <x:c r="F90" s="148"/>
      <x:c r="G90" s="148"/>
      <x:c r="H90" s="148"/>
      <x:c r="I90" s="169">
        <x:v>-12.1</x:v>
      </x:c>
      <x:c r="J90" s="169">
        <x:v>-0.5</x:v>
      </x:c>
      <x:c r="K90" s="169">
        <x:v>-0.5</x:v>
      </x:c>
      <x:c r="L90" s="169">
        <x:v>0</x:v>
      </x:c>
      <x:c r="M90" s="169">
        <x:v>0</x:v>
      </x:c>
      <x:c r="N90" s="351">
        <x:v>0</x:v>
      </x:c>
    </x:row>
    <x:row r="91" ht="16.200000762939453" customHeight="1">
      <x:c r="A91" s="2"/>
      <x:c r="B91" s="115" t="s">
        <x:v>48</x:v>
      </x:c>
      <x:c r="C91" s="116"/>
      <x:c r="D91" s="116"/>
      <x:c r="E91" s="117"/>
      <x:c r="F91" s="148"/>
      <x:c r="G91" s="148"/>
      <x:c r="H91" s="148"/>
      <x:c r="I91" s="176">
        <x:v>0.125</x:v>
      </x:c>
      <x:c r="J91" s="97"/>
      <x:c r="K91" s="97"/>
      <x:c r="L91" s="97"/>
      <x:c r="M91" s="97"/>
      <x:c r="N91" s="98"/>
    </x:row>
    <x:row r="92" ht="16.200000762939453" customHeight="1">
      <x:c r="A92" s="2"/>
      <x:c r="B92" s="346" t="s">
        <x:v>49</x:v>
      </x:c>
      <x:c r="C92" s="151"/>
      <x:c r="D92" s="151"/>
      <x:c r="E92" s="152"/>
      <x:c r="F92" s="153"/>
      <x:c r="G92" s="153"/>
      <x:c r="H92" s="153"/>
      <x:c r="I92" s="154">
        <x:v>80</x:v>
      </x:c>
      <x:c r="J92" s="154">
        <x:v>80</x:v>
      </x:c>
      <x:c r="K92" s="154">
        <x:v>80</x:v>
      </x:c>
      <x:c r="L92" s="155">
        <x:v>0</x:v>
      </x:c>
      <x:c r="M92" s="155">
        <x:v>0</x:v>
      </x:c>
      <x:c r="N92" s="356">
        <x:v>0</x:v>
      </x:c>
    </x:row>
    <x:row r="93" ht="16.200000762939453" customHeight="1">
      <x:c r="A93" s="2"/>
      <x:c r="H93" s="10"/>
    </x:row>
    <x:row r="94" ht="16.200000762939453" customHeight="1">
      <x:c r="A94" s="5" t="s">
        <x:v>5</x:v>
      </x:c>
      <x:c r="B94" s="177" t="s">
        <x:v>50</x:v>
      </x:c>
      <x:c r="C94" s="178"/>
      <x:c r="D94" s="178"/>
      <x:c r="E94" s="178"/>
      <x:c r="F94" s="178"/>
      <x:c r="G94" s="179"/>
      <x:c r="H94" s="178"/>
      <x:c r="I94" s="178"/>
      <x:c r="J94" s="178"/>
      <x:c r="K94" s="178"/>
      <x:c r="L94" s="178"/>
      <x:c r="M94" s="178"/>
      <x:c r="N94" s="180"/>
    </x:row>
    <x:row r="95" ht="16.200000762939453" customHeight="1">
      <x:c r="B95" s="181" t="s">
        <x:v>51</x:v>
      </x:c>
      <x:c r="C95" s="97"/>
      <x:c r="D95" s="97"/>
      <x:c r="E95" s="97"/>
      <x:c r="F95" s="158" t="n">
        <x:f>+SUM(F96:F101)</x:f>
        <x:v>12869</x:v>
      </x:c>
      <x:c r="G95" s="158" t="n">
        <x:f t="shared" ref="G95:H95" si="39">+SUM(G96:G101)</x:f>
        <x:v>13683</x:v>
      </x:c>
      <x:c r="H95" s="158">
        <x:f t="shared" si="39"/>
        <x:v>13702</x:v>
      </x:c>
      <x:c r="I95" s="202" t="n">
        <x:f t="shared" ref="I95" si="40">+SUM(I96:I101)</x:f>
        <x:v>14254.425858482273</x:v>
      </x:c>
      <x:c r="J95" s="202" t="n">
        <x:f t="shared" ref="J95" si="41">+SUM(J96:J101)</x:f>
        <x:v>14055.084140155292</x:v>
      </x:c>
      <x:c r="K95" s="202" t="n">
        <x:f t="shared" ref="K95" si="42">+SUM(K96:K101)</x:f>
        <x:v>13875.065362214915</x:v>
      </x:c>
      <x:c r="L95" s="202" t="n">
        <x:f t="shared" ref="L95" si="43">+SUM(L96:L101)</x:f>
        <x:v>13974.068478767296</x:v>
      </x:c>
      <x:c r="M95" s="202" t="n">
        <x:f t="shared" ref="M95" si="44">+SUM(M96:M101)</x:f>
        <x:v>14100.34629329024</x:v>
      </x:c>
      <x:c r="N95" s="270" t="n">
        <x:f t="shared" ref="N95" si="45">+SUM(N96:N101)</x:f>
        <x:v>14286.81152941988</x:v>
      </x:c>
    </x:row>
    <x:row r="96" ht="16.200000762939453" customHeight="1">
      <x:c r="B96" s="183" t="s">
        <x:v>7</x:v>
      </x:c>
      <x:c r="C96" s="97"/>
      <x:c r="D96" s="97"/>
      <x:c r="E96" s="97"/>
      <x:c r="F96" s="162">
        <x:v>5073</x:v>
      </x:c>
      <x:c r="G96" s="162">
        <x:v>5373</x:v>
      </x:c>
      <x:c r="H96" s="162">
        <x:v>5284</x:v>
      </x:c>
      <x:c r="I96" s="202" t="n">
        <x:f t="shared" ref="I96:N96" si="46">+I7</x:f>
        <x:v>5706.72</x:v>
      </x:c>
      <x:c r="J96" s="202">
        <x:f t="shared" si="46"/>
        <x:v>5592.5856000000003</x:v>
      </x:c>
      <x:c r="K96" s="202">
        <x:f t="shared" si="46"/>
        <x:v>5480.7338880000007</x:v>
      </x:c>
      <x:c r="L96" s="202">
        <x:f t="shared" si="46"/>
        <x:v>5645.1559046400007</x:v>
      </x:c>
      <x:c r="M96" s="202">
        <x:f t="shared" si="46"/>
        <x:v>5758.0590227328012</x:v>
      </x:c>
      <x:c r="N96" s="270">
        <x:f t="shared" si="46"/>
        <x:v>5930.8007934147854</x:v>
      </x:c>
    </x:row>
    <x:row r="97" ht="16.200000762939453" customHeight="1">
      <x:c r="B97" s="183" t="s">
        <x:v>14</x:v>
      </x:c>
      <x:c r="C97" s="97"/>
      <x:c r="D97" s="97"/>
      <x:c r="E97" s="97"/>
      <x:c r="F97" s="162">
        <x:v>3091</x:v>
      </x:c>
      <x:c r="G97" s="162">
        <x:v>3147</x:v>
      </x:c>
      <x:c r="H97" s="162">
        <x:v>3579</x:v>
      </x:c>
      <x:c r="I97" s="202" t="n">
        <x:f t="shared" ref="I97:N97" si="47">+I17</x:f>
        <x:v>4008.4800000000005</x:v>
      </x:c>
      <x:c r="J97" s="202">
        <x:f t="shared" si="47"/>
        <x:v>4008.4800000000005</x:v>
      </x:c>
      <x:c r="K97" s="202">
        <x:f t="shared" si="47"/>
        <x:v>3928.3104000000003</x:v>
      </x:c>
      <x:c r="L97" s="202">
        <x:f t="shared" si="47"/>
        <x:v>3849.7441920000001</x:v>
      </x:c>
      <x:c r="M97" s="202">
        <x:f t="shared" si="47"/>
        <x:v>3849.7441920000001</x:v>
      </x:c>
      <x:c r="N97" s="270">
        <x:f t="shared" si="47"/>
        <x:v>3849.7441920000001</x:v>
      </x:c>
    </x:row>
    <x:row r="98" ht="16.200000762939453" customHeight="1">
      <x:c r="B98" s="183" t="s">
        <x:v>15</x:v>
      </x:c>
      <x:c r="C98" s="97"/>
      <x:c r="D98" s="97"/>
      <x:c r="E98" s="97"/>
      <x:c r="F98" s="162">
        <x:v>1172</x:v>
      </x:c>
      <x:c r="G98" s="162">
        <x:v>1235</x:v>
      </x:c>
      <x:c r="H98" s="162">
        <x:v>1241</x:v>
      </x:c>
      <x:c r="I98" s="202" t="n">
        <x:f t="shared" ref="I98:N98" si="48">I27</x:f>
        <x:v>1253.41</x:v>
      </x:c>
      <x:c r="J98" s="202">
        <x:f t="shared" si="48"/>
        <x:v>1265.9441000000002</x:v>
      </x:c>
      <x:c r="K98" s="202">
        <x:f t="shared" si="48"/>
        <x:v>1278.6035410000002</x:v>
      </x:c>
      <x:c r="L98" s="202">
        <x:f t="shared" si="48"/>
        <x:v>1291.3895764100002</x:v>
      </x:c>
      <x:c r="M98" s="202">
        <x:f t="shared" si="48"/>
        <x:v>1304.3034721741003</x:v>
      </x:c>
      <x:c r="N98" s="270">
        <x:f t="shared" si="48"/>
        <x:v>1317.3465068958412</x:v>
      </x:c>
    </x:row>
    <x:row r="99" ht="16.200000762939453" customHeight="1">
      <x:c r="B99" s="183" t="s">
        <x:v>16</x:v>
      </x:c>
      <x:c r="C99" s="97"/>
      <x:c r="D99" s="97"/>
      <x:c r="E99" s="97"/>
      <x:c r="F99" s="162">
        <x:v>3465</x:v>
      </x:c>
      <x:c r="G99" s="162">
        <x:v>3841</x:v>
      </x:c>
      <x:c r="H99" s="162">
        <x:v>3515</x:v>
      </x:c>
      <x:c r="I99" s="202" t="n">
        <x:f t="shared" ref="I99:N99" si="49">I37</x:f>
        <x:v>3233.8</x:v>
      </x:c>
      <x:c r="J99" s="202">
        <x:f t="shared" si="49"/>
        <x:v>3136.7860000000001</x:v>
      </x:c>
      <x:c r="K99" s="202">
        <x:f t="shared" si="49"/>
        <x:v>3136.7860000000001</x:v>
      </x:c>
      <x:c r="L99" s="202">
        <x:f t="shared" si="49"/>
        <x:v>3136.7860000000001</x:v>
      </x:c>
      <x:c r="M99" s="202">
        <x:f t="shared" si="49"/>
        <x:v>3136.7860000000001</x:v>
      </x:c>
      <x:c r="N99" s="270">
        <x:f t="shared" si="49"/>
        <x:v>3136.7860000000001</x:v>
      </x:c>
    </x:row>
    <x:row r="100" ht="16.200000762939453" customHeight="1">
      <x:c r="B100" s="183" t="s">
        <x:v>52</x:v>
      </x:c>
      <x:c r="C100" s="97"/>
      <x:c r="D100" s="97"/>
      <x:c r="E100" s="97"/>
      <x:c r="F100" s="162">
        <x:v>16</x:v>
      </x:c>
      <x:c r="G100" s="162">
        <x:v>32</x:v>
      </x:c>
      <x:c r="H100" s="162">
        <x:v>33</x:v>
      </x:c>
      <x:c r="I100" s="203">
        <x:v>0</x:v>
      </x:c>
      <x:c r="J100" s="203">
        <x:v>0</x:v>
      </x:c>
      <x:c r="K100" s="203">
        <x:v>0</x:v>
      </x:c>
      <x:c r="L100" s="203">
        <x:v>0</x:v>
      </x:c>
      <x:c r="M100" s="203">
        <x:v>0</x:v>
      </x:c>
      <x:c r="N100" s="357">
        <x:v>0</x:v>
      </x:c>
    </x:row>
    <x:row r="101" ht="16.200000762939453" customHeight="1">
      <x:c r="B101" s="183" t="s">
        <x:v>53</x:v>
      </x:c>
      <x:c r="C101" s="97"/>
      <x:c r="D101" s="97"/>
      <x:c r="E101" s="97"/>
      <x:c r="F101" s="162">
        <x:v>52</x:v>
      </x:c>
      <x:c r="G101" s="162">
        <x:v>55</x:v>
      </x:c>
      <x:c r="H101" s="162">
        <x:v>50</x:v>
      </x:c>
      <x:c r="I101" s="202" t="n">
        <x:f>+$H$101*SUM(I96:I100)/($H$95-$H$101)</x:f>
        <x:v>52.01585848227366</x:v>
      </x:c>
      <x:c r="J101" s="202" t="n">
        <x:f t="shared" ref="J101:N101" si="50">+$H$101*SUM(J96:J100)/($H$95-$H$101)</x:f>
        <x:v>51.28844015528861</x:v>
      </x:c>
      <x:c r="K101" s="202">
        <x:f t="shared" si="50"/>
        <x:v>50.631533214913567</x:v>
      </x:c>
      <x:c r="L101" s="202">
        <x:f t="shared" si="50"/>
        <x:v>50.992805717294182</x:v>
      </x:c>
      <x:c r="M101" s="202">
        <x:f t="shared" si="50"/>
        <x:v>51.453606383339078</x:v>
      </x:c>
      <x:c r="N101" s="270">
        <x:f t="shared" si="50"/>
        <x:v>52.134037109253683</x:v>
      </x:c>
    </x:row>
    <x:row r="102" ht="16.200000762939453" customHeight="1">
      <x:c r="B102" s="96"/>
      <x:c r="C102" s="97"/>
      <x:c r="D102" s="97"/>
      <x:c r="E102" s="97"/>
      <x:c r="F102" s="118"/>
      <x:c r="G102" s="118"/>
      <x:c r="H102" s="185"/>
      <x:c r="I102" s="185"/>
      <x:c r="J102" s="185"/>
      <x:c r="K102" s="185"/>
      <x:c r="L102" s="185"/>
      <x:c r="M102" s="185"/>
      <x:c r="N102" s="186"/>
    </x:row>
    <x:row r="103" ht="16.200000762939453" customHeight="1">
      <x:c r="B103" s="181" t="s">
        <x:v>54</x:v>
      </x:c>
      <x:c r="C103" s="97"/>
      <x:c r="D103" s="97"/>
      <x:c r="E103" s="97"/>
      <x:c r="F103" s="158" t="n">
        <x:f>+SUM(F104:F111)</x:f>
        <x:v>-10199</x:v>
      </x:c>
      <x:c r="G103" s="158" t="n">
        <x:f t="shared" ref="G103:H103" si="51">+SUM(G104:G111)</x:f>
        <x:v>-10835</x:v>
      </x:c>
      <x:c r="H103" s="158">
        <x:f t="shared" si="51"/>
        <x:v>-11200</x:v>
      </x:c>
      <x:c r="I103" s="202" t="n">
        <x:f t="shared" ref="I103:N103" si="52">+SUM(I104:I111)</x:f>
        <x:v>-11211.50265</x:v>
      </x:c>
      <x:c r="J103" s="202">
        <x:f t="shared" si="52"/>
        <x:v>-11047.625196500001</x:v>
      </x:c>
      <x:c r="K103" s="202">
        <x:f t="shared" si="52"/>
        <x:v>-10906.898347057002</x:v>
      </x:c>
      <x:c r="L103" s="202">
        <x:f t="shared" si="52"/>
        <x:v>-10981.51278362453</x:v>
      </x:c>
      <x:c r="M103" s="202">
        <x:f t="shared" si="52"/>
        <x:v>-11077.233595601392</x:v>
      </x:c>
      <x:c r="N103" s="270">
        <x:f t="shared" si="52"/>
        <x:v>-11220.186733803785</x:v>
      </x:c>
    </x:row>
    <x:row r="104" ht="16.200000762939453" customHeight="1">
      <x:c r="B104" s="183" t="s">
        <x:v>7</x:v>
      </x:c>
      <x:c r="C104" s="97"/>
      <x:c r="D104" s="97"/>
      <x:c r="E104" s="97"/>
      <x:c r="F104" s="162">
        <x:v>-3905</x:v>
      </x:c>
      <x:c r="G104" s="162">
        <x:v>-4116</x:v>
      </x:c>
      <x:c r="H104" s="162">
        <x:v>-4102</x:v>
      </x:c>
      <x:c r="I104" s="202" t="n">
        <x:f t="shared" ref="I104:N104" si="53">-(1-I14)*I7</x:f>
        <x:v>-4399.88112</x:v>
      </x:c>
      <x:c r="J104" s="202">
        <x:f t="shared" si="53"/>
        <x:v>-4311.8834976000007</x:v>
      </x:c>
      <x:c r="K104" s="202">
        <x:f t="shared" si="53"/>
        <x:v>-4225.6458276480007</x:v>
      </x:c>
      <x:c r="L104" s="202">
        <x:f t="shared" si="53"/>
        <x:v>-4352.4152024774403</x:v>
      </x:c>
      <x:c r="M104" s="202">
        <x:f t="shared" si="53"/>
        <x:v>-4439.4635065269895</x:v>
      </x:c>
      <x:c r="N104" s="270">
        <x:f t="shared" si="53"/>
        <x:v>-4572.6474117227999</x:v>
      </x:c>
    </x:row>
    <x:row r="105" ht="16.200000762939453" customHeight="1">
      <x:c r="B105" s="183" t="s">
        <x:v>14</x:v>
      </x:c>
      <x:c r="C105" s="97"/>
      <x:c r="D105" s="97"/>
      <x:c r="E105" s="97"/>
      <x:c r="F105" s="162">
        <x:v>-2316</x:v>
      </x:c>
      <x:c r="G105" s="162">
        <x:v>-2392</x:v>
      </x:c>
      <x:c r="H105" s="162">
        <x:v>-2899</x:v>
      </x:c>
      <x:c r="I105" s="202" t="n">
        <x:f t="shared" ref="I105:N105" si="54">-(1-I24)*I17</x:f>
        <x:v>-3098.5550400000006</x:v>
      </x:c>
      <x:c r="J105" s="202">
        <x:f t="shared" si="54"/>
        <x:v>-3098.5550400000006</x:v>
      </x:c>
      <x:c r="K105" s="202">
        <x:f t="shared" si="54"/>
        <x:v>-3036.5839392000003</x:v>
      </x:c>
      <x:c r="L105" s="202">
        <x:f t="shared" si="54"/>
        <x:v>-2975.8522604160003</x:v>
      </x:c>
      <x:c r="M105" s="202">
        <x:f t="shared" si="54"/>
        <x:v>-2975.8522604160003</x:v>
      </x:c>
      <x:c r="N105" s="270">
        <x:f t="shared" si="54"/>
        <x:v>-2975.8522604160003</x:v>
      </x:c>
    </x:row>
    <x:row r="106" ht="16.200000762939453" customHeight="1">
      <x:c r="B106" s="183" t="s">
        <x:v>15</x:v>
      </x:c>
      <x:c r="C106" s="97"/>
      <x:c r="D106" s="97"/>
      <x:c r="E106" s="97"/>
      <x:c r="F106" s="162">
        <x:v>-878</x:v>
      </x:c>
      <x:c r="G106" s="162">
        <x:v>-925</x:v>
      </x:c>
      <x:c r="H106" s="162">
        <x:v>-929</x:v>
      </x:c>
      <x:c r="I106" s="202" t="n">
        <x:f t="shared" ref="I106:N106" si="55">-(1-I34)*I27</x:f>
        <x:v>-938.8040900000001</x:v>
      </x:c>
      <x:c r="J106" s="202">
        <x:f t="shared" si="55"/>
        <x:v>-948.19213090000017</x:v>
      </x:c>
      <x:c r="K106" s="202">
        <x:f t="shared" si="55"/>
        <x:v>-957.67405220900014</x:v>
      </x:c>
      <x:c r="L106" s="202">
        <x:f t="shared" si="55"/>
        <x:v>-967.2507927310902</x:v>
      </x:c>
      <x:c r="M106" s="202">
        <x:f t="shared" si="55"/>
        <x:v>-976.9233006584011</x:v>
      </x:c>
      <x:c r="N106" s="270">
        <x:f t="shared" si="55"/>
        <x:v>-986.69253366498504</x:v>
      </x:c>
    </x:row>
    <x:row r="107" ht="16.200000762939453" customHeight="1">
      <x:c r="B107" s="183" t="s">
        <x:v>16</x:v>
      </x:c>
      <x:c r="C107" s="97"/>
      <x:c r="D107" s="97"/>
      <x:c r="E107" s="97"/>
      <x:c r="F107" s="162">
        <x:v>-2959</x:v>
      </x:c>
      <x:c r="G107" s="162">
        <x:v>-3221</x:v>
      </x:c>
      <x:c r="H107" s="162">
        <x:v>-2993</x:v>
      </x:c>
      <x:c r="I107" s="202" t="n">
        <x:f t="shared" ref="I107:N107" si="56">-(1-I44)*I37</x:f>
        <x:v>-2742.2624</x:v>
      </x:c>
      <x:c r="J107" s="202">
        <x:f t="shared" si="56"/>
        <x:v>-2659.9945280000002</x:v>
      </x:c>
      <x:c r="K107" s="202">
        <x:f t="shared" si="56"/>
        <x:v>-2659.9945280000002</x:v>
      </x:c>
      <x:c r="L107" s="202">
        <x:f t="shared" si="56"/>
        <x:v>-2659.9945280000002</x:v>
      </x:c>
      <x:c r="M107" s="202">
        <x:f t="shared" si="56"/>
        <x:v>-2659.9945280000002</x:v>
      </x:c>
      <x:c r="N107" s="270">
        <x:f t="shared" si="56"/>
        <x:v>-2659.9945280000002</x:v>
      </x:c>
    </x:row>
    <x:row r="108" ht="16.200000762939453" customHeight="1">
      <x:c r="B108" s="183" t="s">
        <x:v>52</x:v>
      </x:c>
      <x:c r="C108" s="97"/>
      <x:c r="D108" s="97"/>
      <x:c r="E108" s="97"/>
      <x:c r="F108" s="162">
        <x:v>-18</x:v>
      </x:c>
      <x:c r="G108" s="162">
        <x:v>-35</x:v>
      </x:c>
      <x:c r="H108" s="162">
        <x:v>-29</x:v>
      </x:c>
      <x:c r="I108" s="203">
        <x:v>0</x:v>
      </x:c>
      <x:c r="J108" s="203">
        <x:v>0</x:v>
      </x:c>
      <x:c r="K108" s="203">
        <x:v>0</x:v>
      </x:c>
      <x:c r="L108" s="203">
        <x:v>0</x:v>
      </x:c>
      <x:c r="M108" s="203">
        <x:v>0</x:v>
      </x:c>
      <x:c r="N108" s="357">
        <x:v>0</x:v>
      </x:c>
    </x:row>
    <x:row r="109" ht="16.200000762939453" customHeight="1">
      <x:c r="B109" s="183" t="s">
        <x:v>55</x:v>
      </x:c>
      <x:c r="C109" s="97"/>
      <x:c r="D109" s="97"/>
      <x:c r="E109" s="97"/>
      <x:c r="F109" s="162">
        <x:v>-71</x:v>
      </x:c>
      <x:c r="G109" s="162">
        <x:v>-107</x:v>
      </x:c>
      <x:c r="H109" s="162">
        <x:v>-176</x:v>
      </x:c>
      <x:c r="I109" s="203">
        <x:v>0</x:v>
      </x:c>
      <x:c r="J109" s="203">
        <x:v>0</x:v>
      </x:c>
      <x:c r="K109" s="203">
        <x:v>0</x:v>
      </x:c>
      <x:c r="L109" s="203">
        <x:v>0</x:v>
      </x:c>
      <x:c r="M109" s="203">
        <x:v>0</x:v>
      </x:c>
      <x:c r="N109" s="357">
        <x:v>0</x:v>
      </x:c>
    </x:row>
    <x:row r="110" ht="16.200000762939453" customHeight="1">
      <x:c r="B110" s="183" t="s">
        <x:v>56</x:v>
      </x:c>
      <x:c r="C110" s="97"/>
      <x:c r="D110" s="97"/>
      <x:c r="E110" s="97"/>
      <x:c r="F110" s="162">
        <x:v>0</x:v>
      </x:c>
      <x:c r="G110" s="162">
        <x:v>0</x:v>
      </x:c>
      <x:c r="H110" s="162">
        <x:v>-38</x:v>
      </x:c>
      <x:c r="I110" s="203">
        <x:v>0</x:v>
      </x:c>
      <x:c r="J110" s="203">
        <x:v>0</x:v>
      </x:c>
      <x:c r="K110" s="203">
        <x:v>0</x:v>
      </x:c>
      <x:c r="L110" s="203">
        <x:v>0</x:v>
      </x:c>
      <x:c r="M110" s="203">
        <x:v>0</x:v>
      </x:c>
      <x:c r="N110" s="357">
        <x:v>0</x:v>
      </x:c>
    </x:row>
    <x:row r="111" ht="16.200000762939453" customHeight="1">
      <x:c r="B111" s="183" t="s">
        <x:v>57</x:v>
      </x:c>
      <x:c r="C111" s="97"/>
      <x:c r="D111" s="97"/>
      <x:c r="E111" s="97"/>
      <x:c r="F111" s="162">
        <x:v>-52</x:v>
      </x:c>
      <x:c r="G111" s="162">
        <x:v>-39</x:v>
      </x:c>
      <x:c r="H111" s="162">
        <x:v>-34</x:v>
      </x:c>
      <x:c r="I111" s="202" t="n">
        <x:f>-I120</x:f>
        <x:v>-32</x:v>
      </x:c>
      <x:c r="J111" s="202" t="n">
        <x:f t="shared" ref="J111:N111" si="57">-J120</x:f>
        <x:v>-29</x:v>
      </x:c>
      <x:c r="K111" s="202">
        <x:f t="shared" si="57"/>
        <x:v>-27</x:v>
      </x:c>
      <x:c r="L111" s="202">
        <x:f t="shared" si="57"/>
        <x:v>-26</x:v>
      </x:c>
      <x:c r="M111" s="202">
        <x:f t="shared" si="57"/>
        <x:v>-25</x:v>
      </x:c>
      <x:c r="N111" s="270">
        <x:f t="shared" si="57"/>
        <x:v>-25</x:v>
      </x:c>
    </x:row>
    <x:row r="112" ht="16.200000762939453" customHeight="1">
      <x:c r="B112" s="187" t="s">
        <x:v>58</x:v>
      </x:c>
      <x:c r="C112" s="188"/>
      <x:c r="D112" s="188"/>
      <x:c r="E112" s="188"/>
      <x:c r="F112" s="201" t="n">
        <x:f t="shared" ref="F112:N112" si="58">+F95+F103</x:f>
        <x:v>2670</x:v>
      </x:c>
      <x:c r="G112" s="201">
        <x:f t="shared" si="58"/>
        <x:v>2848</x:v>
      </x:c>
      <x:c r="H112" s="201">
        <x:f t="shared" si="58"/>
        <x:v>2502</x:v>
      </x:c>
      <x:c r="I112" s="204">
        <x:f t="shared" si="58"/>
        <x:v>3042.9232084822725</x:v>
      </x:c>
      <x:c r="J112" s="204">
        <x:f t="shared" si="58"/>
        <x:v>3007.4589436552906</x:v>
      </x:c>
      <x:c r="K112" s="204">
        <x:f t="shared" si="58"/>
        <x:v>2968.1670151579128</x:v>
      </x:c>
      <x:c r="L112" s="204">
        <x:f t="shared" si="58"/>
        <x:v>2992.5556951427661</x:v>
      </x:c>
      <x:c r="M112" s="204">
        <x:f t="shared" si="58"/>
        <x:v>3023.1126976888481</x:v>
      </x:c>
      <x:c r="N112" s="358">
        <x:f t="shared" si="58"/>
        <x:v>3066.6247956160951</x:v>
      </x:c>
    </x:row>
    <x:row r="113" ht="16.200000762939453" customHeight="1">
      <x:c r="B113" s="96"/>
      <x:c r="C113" s="97"/>
      <x:c r="D113" s="97"/>
      <x:c r="E113" s="97"/>
      <x:c r="F113" s="191"/>
      <x:c r="G113" s="191"/>
      <x:c r="H113" s="191"/>
      <x:c r="I113" s="191"/>
      <x:c r="J113" s="191"/>
      <x:c r="K113" s="191"/>
      <x:c r="L113" s="191"/>
      <x:c r="M113" s="191"/>
      <x:c r="N113" s="192"/>
    </x:row>
    <x:row r="114" ht="16.200000762939453" customHeight="1">
      <x:c r="B114" s="181" t="s">
        <x:v>59</x:v>
      </x:c>
      <x:c r="C114" s="97"/>
      <x:c r="D114" s="97"/>
      <x:c r="E114" s="97"/>
      <x:c r="F114" s="162" t="n">
        <x:f>-1186+69</x:f>
        <x:v>-1117</x:v>
      </x:c>
      <x:c r="G114" s="162" t="n">
        <x:f>-1225+69</x:f>
        <x:v>-1156</x:v>
      </x:c>
      <x:c r="H114" s="162" t="n">
        <x:f>-1156+74</x:f>
        <x:v>-1082</x:v>
      </x:c>
      <x:c r="I114" s="202" t="n">
        <x:f>-Operating_Model!I47*I$95</x:f>
        <x:v>-1140.3540686785818</x:v>
      </x:c>
      <x:c r="J114" s="202" t="n">
        <x:f>-Operating_Model!J47*J$95</x:f>
        <x:v>-1124.4067312124234</x:v>
      </x:c>
      <x:c r="K114" s="202" t="n">
        <x:f>-Operating_Model!K47*K$95</x:f>
        <x:v>-1110.0052289771932</x:v>
      </x:c>
      <x:c r="L114" s="202" t="n">
        <x:f>-Operating_Model!L47*L$95</x:f>
        <x:v>-1117.9254783013837</x:v>
      </x:c>
      <x:c r="M114" s="202" t="n">
        <x:f>-Operating_Model!M47*M$95</x:f>
        <x:v>-1128.0277034632193</x:v>
      </x:c>
      <x:c r="N114" s="270" t="n">
        <x:f>-Operating_Model!N47*N$95</x:f>
        <x:v>-1142.9449223535903</x:v>
      </x:c>
    </x:row>
    <x:row r="115" ht="16.200000762939453" customHeight="1">
      <x:c r="B115" s="181" t="s">
        <x:v>60</x:v>
      </x:c>
      <x:c r="C115" s="97"/>
      <x:c r="D115" s="97"/>
      <x:c r="E115" s="97"/>
      <x:c r="F115" s="162">
        <x:v>-601</x:v>
      </x:c>
      <x:c r="G115" s="162">
        <x:v>-570</x:v>
      </x:c>
      <x:c r="H115" s="162">
        <x:v>-491</x:v>
      </x:c>
      <x:c r="I115" s="202" t="n">
        <x:f>-Operating_Model!I49*I$95</x:f>
        <x:v>-570.1770343392909</x:v>
      </x:c>
      <x:c r="J115" s="202" t="n">
        <x:f>-Operating_Model!J49*J$95</x:f>
        <x:v>-562.2033656062117</x:v>
      </x:c>
      <x:c r="K115" s="202" t="n">
        <x:f>-Operating_Model!K49*K$95</x:f>
        <x:v>-555.0026144885966</x:v>
      </x:c>
      <x:c r="L115" s="202" t="n">
        <x:f>-Operating_Model!L49*L$95</x:f>
        <x:v>-558.9627391506918</x:v>
      </x:c>
      <x:c r="M115" s="202" t="n">
        <x:f>-Operating_Model!M49*M$95</x:f>
        <x:v>-564.0138517316096</x:v>
      </x:c>
      <x:c r="N115" s="270" t="n">
        <x:f>-Operating_Model!N49*N$95</x:f>
        <x:v>-571.4724611767952</x:v>
      </x:c>
    </x:row>
    <x:row r="116" ht="16.200000762939453" customHeight="1">
      <x:c r="B116" s="181" t="s">
        <x:v>61</x:v>
      </x:c>
      <x:c r="C116" s="97"/>
      <x:c r="D116" s="97"/>
      <x:c r="E116" s="97"/>
      <x:c r="F116" s="162">
        <x:v>-69</x:v>
      </x:c>
      <x:c r="G116" s="162">
        <x:v>-69</x:v>
      </x:c>
      <x:c r="H116" s="162">
        <x:v>-74</x:v>
      </x:c>
      <x:c r="I116" s="205" t="n">
        <x:f>-Schedules!I40</x:f>
        <x:v>-53.10755628291147</x:v>
      </x:c>
      <x:c r="J116" s="205" t="n">
        <x:f>-Schedules!J40</x:f>
        <x:v>-58.46553217420441</x:v>
      </x:c>
      <x:c r="K116" s="205" t="n">
        <x:f>-Schedules!K40</x:f>
        <x:v>-63.75488262984956</x:v>
      </x:c>
      <x:c r="L116" s="205" t="n">
        <x:f>-Schedules!L40</x:f>
        <x:v>-69.08197432605655</x:v>
      </x:c>
      <x:c r="M116" s="205" t="n">
        <x:f>-Schedules!M40</x:f>
        <x:v>-74.457204722756</x:v>
      </x:c>
      <x:c r="N116" s="359" t="n">
        <x:f>-Schedules!N40</x:f>
        <x:v>-79.90351802652197</x:v>
      </x:c>
    </x:row>
    <x:row r="117" s="7" customFormat="1" ht="16.200000762939453" customHeight="1">
      <x:c r="A117" s="25"/>
      <x:c r="B117" s="187" t="s">
        <x:v>62</x:v>
      </x:c>
      <x:c r="C117" s="188"/>
      <x:c r="D117" s="188"/>
      <x:c r="E117" s="188"/>
      <x:c r="F117" s="201" t="n">
        <x:f>+F112+SUM(F114:F116)</x:f>
        <x:v>883</x:v>
      </x:c>
      <x:c r="G117" s="201" t="n">
        <x:f t="shared" ref="G117:N117" si="59">+G112+SUM(G114:G116)</x:f>
        <x:v>1053</x:v>
      </x:c>
      <x:c r="H117" s="201">
        <x:f t="shared" si="59"/>
        <x:v>855</x:v>
      </x:c>
      <x:c r="I117" s="204">
        <x:f t="shared" si="59"/>
        <x:v>1279.2845491814883</x:v>
      </x:c>
      <x:c r="J117" s="204">
        <x:f t="shared" si="59"/>
        <x:v>1262.3833146624511</x:v>
      </x:c>
      <x:c r="K117" s="204">
        <x:f t="shared" si="59"/>
        <x:v>1239.4042890622734</x:v>
      </x:c>
      <x:c r="L117" s="204">
        <x:f t="shared" si="59"/>
        <x:v>1246.5855033646342</x:v>
      </x:c>
      <x:c r="M117" s="204">
        <x:f t="shared" si="59"/>
        <x:v>1256.6139377712632</x:v>
      </x:c>
      <x:c r="N117" s="358">
        <x:f t="shared" si="59"/>
        <x:v>1272.3038940591878</x:v>
      </x:c>
    </x:row>
    <x:row r="118" s="7" customFormat="1" ht="16.200000762939453" customHeight="1">
      <x:c r="A118" s="25"/>
      <x:c r="B118" s="96"/>
      <x:c r="C118" s="97"/>
      <x:c r="D118" s="97"/>
      <x:c r="E118" s="97"/>
      <x:c r="F118" s="194"/>
      <x:c r="G118" s="194"/>
      <x:c r="H118" s="194"/>
      <x:c r="I118" s="194"/>
      <x:c r="J118" s="194"/>
      <x:c r="K118" s="194"/>
      <x:c r="L118" s="194"/>
      <x:c r="M118" s="194"/>
      <x:c r="N118" s="195"/>
    </x:row>
    <x:row r="119" ht="16.200000762939453" customHeight="1">
      <x:c r="B119" s="181" t="s">
        <x:v>63</x:v>
      </x:c>
      <x:c r="C119" s="97"/>
      <x:c r="D119" s="97"/>
      <x:c r="E119" s="97"/>
      <x:c r="F119" s="162">
        <x:v>340</x:v>
      </x:c>
      <x:c r="G119" s="162">
        <x:v>353</x:v>
      </x:c>
      <x:c r="H119" s="162">
        <x:v>344</x:v>
      </x:c>
      <x:c r="I119" s="205" t="e">
        <x:f>Schedules!I24</x:f>
        <x:v>#VALUE!</x:v>
      </x:c>
      <x:c r="J119" s="205" t="n">
        <x:f>Schedules!J24</x:f>
        <x:v>337.82852999591273</x:v>
      </x:c>
      <x:c r="K119" s="205" t="n">
        <x:f>Schedules!K24</x:f>
        <x:v>379.4537260825574</x:v>
      </x:c>
      <x:c r="L119" s="205" t="n">
        <x:f>Schedules!L24</x:f>
        <x:v>421.3759315188593</x:v>
      </x:c>
      <x:c r="M119" s="205" t="n">
        <x:f>Schedules!M24</x:f>
        <x:v>463.6769703987301</x:v>
      </x:c>
      <x:c r="N119" s="359" t="n">
        <x:f>Schedules!N24</x:f>
        <x:v>506.5374049869897</x:v>
      </x:c>
    </x:row>
    <x:row r="120" ht="16.200000762939453" customHeight="1">
      <x:c r="B120" s="181" t="s">
        <x:v>64</x:v>
      </x:c>
      <x:c r="C120" s="97"/>
      <x:c r="D120" s="97"/>
      <x:c r="E120" s="97"/>
      <x:c r="F120" s="162">
        <x:v>52</x:v>
      </x:c>
      <x:c r="G120" s="162">
        <x:v>39</x:v>
      </x:c>
      <x:c r="H120" s="162">
        <x:v>34</x:v>
      </x:c>
      <x:c r="I120" s="173" t="n">
        <x:f t="shared" ref="I120:N120" si="60">I84</x:f>
        <x:v>32</x:v>
      </x:c>
      <x:c r="J120" s="173">
        <x:f t="shared" si="60"/>
        <x:v>29</x:v>
      </x:c>
      <x:c r="K120" s="173">
        <x:f t="shared" si="60"/>
        <x:v>27</x:v>
      </x:c>
      <x:c r="L120" s="173">
        <x:f t="shared" si="60"/>
        <x:v>26</x:v>
      </x:c>
      <x:c r="M120" s="173">
        <x:f t="shared" si="60"/>
        <x:v>25</x:v>
      </x:c>
      <x:c r="N120" s="353">
        <x:f t="shared" si="60"/>
        <x:v>25</x:v>
      </x:c>
    </x:row>
    <x:row r="121" s="7" customFormat="1" ht="16.200000762939453" customHeight="1">
      <x:c r="A121" s="25"/>
      <x:c r="B121" s="187" t="s">
        <x:v>65</x:v>
      </x:c>
      <x:c r="C121" s="188"/>
      <x:c r="D121" s="188"/>
      <x:c r="E121" s="188"/>
      <x:c r="F121" s="201" t="n">
        <x:f t="shared" ref="F121:N121" si="61">+F117+SUM(F119:F120)</x:f>
        <x:v>1275</x:v>
      </x:c>
      <x:c r="G121" s="201">
        <x:f t="shared" si="61"/>
        <x:v>1445</x:v>
      </x:c>
      <x:c r="H121" s="201">
        <x:f t="shared" si="61"/>
        <x:v>1233</x:v>
      </x:c>
      <x:c r="I121" s="204">
        <x:f t="shared" si="61"/>
        <x:v>1606.9478267569352</x:v>
      </x:c>
      <x:c r="J121" s="204">
        <x:f t="shared" si="61"/>
        <x:v>1629.2118446583638</x:v>
      </x:c>
      <x:c r="K121" s="204">
        <x:f t="shared" si="61"/>
        <x:v>1645.8580151448309</x:v>
      </x:c>
      <x:c r="L121" s="204">
        <x:f t="shared" si="61"/>
        <x:v>1693.9614348834934</x:v>
      </x:c>
      <x:c r="M121" s="204">
        <x:f t="shared" si="61"/>
        <x:v>1745.2909081699931</x:v>
      </x:c>
      <x:c r="N121" s="358">
        <x:f t="shared" si="61"/>
        <x:v>1803.8412990461775</x:v>
      </x:c>
    </x:row>
    <x:row r="122" ht="16.200000762939453" customHeight="1">
      <x:c r="B122" s="96"/>
      <x:c r="C122" s="97"/>
      <x:c r="D122" s="97"/>
      <x:c r="E122" s="97"/>
      <x:c r="F122" s="136"/>
      <x:c r="G122" s="136"/>
      <x:c r="H122" s="136"/>
      <x:c r="I122" s="140"/>
      <x:c r="J122" s="140"/>
      <x:c r="K122" s="140"/>
      <x:c r="L122" s="140"/>
      <x:c r="M122" s="140"/>
      <x:c r="N122" s="141"/>
    </x:row>
    <x:row r="123" ht="16.200000762939453" customHeight="1">
      <x:c r="B123" s="181" t="s">
        <x:v>66</x:v>
      </x:c>
      <x:c r="C123" s="97"/>
      <x:c r="D123" s="97"/>
      <x:c r="E123" s="97"/>
      <x:c r="F123" s="162">
        <x:v>0</x:v>
      </x:c>
      <x:c r="G123" s="162">
        <x:v>-126</x:v>
      </x:c>
      <x:c r="H123" s="162">
        <x:v>-78</x:v>
      </x:c>
      <x:c r="I123" s="203">
        <x:v>0</x:v>
      </x:c>
      <x:c r="J123" s="203">
        <x:v>0</x:v>
      </x:c>
      <x:c r="K123" s="203">
        <x:v>0</x:v>
      </x:c>
      <x:c r="L123" s="203">
        <x:v>0</x:v>
      </x:c>
      <x:c r="M123" s="203">
        <x:v>0</x:v>
      </x:c>
      <x:c r="N123" s="357">
        <x:v>0</x:v>
      </x:c>
    </x:row>
    <x:row r="124" ht="16.200000762939453" customHeight="1">
      <x:c r="B124" s="181" t="s">
        <x:v>67</x:v>
      </x:c>
      <x:c r="C124" s="97"/>
      <x:c r="D124" s="97"/>
      <x:c r="E124" s="97"/>
      <x:c r="F124" s="162">
        <x:v>-146</x:v>
      </x:c>
      <x:c r="G124" s="162">
        <x:v>-133</x:v>
      </x:c>
      <x:c r="H124" s="162">
        <x:v>-129</x:v>
      </x:c>
      <x:c r="I124" s="202" t="n">
        <x:f>-AVERAGE(H153:I153)*I67</x:f>
        <x:v>-119.45500000000001</x:v>
      </x:c>
      <x:c r="J124" s="202" t="n">
        <x:f t="shared" ref="J124:N124" si="62">-AVERAGE(I153:J153)*J67</x:f>
        <x:v>-107.20500000000001</x:v>
      </x:c>
      <x:c r="K124" s="202">
        <x:f t="shared" si="62"/>
        <x:v>-94.955000000000013</x:v>
      </x:c>
      <x:c r="L124" s="202">
        <x:f t="shared" si="62"/>
        <x:v>-82.705000000000013</x:v>
      </x:c>
      <x:c r="M124" s="202">
        <x:f t="shared" si="62"/>
        <x:v>-70.455000000000013</x:v>
      </x:c>
      <x:c r="N124" s="270">
        <x:f t="shared" si="62"/>
        <x:v>-52.955000000000005</x:v>
      </x:c>
    </x:row>
    <x:row r="125" ht="16.200000762939453" customHeight="1">
      <x:c r="B125" s="181" t="s">
        <x:v>68</x:v>
      </x:c>
      <x:c r="C125" s="97"/>
      <x:c r="D125" s="97"/>
      <x:c r="E125" s="196"/>
      <x:c r="F125" s="162">
        <x:v>39</x:v>
      </x:c>
      <x:c r="G125" s="162">
        <x:v>56</x:v>
      </x:c>
      <x:c r="H125" s="162">
        <x:v>32</x:v>
      </x:c>
      <x:c r="I125" s="202" t="n">
        <x:f ca="1">+I70*AVERAGE(H134:I134)</x:f>
        <x:v>25.23439463035951</x:v>
      </x:c>
      <x:c r="J125" s="202" t="n">
        <x:f t="shared" ref="J125:N125" ca="1" si="63">+J70*AVERAGE(I134:J134)</x:f>
        <x:v>27.679619496789318</x:v>
      </x:c>
      <x:c r="K125" s="202">
        <x:f t="shared" ca="1" si="63"/>
        <x:v>40.133779344186372</x:v>
      </x:c>
      <x:c r="L125" s="202">
        <x:f t="shared" ca="1" si="63"/>
        <x:v>53.234290386583488</x:v>
      </x:c>
      <x:c r="M125" s="202">
        <x:f t="shared" ca="1" si="63"/>
        <x:v>67.155652799193959</x:v>
      </x:c>
      <x:c r="N125" s="270">
        <x:f t="shared" ca="1" si="63"/>
        <x:v>79.189629678055013</x:v>
      </x:c>
    </x:row>
    <x:row r="126" ht="16.200000762939453" customHeight="1">
      <x:c r="B126" s="181" t="s">
        <x:v>69</x:v>
      </x:c>
      <x:c r="C126" s="97"/>
      <x:c r="D126" s="97"/>
      <x:c r="E126" s="97"/>
      <x:c r="F126" s="162">
        <x:v>240</x:v>
      </x:c>
      <x:c r="G126" s="162">
        <x:v>237</x:v>
      </x:c>
      <x:c r="H126" s="162">
        <x:v>263</x:v>
      </x:c>
      <x:c r="I126" s="202" t="n">
        <x:f t="shared" ref="I126:N126" si="64">+I95*I51</x:f>
        <x:v>285.08851716964546</x:v>
      </x:c>
      <x:c r="J126" s="202">
        <x:f t="shared" si="64"/>
        <x:v>281.10168280310586</x:v>
      </x:c>
      <x:c r="K126" s="202">
        <x:f t="shared" si="64"/>
        <x:v>277.50130724429829</x:v>
      </x:c>
      <x:c r="L126" s="202">
        <x:f t="shared" si="64"/>
        <x:v>279.48136957534592</x:v>
      </x:c>
      <x:c r="M126" s="202">
        <x:f t="shared" si="64"/>
        <x:v>282.00692586580482</x:v>
      </x:c>
      <x:c r="N126" s="270">
        <x:f t="shared" si="64"/>
        <x:v>285.73623058839758</x:v>
      </x:c>
    </x:row>
    <x:row r="127" s="7" customFormat="1" ht="16.200000762939453" customHeight="1">
      <x:c r="A127" s="25"/>
      <x:c r="B127" s="187" t="s">
        <x:v>70</x:v>
      </x:c>
      <x:c r="C127" s="188"/>
      <x:c r="D127" s="188"/>
      <x:c r="E127" s="188"/>
      <x:c r="F127" s="201" t="n">
        <x:f t="shared" ref="F127:N127" si="65">+F117+SUM(F123:F126)</x:f>
        <x:v>1016</x:v>
      </x:c>
      <x:c r="G127" s="201">
        <x:f t="shared" si="65"/>
        <x:v>1087</x:v>
      </x:c>
      <x:c r="H127" s="201">
        <x:f t="shared" si="65"/>
        <x:v>943</x:v>
      </x:c>
      <x:c r="I127" s="204">
        <x:f t="shared" ca="1" si="65"/>
        <x:v>1470.1524609814933</x:v>
      </x:c>
      <x:c r="J127" s="204">
        <x:f t="shared" ca="1" si="65"/>
        <x:v>1463.9596169623462</x:v>
      </x:c>
      <x:c r="K127" s="204">
        <x:f t="shared" ca="1" si="65"/>
        <x:v>1462.0843756507579</x:v>
      </x:c>
      <x:c r="L127" s="204">
        <x:f t="shared" ca="1" si="65"/>
        <x:v>1496.5961633265636</x:v>
      </x:c>
      <x:c r="M127" s="204">
        <x:f t="shared" ca="1" si="65"/>
        <x:v>1535.3215164362618</x:v>
      </x:c>
      <x:c r="N127" s="358">
        <x:f t="shared" ca="1" si="65"/>
        <x:v>1584.2747543256403</x:v>
      </x:c>
    </x:row>
    <x:row r="128" ht="16.200000762939453" customHeight="1">
      <x:c r="B128" s="181" t="s">
        <x:v>71</x:v>
      </x:c>
      <x:c r="C128" s="97"/>
      <x:c r="D128" s="97"/>
      <x:c r="E128" s="97"/>
      <x:c r="F128" s="162">
        <x:v>-154</x:v>
      </x:c>
      <x:c r="G128" s="162">
        <x:v>-165</x:v>
      </x:c>
      <x:c r="H128" s="162">
        <x:v>-118</x:v>
      </x:c>
      <x:c r="I128" s="202" t="n">
        <x:f t="shared" ref="I128:N128" ca="1" si="66">-I53*I127</x:f>
        <x:v>-367.5381152453733</x:v>
      </x:c>
      <x:c r="J128" s="202">
        <x:f t="shared" ca="1" si="66"/>
        <x:v>-365.98990424058655</x:v>
      </x:c>
      <x:c r="K128" s="202">
        <x:f t="shared" ca="1" si="66"/>
        <x:v>-365.52109391268948</x:v>
      </x:c>
      <x:c r="L128" s="202">
        <x:f t="shared" ca="1" si="66"/>
        <x:v>-374.14904083164089</x:v>
      </x:c>
      <x:c r="M128" s="202">
        <x:f t="shared" ca="1" si="66"/>
        <x:v>-383.83037910906546</x:v>
      </x:c>
      <x:c r="N128" s="270">
        <x:f t="shared" ca="1" si="66"/>
        <x:v>-396.06868858141007</x:v>
      </x:c>
    </x:row>
    <x:row r="129" s="7" customFormat="1" ht="16.200000762939453" customHeight="1">
      <x:c r="A129" s="25"/>
      <x:c r="B129" s="187" t="s">
        <x:v>72</x:v>
      </x:c>
      <x:c r="C129" s="188"/>
      <x:c r="D129" s="188"/>
      <x:c r="E129" s="188"/>
      <x:c r="F129" s="201" t="n">
        <x:f t="shared" ref="F129:N129" si="67">+F127+F128</x:f>
        <x:v>862</x:v>
      </x:c>
      <x:c r="G129" s="201">
        <x:f t="shared" si="67"/>
        <x:v>922</x:v>
      </x:c>
      <x:c r="H129" s="201">
        <x:f t="shared" si="67"/>
        <x:v>825</x:v>
      </x:c>
      <x:c r="I129" s="204">
        <x:f t="shared" ca="1" si="67"/>
        <x:v>1102.61434573612</x:v>
      </x:c>
      <x:c r="J129" s="204">
        <x:f t="shared" ca="1" si="67"/>
        <x:v>1097.9697127217596</x:v>
      </x:c>
      <x:c r="K129" s="204">
        <x:f t="shared" ca="1" si="67"/>
        <x:v>1096.5632817380683</x:v>
      </x:c>
      <x:c r="L129" s="204">
        <x:f t="shared" ca="1" si="67"/>
        <x:v>1122.4471224949227</x:v>
      </x:c>
      <x:c r="M129" s="204">
        <x:f t="shared" ca="1" si="67"/>
        <x:v>1151.4911373271964</x:v>
      </x:c>
      <x:c r="N129" s="358">
        <x:f t="shared" ca="1" si="67"/>
        <x:v>1188.2060657442303</x:v>
      </x:c>
    </x:row>
    <x:row r="130" ht="16.200000762939453" customHeight="1">
      <x:c r="B130" s="181" t="s">
        <x:v>73</x:v>
      </x:c>
      <x:c r="C130" s="97"/>
      <x:c r="D130" s="97"/>
      <x:c r="E130" s="97"/>
      <x:c r="F130" s="162">
        <x:v>-1</x:v>
      </x:c>
      <x:c r="G130" s="162">
        <x:v>-1</x:v>
      </x:c>
      <x:c r="H130" s="162">
        <x:v>-1</x:v>
      </x:c>
      <x:c r="I130" s="203">
        <x:v>0</x:v>
      </x:c>
      <x:c r="J130" s="203">
        <x:v>0</x:v>
      </x:c>
      <x:c r="K130" s="203">
        <x:v>0</x:v>
      </x:c>
      <x:c r="L130" s="203">
        <x:v>0</x:v>
      </x:c>
      <x:c r="M130" s="203">
        <x:v>0</x:v>
      </x:c>
      <x:c r="N130" s="357">
        <x:v>0</x:v>
      </x:c>
    </x:row>
    <x:row r="131" s="7" customFormat="1" ht="16.200000762939453" customHeight="1">
      <x:c r="A131" s="25"/>
      <x:c r="B131" s="197" t="s">
        <x:v>74</x:v>
      </x:c>
      <x:c r="C131" s="198"/>
      <x:c r="D131" s="198"/>
      <x:c r="E131" s="198"/>
      <x:c r="F131" s="199" t="n">
        <x:f t="shared" ref="F131:N131" si="68">+F129+F130</x:f>
        <x:v>861</x:v>
      </x:c>
      <x:c r="G131" s="199">
        <x:f t="shared" si="68"/>
        <x:v>921</x:v>
      </x:c>
      <x:c r="H131" s="199">
        <x:f t="shared" si="68"/>
        <x:v>824</x:v>
      </x:c>
      <x:c r="I131" s="199">
        <x:f t="shared" ca="1" si="68"/>
        <x:v>1102.61434573612</x:v>
      </x:c>
      <x:c r="J131" s="199">
        <x:f t="shared" ca="1" si="68"/>
        <x:v>1097.9697127217596</x:v>
      </x:c>
      <x:c r="K131" s="199">
        <x:f t="shared" ca="1" si="68"/>
        <x:v>1096.5632817380683</x:v>
      </x:c>
      <x:c r="L131" s="199">
        <x:f t="shared" ca="1" si="68"/>
        <x:v>1122.4471224949227</x:v>
      </x:c>
      <x:c r="M131" s="199">
        <x:f t="shared" ca="1" si="68"/>
        <x:v>1151.4911373271964</x:v>
      </x:c>
      <x:c r="N131" s="200">
        <x:f t="shared" ca="1" si="68"/>
        <x:v>1188.2060657442303</x:v>
      </x:c>
    </x:row>
    <x:row r="132" ht="16.200000762939453" customHeight="1">
      <x:c r="F132" s="18"/>
      <x:c r="G132" s="18"/>
      <x:c r="H132" s="18"/>
      <x:c r="I132" s="18"/>
      <x:c r="J132" s="18"/>
    </x:row>
    <x:row r="133" ht="16.200000762939453" customHeight="1">
      <x:c r="A133" s="5" t="s">
        <x:v>5</x:v>
      </x:c>
      <x:c r="B133" s="177" t="s">
        <x:v>75</x:v>
      </x:c>
      <x:c r="C133" s="178"/>
      <x:c r="D133" s="178"/>
      <x:c r="E133" s="178"/>
      <x:c r="F133" s="178"/>
      <x:c r="G133" s="179"/>
      <x:c r="H133" s="178"/>
      <x:c r="I133" s="178"/>
      <x:c r="J133" s="178"/>
      <x:c r="K133" s="178"/>
      <x:c r="L133" s="178"/>
      <x:c r="M133" s="178"/>
      <x:c r="N133" s="180"/>
    </x:row>
    <x:row r="134" ht="16.200000762939453" customHeight="1">
      <x:c r="B134" s="181" t="s">
        <x:v>76</x:v>
      </x:c>
      <x:c r="C134" s="97"/>
      <x:c r="D134" s="97"/>
      <x:c r="E134" s="97"/>
      <x:c r="F134" s="162" t="n">
        <x:f>1963+72</x:f>
        <x:v>2035</x:v>
      </x:c>
      <x:c r="G134" s="162" t="n">
        <x:f>2121+60</x:f>
        <x:v>2181</x:v>
      </x:c>
      <x:c r="H134" s="162" t="n">
        <x:f>1386+55</x:f>
        <x:v>1441</x:v>
      </x:c>
      <x:c r="I134" s="202" t="n">
        <x:f ca="1">+I194</x:f>
        <x:v>1082.4394630359511</x:v>
      </x:c>
      <x:c r="J134" s="202" t="n">
        <x:f t="shared" ref="J134:N134" ca="1" si="69">+J194</x:f>
        <x:v>1685.5224866429805</x:v>
      </x:c>
      <x:c r="K134" s="202">
        <x:f t="shared" ca="1" si="69"/>
        <x:v>2327.8554477756561</x:v>
      </x:c>
      <x:c r="L134" s="202">
        <x:f t="shared" ca="1" si="69"/>
        <x:v>2995.5735908826932</x:v>
      </x:c>
      <x:c r="M134" s="202">
        <x:f t="shared" ca="1" si="69"/>
        <x:v>3719.9916890367031</x:v>
      </x:c>
      <x:c r="N134" s="270">
        <x:f t="shared" ca="1" si="69"/>
        <x:v>4198.9712787687977</x:v>
      </x:c>
      <x:c r="P134" s="39"/>
      <x:c r="Q134" s="39"/>
    </x:row>
    <x:row r="135" ht="16.200000762939453" customHeight="1">
      <x:c r="B135" s="181" t="s">
        <x:v>77</x:v>
      </x:c>
      <x:c r="C135" s="97"/>
      <x:c r="D135" s="97"/>
      <x:c r="E135" s="97"/>
      <x:c r="F135" s="162" t="n">
        <x:f>855+563</x:f>
        <x:v>1418</x:v>
      </x:c>
      <x:c r="G135" s="162" t="n">
        <x:f>868+585</x:f>
        <x:v>1453</x:v>
      </x:c>
      <x:c r="H135" s="162" t="n">
        <x:f>949+603</x:f>
        <x:v>1552</x:v>
      </x:c>
      <x:c r="I135" s="202" t="n">
        <x:f>+Operating_Model!I56*I$95</x:f>
        <x:v>1567.98684443305</x:v>
      </x:c>
      <x:c r="J135" s="202" t="n">
        <x:f>+Operating_Model!J56*J$95</x:f>
        <x:v>1546.059255417082</x:v>
      </x:c>
      <x:c r="K135" s="202" t="n">
        <x:f>+Operating_Model!K56*K$95</x:f>
        <x:v>1526.2571898436406</x:v>
      </x:c>
      <x:c r="L135" s="202" t="n">
        <x:f>+Operating_Model!L56*L$95</x:f>
        <x:v>1537.1475326644027</x:v>
      </x:c>
      <x:c r="M135" s="202" t="n">
        <x:f>+Operating_Model!M56*M$95</x:f>
        <x:v>1551.0380922619265</x:v>
      </x:c>
      <x:c r="N135" s="270" t="n">
        <x:f>+Operating_Model!N56*N$95</x:f>
        <x:v>1571.5492682361867</x:v>
      </x:c>
      <x:c r="P135" s="39"/>
      <x:c r="Q135" s="39"/>
    </x:row>
    <x:row r="136" ht="16.200000762939453" customHeight="1">
      <x:c r="B136" s="181" t="s">
        <x:v>78</x:v>
      </x:c>
      <x:c r="C136" s="97"/>
      <x:c r="D136" s="97"/>
      <x:c r="E136" s="97"/>
      <x:c r="F136" s="162">
        <x:v>3550</x:v>
      </x:c>
      <x:c r="G136" s="162">
        <x:v>3914</x:v>
      </x:c>
      <x:c r="H136" s="162">
        <x:v>4071</x:v>
      </x:c>
      <x:c r="I136" s="202" t="n">
        <x:f>-Operating_Model!I57*I103</x:f>
        <x:v>4036.140954</x:v>
      </x:c>
      <x:c r="J136" s="202" t="n">
        <x:f>-Operating_Model!J57*J103</x:f>
        <x:v>3977.1450707400004</x:v>
      </x:c>
      <x:c r="K136" s="202" t="n">
        <x:f>-Operating_Model!K57*K103</x:f>
        <x:v>3926.4834049405204</x:v>
      </x:c>
      <x:c r="L136" s="202" t="n">
        <x:f>-Operating_Model!L57*L103</x:f>
        <x:v>3953.3446021048308</x:v>
      </x:c>
      <x:c r="M136" s="202" t="n">
        <x:f>-Operating_Model!M57*M103</x:f>
        <x:v>3987.804094416501</x:v>
      </x:c>
      <x:c r="N136" s="270" t="n">
        <x:f>-Operating_Model!N57*N103</x:f>
        <x:v>4039.267224169362</x:v>
      </x:c>
      <x:c r="P136" s="39"/>
      <x:c r="Q136" s="39"/>
    </x:row>
    <x:row r="137" ht="16.200000762939453" customHeight="1">
      <x:c r="B137" s="206" t="s">
        <x:v>79</x:v>
      </x:c>
      <x:c r="C137" s="207"/>
      <x:c r="D137" s="207"/>
      <x:c r="E137" s="207"/>
      <x:c r="F137" s="162">
        <x:v>1033</x:v>
      </x:c>
      <x:c r="G137" s="162">
        <x:v>857</x:v>
      </x:c>
      <x:c r="H137" s="162">
        <x:v>687</x:v>
      </x:c>
      <x:c r="I137" s="202" t="n">
        <x:f t="shared" ref="I137:N137" si="70">+I58*I$95</x:f>
        <x:v>712.7212929241136</x:v>
      </x:c>
      <x:c r="J137" s="202">
        <x:f t="shared" si="70"/>
        <x:v>702.75420700776465</x:v>
      </x:c>
      <x:c r="K137" s="202">
        <x:f t="shared" si="70"/>
        <x:v>693.75326811074581</x:v>
      </x:c>
      <x:c r="L137" s="202">
        <x:f t="shared" si="70"/>
        <x:v>698.70342393836484</x:v>
      </x:c>
      <x:c r="M137" s="202">
        <x:f t="shared" si="70"/>
        <x:v>705.01731466451201</x:v>
      </x:c>
      <x:c r="N137" s="270">
        <x:f t="shared" si="70"/>
        <x:v>714.34057647099405</x:v>
      </x:c>
      <x:c r="P137" s="39"/>
      <x:c r="Q137" s="39"/>
    </x:row>
    <x:row r="138" s="7" customFormat="1" ht="16.200000762939453" customHeight="1">
      <x:c r="A138" s="25"/>
      <x:c r="B138" s="99" t="s">
        <x:v>80</x:v>
      </x:c>
      <x:c r="C138" s="97"/>
      <x:c r="D138" s="97"/>
      <x:c r="E138" s="97"/>
      <x:c r="F138" s="221" t="n">
        <x:f t="shared" ref="F138:N138" si="71">SUM(F134:F137)</x:f>
        <x:v>8036</x:v>
      </x:c>
      <x:c r="G138" s="221">
        <x:f t="shared" si="71"/>
        <x:v>8405</x:v>
      </x:c>
      <x:c r="H138" s="221">
        <x:f t="shared" si="71"/>
        <x:v>7751</x:v>
      </x:c>
      <x:c r="I138" s="223">
        <x:f t="shared" ca="1" si="71"/>
        <x:v>7399.2885543931152</x:v>
      </x:c>
      <x:c r="J138" s="223">
        <x:f t="shared" ca="1" si="71"/>
        <x:v>7911.4810198078276</x:v>
      </x:c>
      <x:c r="K138" s="223">
        <x:f t="shared" ca="1" si="71"/>
        <x:v>8474.3493106705628</x:v>
      </x:c>
      <x:c r="L138" s="223">
        <x:f t="shared" ca="1" si="71"/>
        <x:v>9184.7691495902909</x:v>
      </x:c>
      <x:c r="M138" s="223">
        <x:f t="shared" ca="1" si="71"/>
        <x:v>9963.8511903796425</x:v>
      </x:c>
      <x:c r="N138" s="360">
        <x:f t="shared" ca="1" si="71"/>
        <x:v>10524.128347645339</x:v>
      </x:c>
      <x:c r="P138" s="39"/>
      <x:c r="Q138" s="39"/>
    </x:row>
    <x:row r="139" ht="16.200000762939453" customHeight="1">
      <x:c r="B139" s="96"/>
      <x:c r="C139" s="97"/>
      <x:c r="D139" s="97"/>
      <x:c r="E139" s="97"/>
      <x:c r="F139" s="196"/>
      <x:c r="G139" s="196"/>
      <x:c r="H139" s="196"/>
      <x:c r="I139" s="97"/>
      <x:c r="J139" s="97"/>
      <x:c r="K139" s="97"/>
      <x:c r="L139" s="97"/>
      <x:c r="M139" s="97"/>
      <x:c r="N139" s="98"/>
      <x:c r="P139" s="39"/>
      <x:c r="Q139" s="39"/>
    </x:row>
    <x:row r="140" ht="16.200000762939453" customHeight="1">
      <x:c r="B140" s="181" t="s">
        <x:v>81</x:v>
      </x:c>
      <x:c r="C140" s="97"/>
      <x:c r="D140" s="97"/>
      <x:c r="E140" s="97"/>
      <x:c r="F140" s="162">
        <x:v>2523</x:v>
      </x:c>
      <x:c r="G140" s="162" t="n">
        <x:f>2477</x:f>
        <x:v>2477</x:v>
      </x:c>
      <x:c r="H140" s="162" t="n">
        <x:f>2529</x:f>
        <x:v>2529</x:v>
      </x:c>
      <x:c r="I140" s="202" t="e">
        <x:f t="shared" ref="I140:N140" si="72">+H140-I177-I119</x:f>
        <x:v>#VALUE!</x:v>
      </x:c>
      <x:c r="J140" s="202">
        <x:f t="shared" si="72"/>
        <x:v>2744.7934923877674</x:v>
      </x:c>
      <x:c r="K140" s="202">
        <x:f t="shared" si="72"/>
        <x:v>2781.5917271716576</x:v>
      </x:c>
      <x:c r="L140" s="202">
        <x:f t="shared" si="72"/>
        <x:v>2779.4378500158168</x:v>
      </x:c>
      <x:c r="M140" s="202">
        <x:f t="shared" si="72"/>
        <x:v>2738.7712684157937</x:v>
      </x:c>
      <x:c r="N140" s="270">
        <x:f t="shared" si="72"/>
        <x:v>2660.8382093114005</x:v>
      </x:c>
      <x:c r="P140" s="39"/>
      <x:c r="Q140" s="39"/>
    </x:row>
    <x:row r="141" ht="16.200000762939453" customHeight="1">
      <x:c r="B141" s="181" t="s">
        <x:v>82</x:v>
      </x:c>
      <x:c r="C141" s="97"/>
      <x:c r="D141" s="97"/>
      <x:c r="E141" s="97"/>
      <x:c r="F141" s="162">
        <x:v>2283</x:v>
      </x:c>
      <x:c r="G141" s="162">
        <x:v>2295</x:v>
      </x:c>
      <x:c r="H141" s="162">
        <x:v>2288</x:v>
      </x:c>
      <x:c r="I141" s="202" t="n">
        <x:f t="shared" ref="I141:N141" si="73">+H141-I82</x:f>
        <x:v>2288</x:v>
      </x:c>
      <x:c r="J141" s="202">
        <x:f t="shared" si="73"/>
        <x:v>2288</x:v>
      </x:c>
      <x:c r="K141" s="202">
        <x:f t="shared" si="73"/>
        <x:v>2288</x:v>
      </x:c>
      <x:c r="L141" s="202">
        <x:f t="shared" si="73"/>
        <x:v>2288</x:v>
      </x:c>
      <x:c r="M141" s="202">
        <x:f t="shared" si="73"/>
        <x:v>2288</x:v>
      </x:c>
      <x:c r="N141" s="270">
        <x:f t="shared" si="73"/>
        <x:v>2288</x:v>
      </x:c>
      <x:c r="P141" s="39"/>
      <x:c r="Q141" s="39"/>
    </x:row>
    <x:row r="142" ht="16.200000762939453" customHeight="1">
      <x:c r="B142" s="181" t="s">
        <x:v>83</x:v>
      </x:c>
      <x:c r="C142" s="97"/>
      <x:c r="D142" s="97"/>
      <x:c r="E142" s="97"/>
      <x:c r="F142" s="162">
        <x:v>461</x:v>
      </x:c>
      <x:c r="G142" s="162">
        <x:v>399</x:v>
      </x:c>
      <x:c r="H142" s="162">
        <x:v>362</x:v>
      </x:c>
      <x:c r="I142" s="202" t="n">
        <x:f t="shared" ref="I142:N142" si="74">+H142-I120</x:f>
        <x:v>330</x:v>
      </x:c>
      <x:c r="J142" s="202">
        <x:f t="shared" si="74"/>
        <x:v>301</x:v>
      </x:c>
      <x:c r="K142" s="202">
        <x:f t="shared" si="74"/>
        <x:v>274</x:v>
      </x:c>
      <x:c r="L142" s="202">
        <x:f t="shared" si="74"/>
        <x:v>248</x:v>
      </x:c>
      <x:c r="M142" s="202">
        <x:f t="shared" si="74"/>
        <x:v>223</x:v>
      </x:c>
      <x:c r="N142" s="270">
        <x:f t="shared" si="74"/>
        <x:v>198</x:v>
      </x:c>
      <x:c r="P142" s="39"/>
      <x:c r="Q142" s="39"/>
    </x:row>
    <x:row r="143" ht="16.200000762939453" customHeight="1">
      <x:c r="B143" s="181" t="s">
        <x:v>84</x:v>
      </x:c>
      <x:c r="C143" s="97"/>
      <x:c r="D143" s="97"/>
      <x:c r="E143" s="97"/>
      <x:c r="F143" s="162" t="n">
        <x:f>223-52-43</x:f>
        <x:v>128</x:v>
      </x:c>
      <x:c r="G143" s="162" t="n">
        <x:f>443-56-38</x:f>
        <x:v>349</x:v>
      </x:c>
      <x:c r="H143" s="162" t="n">
        <x:f>394-96-37</x:f>
        <x:v>261</x:v>
      </x:c>
      <x:c r="I143" s="202" t="n">
        <x:f t="shared" ref="I143:N143" ca="1" si="75">+H143-I172</x:f>
        <x:v>352.88452881134333</x:v>
      </x:c>
      <x:c r="J143" s="202">
        <x:f t="shared" ca="1" si="75"/>
        <x:v>444.38200487148998</x:v>
      </x:c>
      <x:c r="K143" s="202">
        <x:f t="shared" ca="1" si="75"/>
        <x:v>535.76227834966232</x:v>
      </x:c>
      <x:c r="L143" s="202">
        <x:f t="shared" ca="1" si="75"/>
        <x:v>629.29953855757253</x:v>
      </x:c>
      <x:c r="M143" s="202">
        <x:f t="shared" ca="1" si="75"/>
        <x:v>725.25713333483895</x:v>
      </x:c>
      <x:c r="N143" s="270">
        <x:f t="shared" ca="1" si="75"/>
        <x:v>824.27430548019152</x:v>
      </x:c>
      <x:c r="P143" s="39"/>
      <x:c r="Q143" s="39"/>
    </x:row>
    <x:row r="144" ht="16.200000762939453" customHeight="1">
      <x:c r="B144" s="181" t="s">
        <x:v>85</x:v>
      </x:c>
      <x:c r="C144" s="97"/>
      <x:c r="D144" s="97"/>
      <x:c r="E144" s="97"/>
      <x:c r="F144" s="162">
        <x:v>372</x:v>
      </x:c>
      <x:c r="G144" s="162">
        <x:v>371</x:v>
      </x:c>
      <x:c r="H144" s="162">
        <x:v>360</x:v>
      </x:c>
      <x:c r="I144" s="205" t="n">
        <x:f>Schedules!I37</x:f>
        <x:v>384.6262039972198</x:v>
      </x:c>
      <x:c r="J144" s="205" t="n">
        <x:f>Schedules!J37</x:f>
        <x:v>404.250380946636</x:v>
      </x:c>
      <x:c r="K144" s="205" t="n">
        <x:f>Schedules!K37</x:f>
        <x:v>418.7800908575881</x:v>
      </x:c>
      <x:c r="L144" s="205" t="n">
        <x:f>Schedules!L37</x:f>
        <x:v>429.1011265015973</x:v>
      </x:c>
      <x:c r="M144" s="205" t="n">
        <x:f>Schedules!M37</x:f>
        <x:v>435.0760285170606</x:v>
      </x:c>
      <x:c r="N144" s="359" t="n">
        <x:f>Schedules!N37</x:f>
        <x:v>436.67576310053954</x:v>
      </x:c>
      <x:c r="P144" s="39"/>
      <x:c r="Q144" s="39"/>
    </x:row>
    <x:row r="145" ht="16.200000762939453" customHeight="1">
      <x:c r="B145" s="206" t="s">
        <x:v>86</x:v>
      </x:c>
      <x:c r="C145" s="207"/>
      <x:c r="D145" s="207"/>
      <x:c r="E145" s="207"/>
      <x:c r="F145" s="162" t="n">
        <x:f>3422-461-223-372+29</x:f>
        <x:v>2395</x:v>
      </x:c>
      <x:c r="G145" s="162" t="n">
        <x:f>3663-399-443-371+16</x:f>
        <x:v>2466</x:v>
      </x:c>
      <x:c r="H145" s="162" t="n">
        <x:f>4248-362-394-360+22</x:f>
        <x:v>3154</x:v>
      </x:c>
      <x:c r="I145" s="202" t="n">
        <x:f t="shared" ref="I145:N145" si="76">+I59*I$95</x:f>
        <x:v>3278.5179474509227</x:v>
      </x:c>
      <x:c r="J145" s="202">
        <x:f t="shared" si="76"/>
        <x:v>3232.6693522357173</x:v>
      </x:c>
      <x:c r="K145" s="202">
        <x:f t="shared" si="76"/>
        <x:v>3191.2650333094307</x:v>
      </x:c>
      <x:c r="L145" s="202">
        <x:f t="shared" si="76"/>
        <x:v>3214.0357501164781</x:v>
      </x:c>
      <x:c r="M145" s="202">
        <x:f t="shared" si="76"/>
        <x:v>3243.0796474567555</x:v>
      </x:c>
      <x:c r="N145" s="270">
        <x:f t="shared" si="76"/>
        <x:v>3285.9666517665723</x:v>
      </x:c>
      <x:c r="P145" s="39"/>
      <x:c r="Q145" s="39"/>
    </x:row>
    <x:row r="146" s="7" customFormat="1" ht="16.200000762939453" customHeight="1">
      <x:c r="A146" s="25"/>
      <x:c r="B146" s="99" t="s">
        <x:v>87</x:v>
      </x:c>
      <x:c r="C146" s="97"/>
      <x:c r="D146" s="97"/>
      <x:c r="E146" s="97"/>
      <x:c r="F146" s="221" t="n">
        <x:f t="shared" ref="F146:N146" si="77">SUM(F140:F145)</x:f>
        <x:v>8162</x:v>
      </x:c>
      <x:c r="G146" s="221">
        <x:f t="shared" si="77"/>
        <x:v>8357</x:v>
      </x:c>
      <x:c r="H146" s="221">
        <x:f t="shared" si="77"/>
        <x:v>8954</x:v>
      </x:c>
      <x:c r="I146" s="223">
        <x:f t="shared" ca="1" si="77"/>
        <x:v>9294.9981784385072</x:v>
      </x:c>
      <x:c r="J146" s="223">
        <x:f t="shared" ca="1" si="77"/>
        <x:v>9415.0952304416096</x:v>
      </x:c>
      <x:c r="K146" s="223">
        <x:f t="shared" ca="1" si="77"/>
        <x:v>9489.3991296883396</x:v>
      </x:c>
      <x:c r="L146" s="223">
        <x:f t="shared" ca="1" si="77"/>
        <x:v>9587.8742651914654</x:v>
      </x:c>
      <x:c r="M146" s="223">
        <x:f t="shared" ca="1" si="77"/>
        <x:v>9653.1840777244488</x:v>
      </x:c>
      <x:c r="N146" s="360">
        <x:f t="shared" ca="1" si="77"/>
        <x:v>9693.754929658704</x:v>
      </x:c>
      <x:c r="P146" s="39"/>
      <x:c r="Q146" s="39"/>
    </x:row>
    <x:row r="147" s="7" customFormat="1" ht="16.200000762939453" customHeight="1">
      <x:c r="A147" s="25"/>
      <x:c r="B147" s="211" t="s">
        <x:v>88</x:v>
      </x:c>
      <x:c r="C147" s="212"/>
      <x:c r="D147" s="212"/>
      <x:c r="E147" s="212"/>
      <x:c r="F147" s="201" t="n">
        <x:f t="shared" ref="F147:N147" si="78">+F138+F146</x:f>
        <x:v>16198</x:v>
      </x:c>
      <x:c r="G147" s="201">
        <x:f t="shared" si="78"/>
        <x:v>16762</x:v>
      </x:c>
      <x:c r="H147" s="201">
        <x:f t="shared" si="78"/>
        <x:v>16705</x:v>
      </x:c>
      <x:c r="I147" s="204">
        <x:f t="shared" ca="1" si="78"/>
        <x:v>16694.286732831621</x:v>
      </x:c>
      <x:c r="J147" s="204">
        <x:f t="shared" ca="1" si="78"/>
        <x:v>17326.576250249436</x:v>
      </x:c>
      <x:c r="K147" s="204">
        <x:f t="shared" ca="1" si="78"/>
        <x:v>17963.748440358904</x:v>
      </x:c>
      <x:c r="L147" s="204">
        <x:f t="shared" ca="1" si="78"/>
        <x:v>18772.643414781756</x:v>
      </x:c>
      <x:c r="M147" s="204">
        <x:f t="shared" ca="1" si="78"/>
        <x:v>19617.035268104089</x:v>
      </x:c>
      <x:c r="N147" s="358">
        <x:f t="shared" ca="1" si="78"/>
        <x:v>20217.883277304041</x:v>
      </x:c>
      <x:c r="P147" s="39"/>
      <x:c r="Q147" s="39"/>
    </x:row>
    <x:row r="148" ht="16.200000762939453" customHeight="1">
      <x:c r="B148" s="96"/>
      <x:c r="C148" s="97"/>
      <x:c r="D148" s="97"/>
      <x:c r="E148" s="97"/>
      <x:c r="F148" s="140"/>
      <x:c r="G148" s="140"/>
      <x:c r="H148" s="140"/>
      <x:c r="I148" s="140"/>
      <x:c r="J148" s="140"/>
      <x:c r="K148" s="140"/>
      <x:c r="L148" s="140"/>
      <x:c r="M148" s="140"/>
      <x:c r="N148" s="141"/>
      <x:c r="P148" s="39"/>
      <x:c r="Q148" s="39"/>
    </x:row>
    <x:row r="149" ht="16.200000762939453" customHeight="1">
      <x:c r="B149" s="181" t="s">
        <x:v>89</x:v>
      </x:c>
      <x:c r="C149" s="97"/>
      <x:c r="D149" s="97"/>
      <x:c r="E149" s="97"/>
      <x:c r="F149" s="162">
        <x:v>1018</x:v>
      </x:c>
      <x:c r="G149" s="162">
        <x:v>1023</x:v>
      </x:c>
      <x:c r="H149" s="162">
        <x:v>943</x:v>
      </x:c>
      <x:c r="I149" s="202" t="n">
        <x:f t="shared" ref="I149:N149" si="79">-I61*(I103)</x:f>
        <x:v>1065.09275175</x:v>
      </x:c>
      <x:c r="J149" s="202">
        <x:f t="shared" si="79"/>
        <x:v>1049.5243936675001</x:v>
      </x:c>
      <x:c r="K149" s="202">
        <x:f t="shared" si="79"/>
        <x:v>1036.1553429704152</x:v>
      </x:c>
      <x:c r="L149" s="202">
        <x:f t="shared" si="79"/>
        <x:v>1043.2437144443304</x:v>
      </x:c>
      <x:c r="M149" s="202">
        <x:f t="shared" si="79"/>
        <x:v>1052.3371915821322</x:v>
      </x:c>
      <x:c r="N149" s="270">
        <x:f t="shared" si="79"/>
        <x:v>1065.9177397113594</x:v>
      </x:c>
      <x:c r="P149" s="39"/>
      <x:c r="Q149" s="39"/>
    </x:row>
    <x:row r="150" ht="16.200000762939453" customHeight="1">
      <x:c r="B150" s="181" t="s">
        <x:v>90</x:v>
      </x:c>
      <x:c r="C150" s="97"/>
      <x:c r="D150" s="97"/>
      <x:c r="E150" s="97"/>
      <x:c r="F150" s="162" t="n">
        <x:f>2645-54</x:f>
        <x:v>2591</x:v>
      </x:c>
      <x:c r="G150" s="162" t="n">
        <x:f>2998-55</x:f>
        <x:v>2943</x:v>
      </x:c>
      <x:c r="H150" s="162" t="n">
        <x:f>3094-55</x:f>
        <x:v>3039</x:v>
      </x:c>
      <x:c r="I150" s="202" t="n">
        <x:f t="shared" ref="I150:N150" si="80">-I62*(I103+I114+I115+I116)</x:f>
        <x:v>3114.033914232188</x:v>
      </x:c>
      <x:c r="J150" s="202">
        <x:f t="shared" si="80"/>
        <x:v>3070.2481981182818</x:v>
      </x:c>
      <x:c r="K150" s="202">
        <x:f t="shared" si="80"/>
        <x:v>3032.558657556634</x:v>
      </x:c>
      <x:c r="L150" s="202">
        <x:f t="shared" si="80"/>
        <x:v>3054.5959140966388</x:v>
      </x:c>
      <x:c r="M150" s="202">
        <x:f t="shared" si="80"/>
        <x:v>3082.4957653245547</x:v>
      </x:c>
      <x:c r="N150" s="270">
        <x:f t="shared" si="80"/>
        <x:v>3123.4818324865655</x:v>
      </x:c>
      <x:c r="P150" s="39"/>
      <x:c r="Q150" s="39"/>
    </x:row>
    <x:row r="151" s="7" customFormat="1" ht="16.200000762939453" customHeight="1">
      <x:c r="A151" s="25"/>
      <x:c r="B151" s="187" t="s">
        <x:v>91</x:v>
      </x:c>
      <x:c r="C151" s="188"/>
      <x:c r="D151" s="188"/>
      <x:c r="E151" s="188"/>
      <x:c r="F151" s="201" t="n">
        <x:f t="shared" ref="F151:N151" si="81">SUM(F149:F150)</x:f>
        <x:v>3609</x:v>
      </x:c>
      <x:c r="G151" s="201">
        <x:f t="shared" si="81"/>
        <x:v>3966</x:v>
      </x:c>
      <x:c r="H151" s="201">
        <x:f t="shared" si="81"/>
        <x:v>3982</x:v>
      </x:c>
      <x:c r="I151" s="204">
        <x:f t="shared" si="81"/>
        <x:v>4179.1266659821886</x:v>
      </x:c>
      <x:c r="J151" s="204">
        <x:f t="shared" si="81"/>
        <x:v>4119.7725917857824</x:v>
      </x:c>
      <x:c r="K151" s="204">
        <x:f t="shared" si="81"/>
        <x:v>4068.7140005270494</x:v>
      </x:c>
      <x:c r="L151" s="204">
        <x:f t="shared" si="81"/>
        <x:v>4097.839628540969</x:v>
      </x:c>
      <x:c r="M151" s="204">
        <x:f t="shared" si="81"/>
        <x:v>4134.8329569066864</x:v>
      </x:c>
      <x:c r="N151" s="358">
        <x:f t="shared" si="81"/>
        <x:v>4189.3995721979245</x:v>
      </x:c>
      <x:c r="P151" s="39"/>
      <x:c r="Q151" s="39"/>
    </x:row>
    <x:row r="152" ht="16.200000762939453" customHeight="1">
      <x:c r="B152" s="96"/>
      <x:c r="C152" s="97"/>
      <x:c r="D152" s="97"/>
      <x:c r="E152" s="97"/>
      <x:c r="F152" s="191"/>
      <x:c r="G152" s="191"/>
      <x:c r="H152" s="191"/>
      <x:c r="I152" s="140"/>
      <x:c r="J152" s="140"/>
      <x:c r="K152" s="140"/>
      <x:c r="L152" s="140"/>
      <x:c r="M152" s="140"/>
      <x:c r="N152" s="141"/>
      <x:c r="P152" s="39"/>
      <x:c r="Q152" s="39"/>
    </x:row>
    <x:row r="153" ht="16.200000762939453" customHeight="1">
      <x:c r="B153" s="181" t="s">
        <x:v>92</x:v>
      </x:c>
      <x:c r="C153" s="97"/>
      <x:c r="D153" s="97"/>
      <x:c r="E153" s="97"/>
      <x:c r="F153" s="162" t="n">
        <x:f>7+3175+375</x:f>
        <x:v>3557</x:v>
      </x:c>
      <x:c r="G153" s="162" t="n">
        <x:f>357+3169+348</x:f>
        <x:v>3874</x:v>
      </x:c>
      <x:c r="H153" s="162" t="n">
        <x:f>357+2890+341</x:f>
        <x:v>3588</x:v>
      </x:c>
      <x:c r="I153" s="202" t="n">
        <x:f t="shared" ref="I153:N153" si="82">+H153-I68</x:f>
        <x:v>3238</x:v>
      </x:c>
      <x:c r="J153" s="202">
        <x:f t="shared" si="82"/>
        <x:v>2888</x:v>
      </x:c>
      <x:c r="K153" s="202">
        <x:f t="shared" si="82"/>
        <x:v>2538</x:v>
      </x:c>
      <x:c r="L153" s="202">
        <x:f t="shared" si="82"/>
        <x:v>2188</x:v>
      </x:c>
      <x:c r="M153" s="202">
        <x:f t="shared" si="82"/>
        <x:v>1838</x:v>
      </x:c>
      <x:c r="N153" s="270">
        <x:f t="shared" si="82"/>
        <x:v>1188</x:v>
      </x:c>
      <x:c r="P153" s="39"/>
      <x:c r="Q153" s="39"/>
    </x:row>
    <x:row r="154" ht="16.200000762939453" customHeight="1">
      <x:c r="B154" s="181" t="s">
        <x:v>93</x:v>
      </x:c>
      <x:c r="C154" s="97"/>
      <x:c r="D154" s="97"/>
      <x:c r="E154" s="97"/>
      <x:c r="F154" s="162" t="n">
        <x:f>54+326</x:f>
        <x:v>380</x:v>
      </x:c>
      <x:c r="G154" s="162" t="n">
        <x:f>55+326</x:f>
        <x:v>381</x:v>
      </x:c>
      <x:c r="H154" s="162" t="n">
        <x:f>55+316</x:f>
        <x:v>371</x:v>
      </x:c>
      <x:c r="I154" s="205" t="n">
        <x:f>Schedules!I38</x:f>
        <x:v>395.6262039972198</x:v>
      </x:c>
      <x:c r="J154" s="205" t="n">
        <x:f>Schedules!J38</x:f>
        <x:v>415.250380946636</x:v>
      </x:c>
      <x:c r="K154" s="205" t="n">
        <x:f>Schedules!K38</x:f>
        <x:v>429.7800908575881</x:v>
      </x:c>
      <x:c r="L154" s="205" t="n">
        <x:f>Schedules!L38</x:f>
        <x:v>440.1011265015973</x:v>
      </x:c>
      <x:c r="M154" s="205" t="n">
        <x:f>Schedules!M38</x:f>
        <x:v>446.0760285170606</x:v>
      </x:c>
      <x:c r="N154" s="359" t="n">
        <x:f>Schedules!N38</x:f>
        <x:v>447.67576310053954</x:v>
      </x:c>
      <x:c r="P154" s="39"/>
      <x:c r="Q154" s="39"/>
    </x:row>
    <x:row r="155" ht="16.200000762939453" customHeight="1">
      <x:c r="B155" s="181" t="s">
        <x:v>94</x:v>
      </x:c>
      <x:c r="C155" s="97"/>
      <x:c r="D155" s="97"/>
      <x:c r="E155" s="97"/>
      <x:c r="F155" s="162" t="n">
        <x:f>1879+81-52-43-326</x:f>
        <x:v>1539</x:v>
      </x:c>
      <x:c r="G155" s="162" t="n">
        <x:f>1904+70-56-38-326</x:f>
        <x:v>1554</x:v>
      </x:c>
      <x:c r="H155" s="162" t="n">
        <x:f>1945+64-96-37-316</x:f>
        <x:v>1560</x:v>
      </x:c>
      <x:c r="I155" s="202" t="n">
        <x:f t="shared" ref="I155:N155" si="83">-I63*(I103+I114+I115+I116)</x:f>
        <x:v>1557.016957116094</x:v>
      </x:c>
      <x:c r="J155" s="202">
        <x:f t="shared" si="83"/>
        <x:v>1535.1240990591409</x:v>
      </x:c>
      <x:c r="K155" s="202">
        <x:f t="shared" si="83"/>
        <x:v>1516.279328778317</x:v>
      </x:c>
      <x:c r="L155" s="202">
        <x:f t="shared" si="83"/>
        <x:v>1527.2979570483194</x:v>
      </x:c>
      <x:c r="M155" s="202">
        <x:f t="shared" si="83"/>
        <x:v>1541.2478826622773</x:v>
      </x:c>
      <x:c r="N155" s="270">
        <x:f t="shared" si="83"/>
        <x:v>1561.7409162432828</x:v>
      </x:c>
      <x:c r="P155" s="39"/>
      <x:c r="Q155" s="39"/>
    </x:row>
    <x:row r="156" s="7" customFormat="1" ht="16.200000762939453" customHeight="1">
      <x:c r="A156" s="25"/>
      <x:c r="B156" s="187" t="s">
        <x:v>95</x:v>
      </x:c>
      <x:c r="C156" s="188"/>
      <x:c r="D156" s="188"/>
      <x:c r="E156" s="188"/>
      <x:c r="F156" s="201" t="n">
        <x:f t="shared" ref="F156:N156" si="84">SUM(F153:F155)</x:f>
        <x:v>5476</x:v>
      </x:c>
      <x:c r="G156" s="201">
        <x:f t="shared" si="84"/>
        <x:v>5809</x:v>
      </x:c>
      <x:c r="H156" s="201">
        <x:f t="shared" si="84"/>
        <x:v>5519</x:v>
      </x:c>
      <x:c r="I156" s="204">
        <x:f t="shared" si="84"/>
        <x:v>5190.6431611133139</x:v>
      </x:c>
      <x:c r="J156" s="204">
        <x:f t="shared" si="84"/>
        <x:v>4838.3744800057775</x:v>
      </x:c>
      <x:c r="K156" s="204">
        <x:f t="shared" si="84"/>
        <x:v>4484.0594196359052</x:v>
      </x:c>
      <x:c r="L156" s="204">
        <x:f t="shared" si="84"/>
        <x:v>4155.3990835499171</x:v>
      </x:c>
      <x:c r="M156" s="204">
        <x:f t="shared" si="84"/>
        <x:v>3825.3239111793378</x:v>
      </x:c>
      <x:c r="N156" s="358">
        <x:f t="shared" si="84"/>
        <x:v>3197.4166793438226</x:v>
      </x:c>
      <x:c r="P156" s="39"/>
      <x:c r="Q156" s="39"/>
    </x:row>
    <x:row r="157" s="7" customFormat="1" ht="16.200000762939453" customHeight="1">
      <x:c r="A157" s="25"/>
      <x:c r="B157" s="211" t="s">
        <x:v>96</x:v>
      </x:c>
      <x:c r="C157" s="212"/>
      <x:c r="D157" s="212"/>
      <x:c r="E157" s="212"/>
      <x:c r="F157" s="201" t="n">
        <x:f t="shared" ref="F157:N157" si="85">+F151+F156</x:f>
        <x:v>9085</x:v>
      </x:c>
      <x:c r="G157" s="201">
        <x:f t="shared" si="85"/>
        <x:v>9775</x:v>
      </x:c>
      <x:c r="H157" s="201">
        <x:f t="shared" si="85"/>
        <x:v>9501</x:v>
      </x:c>
      <x:c r="I157" s="204">
        <x:f t="shared" si="85"/>
        <x:v>9369.7698270955025</x:v>
      </x:c>
      <x:c r="J157" s="204">
        <x:f t="shared" si="85"/>
        <x:v>8958.1470717915599</x:v>
      </x:c>
      <x:c r="K157" s="204">
        <x:f t="shared" si="85"/>
        <x:v>8552.7734201629537</x:v>
      </x:c>
      <x:c r="L157" s="204">
        <x:f t="shared" si="85"/>
        <x:v>8253.2387120908861</x:v>
      </x:c>
      <x:c r="M157" s="204">
        <x:f t="shared" si="85"/>
        <x:v>7960.1568680860237</x:v>
      </x:c>
      <x:c r="N157" s="358">
        <x:f t="shared" si="85"/>
        <x:v>7386.8162515417471</x:v>
      </x:c>
      <x:c r="P157" s="39"/>
      <x:c r="Q157" s="39"/>
    </x:row>
    <x:row r="158" s="7" customFormat="1" ht="16.200000762939453" customHeight="1">
      <x:c r="A158" s="25"/>
      <x:c r="B158" s="96"/>
      <x:c r="C158" s="97"/>
      <x:c r="D158" s="97"/>
      <x:c r="E158" s="97"/>
      <x:c r="F158" s="194"/>
      <x:c r="G158" s="194"/>
      <x:c r="H158" s="194"/>
      <x:c r="I158" s="194"/>
      <x:c r="J158" s="194"/>
      <x:c r="K158" s="194"/>
      <x:c r="L158" s="194"/>
      <x:c r="M158" s="194"/>
      <x:c r="N158" s="195"/>
      <x:c r="P158" s="67"/>
      <x:c r="Q158" s="67"/>
    </x:row>
    <x:row r="159" ht="16.200000762939453" customHeight="1">
      <x:c r="B159" s="181" t="s">
        <x:v>97</x:v>
      </x:c>
      <x:c r="C159" s="97"/>
      <x:c r="D159" s="97"/>
      <x:c r="E159" s="97"/>
      <x:c r="F159" s="162">
        <x:v>26</x:v>
      </x:c>
      <x:c r="G159" s="162">
        <x:v>24</x:v>
      </x:c>
      <x:c r="H159" s="162">
        <x:v>23</x:v>
      </x:c>
      <x:c r="I159" s="202" t="n">
        <x:f>+H159+MAX(I90,0)*$I$91</x:f>
        <x:v>23</x:v>
      </x:c>
      <x:c r="J159" s="202" t="n">
        <x:f t="shared" ref="J159:N159" si="86">+I159+MAX(J90,0)*$I$91</x:f>
        <x:v>23</x:v>
      </x:c>
      <x:c r="K159" s="202">
        <x:f t="shared" si="86"/>
        <x:v>23</x:v>
      </x:c>
      <x:c r="L159" s="202">
        <x:f t="shared" si="86"/>
        <x:v>23</x:v>
      </x:c>
      <x:c r="M159" s="202">
        <x:f t="shared" si="86"/>
        <x:v>23</x:v>
      </x:c>
      <x:c r="N159" s="270">
        <x:f t="shared" si="86"/>
        <x:v>23</x:v>
      </x:c>
      <x:c r="P159" s="39"/>
      <x:c r="Q159" s="39"/>
    </x:row>
    <x:row r="160" ht="16.200000762939453" customHeight="1">
      <x:c r="B160" s="181" t="s">
        <x:v>98</x:v>
      </x:c>
      <x:c r="C160" s="97"/>
      <x:c r="D160" s="97"/>
      <x:c r="E160" s="97"/>
      <x:c r="F160" s="162">
        <x:v>1880</x:v>
      </x:c>
      <x:c r="G160" s="162">
        <x:v>1910</x:v>
      </x:c>
      <x:c r="H160" s="162">
        <x:v>1960</x:v>
      </x:c>
      <x:c r="I160" s="202" t="n">
        <x:f>+H160+MAX(I90,0)*(I92-$I$91)</x:f>
        <x:v>1960</x:v>
      </x:c>
      <x:c r="J160" s="202" t="n">
        <x:f t="shared" ref="J160:N160" si="87">+I160+MAX(J90,0)*(J92-$I$91)</x:f>
        <x:v>1960</x:v>
      </x:c>
      <x:c r="K160" s="202">
        <x:f t="shared" si="87"/>
        <x:v>1960</x:v>
      </x:c>
      <x:c r="L160" s="202">
        <x:f t="shared" si="87"/>
        <x:v>1960</x:v>
      </x:c>
      <x:c r="M160" s="202">
        <x:f t="shared" si="87"/>
        <x:v>1960</x:v>
      </x:c>
      <x:c r="N160" s="270">
        <x:f t="shared" si="87"/>
        <x:v>1960</x:v>
      </x:c>
      <x:c r="P160" s="39"/>
      <x:c r="Q160" s="39"/>
    </x:row>
    <x:row r="161" ht="16.200000762939453" customHeight="1">
      <x:c r="B161" s="181" t="s">
        <x:v>99</x:v>
      </x:c>
      <x:c r="C161" s="97"/>
      <x:c r="D161" s="97"/>
      <x:c r="E161" s="97"/>
      <x:c r="F161" s="162">
        <x:v>5903</x:v>
      </x:c>
      <x:c r="G161" s="162">
        <x:v>5862</x:v>
      </x:c>
      <x:c r="H161" s="162">
        <x:v>5607</x:v>
      </x:c>
      <x:c r="I161" s="202" t="n">
        <x:f t="shared" ref="I161:N161" ca="1" si="88">+H161+I131+I185</x:f>
        <x:v>6695.51690573612</x:v>
      </x:c>
      <x:c r="J161" s="202">
        <x:f t="shared" ca="1" si="88"/>
        <x:v>7779.42917845788</x:v>
      </x:c>
      <x:c r="K161" s="202">
        <x:f t="shared" ca="1" si="88"/>
        <x:v>8861.9750201959487</x:v>
      </x:c>
      <x:c r="L161" s="202">
        <x:f t="shared" ca="1" si="88"/>
        <x:v>9970.404702690872</x:v>
      </x:c>
      <x:c r="M161" s="202">
        <x:f t="shared" ca="1" si="88"/>
        <x:v>11107.878400018069</x:v>
      </x:c>
      <x:c r="N161" s="270">
        <x:f t="shared" ca="1" si="88"/>
        <x:v>12282.067025762301</x:v>
      </x:c>
      <x:c r="P161" s="39"/>
      <x:c r="Q161" s="39"/>
    </x:row>
    <x:row r="162" ht="16.200000762939453" customHeight="1">
      <x:c r="B162" s="181" t="s">
        <x:v>100</x:v>
      </x:c>
      <x:c r="C162" s="97"/>
      <x:c r="D162" s="97"/>
      <x:c r="E162" s="97"/>
      <x:c r="F162" s="162">
        <x:v>-84</x:v>
      </x:c>
      <x:c r="G162" s="162">
        <x:v>-165</x:v>
      </x:c>
      <x:c r="H162" s="162">
        <x:v>-82</x:v>
      </x:c>
      <x:c r="I162" s="202" t="n">
        <x:f>+H162+IF(I90&lt;0,I90,0)*I92</x:f>
        <x:v>-1050</x:v>
      </x:c>
      <x:c r="J162" s="202" t="n">
        <x:f t="shared" ref="J162:N162" si="89">+I162+IF(J90&lt;0,J90,0)*J92</x:f>
        <x:v>-1090</x:v>
      </x:c>
      <x:c r="K162" s="202">
        <x:f t="shared" si="89"/>
        <x:v>-1130</x:v>
      </x:c>
      <x:c r="L162" s="202">
        <x:f t="shared" si="89"/>
        <x:v>-1130</x:v>
      </x:c>
      <x:c r="M162" s="202">
        <x:f t="shared" si="89"/>
        <x:v>-1130</x:v>
      </x:c>
      <x:c r="N162" s="270">
        <x:f t="shared" si="89"/>
        <x:v>-1130</x:v>
      </x:c>
      <x:c r="P162" s="39"/>
      <x:c r="Q162" s="39"/>
    </x:row>
    <x:row r="163" ht="16.200000762939453" customHeight="1">
      <x:c r="B163" s="181" t="s">
        <x:v>101</x:v>
      </x:c>
      <x:c r="C163" s="97"/>
      <x:c r="D163" s="97"/>
      <x:c r="E163" s="97"/>
      <x:c r="F163" s="162">
        <x:v>-612</x:v>
      </x:c>
      <x:c r="G163" s="162">
        <x:v>-644</x:v>
      </x:c>
      <x:c r="H163" s="162">
        <x:v>-304</x:v>
      </x:c>
      <x:c r="I163" s="224" t="n">
        <x:f>+H163</x:f>
        <x:v>-304</x:v>
      </x:c>
      <x:c r="J163" s="224" t="n">
        <x:f t="shared" ref="J163:N163" si="90">+I163</x:f>
        <x:v>-304</x:v>
      </x:c>
      <x:c r="K163" s="224">
        <x:f t="shared" si="90"/>
        <x:v>-304</x:v>
      </x:c>
      <x:c r="L163" s="224">
        <x:f t="shared" si="90"/>
        <x:v>-304</x:v>
      </x:c>
      <x:c r="M163" s="224">
        <x:f t="shared" si="90"/>
        <x:v>-304</x:v>
      </x:c>
      <x:c r="N163" s="361">
        <x:f t="shared" si="90"/>
        <x:v>-304</x:v>
      </x:c>
      <x:c r="P163" s="39"/>
      <x:c r="Q163" s="39"/>
    </x:row>
    <x:row r="164" s="7" customFormat="1" ht="16.200000762939453" customHeight="1">
      <x:c r="A164" s="25"/>
      <x:c r="B164" s="187" t="s">
        <x:v>102</x:v>
      </x:c>
      <x:c r="C164" s="188"/>
      <x:c r="D164" s="188"/>
      <x:c r="E164" s="188"/>
      <x:c r="F164" s="201" t="n">
        <x:f t="shared" ref="F164:N164" si="91">SUM(F159:F163)</x:f>
        <x:v>7113</x:v>
      </x:c>
      <x:c r="G164" s="201">
        <x:f t="shared" si="91"/>
        <x:v>6987</x:v>
      </x:c>
      <x:c r="H164" s="201">
        <x:f t="shared" si="91"/>
        <x:v>7204</x:v>
      </x:c>
      <x:c r="I164" s="204">
        <x:f t="shared" ca="1" si="91"/>
        <x:v>7324.51690573612</x:v>
      </x:c>
      <x:c r="J164" s="204">
        <x:f t="shared" ca="1" si="91"/>
        <x:v>8368.42917845788</x:v>
      </x:c>
      <x:c r="K164" s="204">
        <x:f t="shared" ca="1" si="91"/>
        <x:v>9410.9750201959487</x:v>
      </x:c>
      <x:c r="L164" s="204">
        <x:f t="shared" ca="1" si="91"/>
        <x:v>10519.404702690872</x:v>
      </x:c>
      <x:c r="M164" s="204">
        <x:f t="shared" ca="1" si="91"/>
        <x:v>11656.878400018069</x:v>
      </x:c>
      <x:c r="N164" s="358">
        <x:f t="shared" ca="1" si="91"/>
        <x:v>12831.067025762301</x:v>
      </x:c>
      <x:c r="P164" s="39"/>
      <x:c r="Q164" s="39"/>
    </x:row>
    <x:row r="165" ht="16.200000762939453" customHeight="1">
      <x:c r="B165" s="211" t="s">
        <x:v>103</x:v>
      </x:c>
      <x:c r="C165" s="212"/>
      <x:c r="D165" s="212"/>
      <x:c r="E165" s="212"/>
      <x:c r="F165" s="201" t="n">
        <x:f t="shared" ref="F165:N165" si="92">+F157+F164</x:f>
        <x:v>16198</x:v>
      </x:c>
      <x:c r="G165" s="201">
        <x:f t="shared" si="92"/>
        <x:v>16762</x:v>
      </x:c>
      <x:c r="H165" s="201">
        <x:f t="shared" si="92"/>
        <x:v>16705</x:v>
      </x:c>
      <x:c r="I165" s="204">
        <x:f t="shared" ca="1" si="92"/>
        <x:v>16694.286732831621</x:v>
      </x:c>
      <x:c r="J165" s="204">
        <x:f t="shared" ca="1" si="92"/>
        <x:v>17326.57625024944</x:v>
      </x:c>
      <x:c r="K165" s="204">
        <x:f t="shared" ca="1" si="92"/>
        <x:v>17963.748440358904</x:v>
      </x:c>
      <x:c r="L165" s="204">
        <x:f t="shared" ca="1" si="92"/>
        <x:v>18772.643414781756</x:v>
      </x:c>
      <x:c r="M165" s="204">
        <x:f t="shared" ca="1" si="92"/>
        <x:v>19617.035268104093</x:v>
      </x:c>
      <x:c r="N165" s="358">
        <x:f t="shared" ca="1" si="92"/>
        <x:v>20217.883277304049</x:v>
      </x:c>
      <x:c r="P165" s="39"/>
      <x:c r="Q165" s="39"/>
    </x:row>
    <x:row r="166" s="24" customFormat="1" ht="16.200000762939453" customHeight="1">
      <x:c r="A166" s="23"/>
      <x:c r="B166" s="217" t="s">
        <x:v>104</x:v>
      </x:c>
      <x:c r="C166" s="218"/>
      <x:c r="D166" s="218"/>
      <x:c r="E166" s="218"/>
      <x:c r="F166" s="219" t="n">
        <x:f t="shared" ref="F166:N166" si="93">+ROUND(F165-F147,2)</x:f>
        <x:v>0</x:v>
      </x:c>
      <x:c r="G166" s="219">
        <x:f t="shared" si="93"/>
        <x:v>0</x:v>
      </x:c>
      <x:c r="H166" s="219">
        <x:f t="shared" si="93"/>
        <x:v>0</x:v>
      </x:c>
      <x:c r="I166" s="219">
        <x:f t="shared" ca="1" si="93"/>
        <x:v>0</x:v>
      </x:c>
      <x:c r="J166" s="219">
        <x:f t="shared" ca="1" si="93"/>
        <x:v>0</x:v>
      </x:c>
      <x:c r="K166" s="219">
        <x:f t="shared" ca="1" si="93"/>
        <x:v>0</x:v>
      </x:c>
      <x:c r="L166" s="219">
        <x:f t="shared" ca="1" si="93"/>
        <x:v>0</x:v>
      </x:c>
      <x:c r="M166" s="219">
        <x:f t="shared" ca="1" si="93"/>
        <x:v>0</x:v>
      </x:c>
      <x:c r="N166" s="220">
        <x:f t="shared" ca="1" si="93"/>
        <x:v>0</x:v>
      </x:c>
      <x:c r="P166" s="39"/>
      <x:c r="Q166" s="39"/>
    </x:row>
    <x:row r="167" ht="16.200000762939453" customHeight="1">
      <x:c r="G167" s="13"/>
      <x:c r="H167" s="13"/>
      <x:c r="I167" s="39"/>
      <x:c r="J167" s="39"/>
      <x:c r="K167" s="39"/>
      <x:c r="L167" s="39"/>
      <x:c r="M167" s="39"/>
      <x:c r="N167" s="39"/>
    </x:row>
    <x:row r="168" ht="16.200000762939453" customHeight="1">
      <x:c r="A168" s="5" t="s">
        <x:v>5</x:v>
      </x:c>
      <x:c r="B168" s="177" t="s">
        <x:v>105</x:v>
      </x:c>
      <x:c r="C168" s="178"/>
      <x:c r="D168" s="178"/>
      <x:c r="E168" s="178"/>
      <x:c r="F168" s="178"/>
      <x:c r="G168" s="179"/>
      <x:c r="H168" s="178"/>
      <x:c r="I168" s="178"/>
      <x:c r="J168" s="178"/>
      <x:c r="K168" s="178"/>
      <x:c r="L168" s="178"/>
      <x:c r="M168" s="178"/>
      <x:c r="N168" s="180"/>
    </x:row>
    <x:row r="169" ht="16.200000762939453" customHeight="1">
      <x:c r="B169" s="99" t="s">
        <x:v>106</x:v>
      </x:c>
      <x:c r="C169" s="226"/>
      <x:c r="D169" s="226"/>
      <x:c r="E169" s="226"/>
      <x:c r="F169" s="235" t="n">
        <x:f t="shared" ref="F169:N169" si="94">+F129</x:f>
        <x:v>862</x:v>
      </x:c>
      <x:c r="G169" s="235">
        <x:f t="shared" si="94"/>
        <x:v>922</x:v>
      </x:c>
      <x:c r="H169" s="235">
        <x:f t="shared" si="94"/>
        <x:v>825</x:v>
      </x:c>
      <x:c r="I169" s="237">
        <x:f t="shared" ca="1" si="94"/>
        <x:v>1102.61434573612</x:v>
      </x:c>
      <x:c r="J169" s="237">
        <x:f t="shared" ca="1" si="94"/>
        <x:v>1097.9697127217596</x:v>
      </x:c>
      <x:c r="K169" s="237">
        <x:f t="shared" ca="1" si="94"/>
        <x:v>1096.5632817380683</x:v>
      </x:c>
      <x:c r="L169" s="237">
        <x:f t="shared" ca="1" si="94"/>
        <x:v>1122.4471224949227</x:v>
      </x:c>
      <x:c r="M169" s="237">
        <x:f t="shared" ca="1" si="94"/>
        <x:v>1151.4911373271964</x:v>
      </x:c>
      <x:c r="N169" s="362">
        <x:f t="shared" ca="1" si="94"/>
        <x:v>1188.2060657442303</x:v>
      </x:c>
    </x:row>
    <x:row r="170" ht="16.200000762939453" customHeight="1">
      <x:c r="B170" s="181" t="s">
        <x:v>107</x:v>
      </x:c>
      <x:c r="C170" s="97"/>
      <x:c r="D170" s="97"/>
      <x:c r="E170" s="97"/>
      <x:c r="F170" s="162">
        <x:v>2</x:v>
      </x:c>
      <x:c r="G170" s="162">
        <x:v>88</x:v>
      </x:c>
      <x:c r="H170" s="162">
        <x:v>41</x:v>
      </x:c>
      <x:c r="I170" s="203">
        <x:v>0</x:v>
      </x:c>
      <x:c r="J170" s="203">
        <x:v>0</x:v>
      </x:c>
      <x:c r="K170" s="203">
        <x:v>0</x:v>
      </x:c>
      <x:c r="L170" s="203">
        <x:v>0</x:v>
      </x:c>
      <x:c r="M170" s="203">
        <x:v>0</x:v>
      </x:c>
      <x:c r="N170" s="357">
        <x:v>0</x:v>
      </x:c>
    </x:row>
    <x:row r="171" ht="16.200000762939453" customHeight="1">
      <x:c r="B171" s="181" t="s">
        <x:v>108</x:v>
      </x:c>
      <x:c r="C171" s="97"/>
      <x:c r="D171" s="97"/>
      <x:c r="E171" s="97"/>
      <x:c r="F171" s="162">
        <x:v>397</x:v>
      </x:c>
      <x:c r="G171" s="162">
        <x:v>395</x:v>
      </x:c>
      <x:c r="H171" s="162">
        <x:v>382</x:v>
      </x:c>
      <x:c r="I171" s="166" t="e">
        <x:f t="shared" ref="I171:N171" si="95">+I119+I120</x:f>
        <x:v>#VALUE!</x:v>
      </x:c>
      <x:c r="J171" s="166">
        <x:f t="shared" si="95"/>
        <x:v>366.82852999591273</x:v>
      </x:c>
      <x:c r="K171" s="166">
        <x:f t="shared" si="95"/>
        <x:v>406.45372608255741</x:v>
      </x:c>
      <x:c r="L171" s="166">
        <x:f t="shared" si="95"/>
        <x:v>447.37593151885932</x:v>
      </x:c>
      <x:c r="M171" s="166">
        <x:f t="shared" si="95"/>
        <x:v>488.67697039873008</x:v>
      </x:c>
      <x:c r="N171" s="348">
        <x:f t="shared" si="95"/>
        <x:v>531.53740498698971</x:v>
      </x:c>
    </x:row>
    <x:row r="172" ht="16.200000762939453" customHeight="1">
      <x:c r="B172" s="181" t="s">
        <x:v>109</x:v>
      </x:c>
      <x:c r="C172" s="97"/>
      <x:c r="D172" s="97"/>
      <x:c r="E172" s="97"/>
      <x:c r="F172" s="162">
        <x:v>-220</x:v>
      </x:c>
      <x:c r="G172" s="162">
        <x:v>-192</x:v>
      </x:c>
      <x:c r="H172" s="162">
        <x:v>-48</x:v>
      </x:c>
      <x:c r="I172" s="166" t="n">
        <x:f t="shared" ref="I172:N172" ca="1" si="96">+I65*I128</x:f>
        <x:v>-91.88452881134333</x:v>
      </x:c>
      <x:c r="J172" s="166">
        <x:f t="shared" ca="1" si="96"/>
        <x:v>-91.497476060146639</x:v>
      </x:c>
      <x:c r="K172" s="166">
        <x:f t="shared" ca="1" si="96"/>
        <x:v>-91.38027347817237</x:v>
      </x:c>
      <x:c r="L172" s="166">
        <x:f t="shared" ca="1" si="96"/>
        <x:v>-93.537260207910222</x:v>
      </x:c>
      <x:c r="M172" s="166">
        <x:f t="shared" ca="1" si="96"/>
        <x:v>-95.957594777266365</x:v>
      </x:c>
      <x:c r="N172" s="348">
        <x:f t="shared" ca="1" si="96"/>
        <x:v>-99.017172145352518</x:v>
      </x:c>
    </x:row>
    <x:row r="173" ht="16.200000762939453" customHeight="1">
      <x:c r="B173" s="181" t="s">
        <x:v>110</x:v>
      </x:c>
      <x:c r="C173" s="97"/>
      <x:c r="D173" s="97"/>
      <x:c r="E173" s="97"/>
      <x:c r="F173" s="162" t="n">
        <x:f>94-26-55+35+235+270+18-165+35+8-2</x:f>
        <x:v>447</x:v>
      </x:c>
      <x:c r="G173" s="162" t="n">
        <x:f>90-9-359+267+2+276+4-202-17+2-1</x:f>
        <x:v>53</x:v>
      </x:c>
      <x:c r="H173" s="162" t="n">
        <x:f>102-96-194+205-69+95-26-225-1+24-1</x:f>
        <x:v>-186</x:v>
      </x:c>
      <x:c r="I173" s="202" t="n">
        <x:f t="shared" ref="I173:N173" si="97">+H135-I135+H136-I136+H137-I137+I149-H149+I150-H150+H145-I145+I155-H155</x:f>
        <x:v>62.77658429019584</x:v>
      </x:c>
      <x:c r="J173" s="202">
        <x:f t="shared" si="97"/>
        <x:v>55.492221154162507</x:v>
      </x:c>
      <x:c r="K173" s="202">
        <x:f t="shared" si="97"/>
        <x:v>50.965627656669767</x:v>
      </x:c>
      <x:c r="L173" s="202">
        <x:f t="shared" si="97"/>
        <x:v>-25.328156335815947</x:v>
      </x:c>
      <x:c r="M173" s="202">
        <x:f t="shared" si="97"/>
        <x:v>-32.76458599594298</x:v>
      </x:c>
      <x:c r="N173" s="270">
        <x:f t="shared" si="97"/>
        <x:v>-49.124922971176602</x:v>
      </x:c>
    </x:row>
    <x:row r="174" s="7" customFormat="1" ht="16.200000762939453" customHeight="1">
      <x:c r="A174" s="25"/>
      <x:c r="B174" s="187" t="s">
        <x:v>111</x:v>
      </x:c>
      <x:c r="C174" s="188"/>
      <x:c r="D174" s="188"/>
      <x:c r="E174" s="188"/>
      <x:c r="F174" s="236" t="n">
        <x:f t="shared" ref="F174:N174" si="98">+F169+SUM(F170:F173)</x:f>
        <x:v>1488</x:v>
      </x:c>
      <x:c r="G174" s="236">
        <x:f t="shared" si="98"/>
        <x:v>1266</x:v>
      </x:c>
      <x:c r="H174" s="236">
        <x:f t="shared" si="98"/>
        <x:v>1014</x:v>
      </x:c>
      <x:c r="I174" s="238">
        <x:f t="shared" ca="1" si="98"/>
        <x:v>1401.1696787904193</x:v>
      </x:c>
      <x:c r="J174" s="238">
        <x:f t="shared" ca="1" si="98"/>
        <x:v>1428.7929878116881</x:v>
      </x:c>
      <x:c r="K174" s="238">
        <x:f t="shared" ca="1" si="98"/>
        <x:v>1462.6023619991231</x:v>
      </x:c>
      <x:c r="L174" s="238">
        <x:f t="shared" ca="1" si="98"/>
        <x:v>1450.9576374700559</x:v>
      </x:c>
      <x:c r="M174" s="238">
        <x:f t="shared" ca="1" si="98"/>
        <x:v>1511.4459269527172</x:v>
      </x:c>
      <x:c r="N174" s="363">
        <x:f t="shared" ca="1" si="98"/>
        <x:v>1571.6013756146908</x:v>
      </x:c>
    </x:row>
    <x:row r="175" ht="16.200000762939453" customHeight="1">
      <x:c r="B175" s="96"/>
      <x:c r="C175" s="97"/>
      <x:c r="D175" s="97"/>
      <x:c r="E175" s="97"/>
      <x:c r="F175" s="136"/>
      <x:c r="G175" s="136"/>
      <x:c r="H175" s="136"/>
      <x:c r="I175" s="136"/>
      <x:c r="J175" s="136"/>
      <x:c r="K175" s="136"/>
      <x:c r="L175" s="136"/>
      <x:c r="M175" s="136"/>
      <x:c r="N175" s="184"/>
    </x:row>
    <x:row r="176" ht="16.200000762939453" customHeight="1">
      <x:c r="B176" s="99" t="s">
        <x:v>112</x:v>
      </x:c>
      <x:c r="C176" s="97"/>
      <x:c r="D176" s="97"/>
      <x:c r="E176" s="97"/>
      <x:c r="F176" s="136"/>
      <x:c r="G176" s="136"/>
      <x:c r="H176" s="136"/>
      <x:c r="I176" s="136"/>
      <x:c r="J176" s="136"/>
      <x:c r="K176" s="136"/>
      <x:c r="L176" s="136"/>
      <x:c r="M176" s="136"/>
      <x:c r="N176" s="184"/>
    </x:row>
    <x:row r="177" ht="16.200000762939453" customHeight="1">
      <x:c r="B177" s="181" t="s">
        <x:v>113</x:v>
      </x:c>
      <x:c r="C177" s="97"/>
      <x:c r="D177" s="97"/>
      <x:c r="E177" s="97"/>
      <x:c r="F177" s="162">
        <x:v>-354</x:v>
      </x:c>
      <x:c r="G177" s="162">
        <x:v>-402</x:v>
      </x:c>
      <x:c r="H177" s="162">
        <x:v>-364</x:v>
      </x:c>
      <x:c r="I177" s="166" t="n">
        <x:f t="shared" ref="I177:N177" si="99">-I72</x:f>
        <x:v>-427.6327757544682</x:v>
      </x:c>
      <x:c r="J177" s="166">
        <x:f t="shared" si="99"/>
        <x:v>-421.65252420465873</x:v>
      </x:c>
      <x:c r="K177" s="166">
        <x:f t="shared" si="99"/>
        <x:v>-416.2519608664474</x:v>
      </x:c>
      <x:c r="L177" s="166">
        <x:f t="shared" si="99"/>
        <x:v>-419.22205436301886</x:v>
      </x:c>
      <x:c r="M177" s="166">
        <x:f t="shared" si="99"/>
        <x:v>-423.0103887987072</x:v>
      </x:c>
      <x:c r="N177" s="348">
        <x:f t="shared" si="99"/>
        <x:v>-428.60434588259636</x:v>
      </x:c>
    </x:row>
    <x:row r="178" ht="16.200000762939453" customHeight="1">
      <x:c r="B178" s="181" t="s">
        <x:v>114</x:v>
      </x:c>
      <x:c r="C178" s="97"/>
      <x:c r="D178" s="97"/>
      <x:c r="E178" s="97"/>
      <x:c r="F178" s="162">
        <x:v>20</x:v>
      </x:c>
      <x:c r="G178" s="162">
        <x:v>26</x:v>
      </x:c>
      <x:c r="H178" s="162" t="n">
        <x:f>25-21</x:f>
        <x:v>4</x:v>
      </x:c>
      <x:c r="I178" s="203">
        <x:v>0</x:v>
      </x:c>
      <x:c r="J178" s="203">
        <x:v>0</x:v>
      </x:c>
      <x:c r="K178" s="203">
        <x:v>0</x:v>
      </x:c>
      <x:c r="L178" s="203">
        <x:v>0</x:v>
      </x:c>
      <x:c r="M178" s="203">
        <x:v>0</x:v>
      </x:c>
      <x:c r="N178" s="357">
        <x:v>0</x:v>
      </x:c>
    </x:row>
    <x:row r="179" ht="16.200000762939453" customHeight="1">
      <x:c r="B179" s="181" t="s">
        <x:v>115</x:v>
      </x:c>
      <x:c r="C179" s="97"/>
      <x:c r="D179" s="97"/>
      <x:c r="E179" s="97"/>
      <x:c r="F179" s="162" t="n">
        <x:f>-202+23+22</x:f>
        <x:v>-157</x:v>
      </x:c>
      <x:c r="G179" s="162" t="n">
        <x:f>-1+40+18</x:f>
        <x:v>57</x:v>
      </x:c>
      <x:c r="H179" s="162" t="n">
        <x:f>-13+85+4</x:f>
        <x:v>76</x:v>
      </x:c>
      <x:c r="I179" s="203">
        <x:v>0</x:v>
      </x:c>
      <x:c r="J179" s="203">
        <x:v>0</x:v>
      </x:c>
      <x:c r="K179" s="203">
        <x:v>0</x:v>
      </x:c>
      <x:c r="L179" s="203">
        <x:v>0</x:v>
      </x:c>
      <x:c r="M179" s="203">
        <x:v>0</x:v>
      </x:c>
      <x:c r="N179" s="357">
        <x:v>0</x:v>
      </x:c>
    </x:row>
    <x:row r="180" ht="16.200000762939453" customHeight="1">
      <x:c r="B180" s="181" t="s">
        <x:v>116</x:v>
      </x:c>
      <x:c r="C180" s="97"/>
      <x:c r="D180" s="97"/>
      <x:c r="E180" s="97"/>
      <x:c r="F180" s="162">
        <x:v>44</x:v>
      </x:c>
      <x:c r="G180" s="162">
        <x:v>2</x:v>
      </x:c>
      <x:c r="H180" s="162">
        <x:v>0</x:v>
      </x:c>
      <x:c r="I180" s="203">
        <x:v>0</x:v>
      </x:c>
      <x:c r="J180" s="203">
        <x:v>0</x:v>
      </x:c>
      <x:c r="K180" s="203">
        <x:v>0</x:v>
      </x:c>
      <x:c r="L180" s="203">
        <x:v>0</x:v>
      </x:c>
      <x:c r="M180" s="203">
        <x:v>0</x:v>
      </x:c>
      <x:c r="N180" s="357">
        <x:v>0</x:v>
      </x:c>
    </x:row>
    <x:row r="181" s="7" customFormat="1" ht="16.200000762939453" customHeight="1">
      <x:c r="A181" s="25"/>
      <x:c r="B181" s="187" t="s">
        <x:v>117</x:v>
      </x:c>
      <x:c r="C181" s="188"/>
      <x:c r="D181" s="188"/>
      <x:c r="E181" s="188"/>
      <x:c r="F181" s="236" t="n">
        <x:f t="shared" ref="F181:N181" si="100">SUM(F177:F180)</x:f>
        <x:v>-447</x:v>
      </x:c>
      <x:c r="G181" s="236">
        <x:f t="shared" si="100"/>
        <x:v>-317</x:v>
      </x:c>
      <x:c r="H181" s="236">
        <x:f t="shared" si="100"/>
        <x:v>-284</x:v>
      </x:c>
      <x:c r="I181" s="238">
        <x:f t="shared" si="100"/>
        <x:v>-427.63277575446818</x:v>
      </x:c>
      <x:c r="J181" s="238">
        <x:f t="shared" si="100"/>
        <x:v>-421.65252420465873</x:v>
      </x:c>
      <x:c r="K181" s="238">
        <x:f t="shared" si="100"/>
        <x:v>-416.2519608664474</x:v>
      </x:c>
      <x:c r="L181" s="238">
        <x:f t="shared" si="100"/>
        <x:v>-419.22205436301886</x:v>
      </x:c>
      <x:c r="M181" s="238">
        <x:f t="shared" si="100"/>
        <x:v>-423.0103887987072</x:v>
      </x:c>
      <x:c r="N181" s="363">
        <x:f t="shared" si="100"/>
        <x:v>-428.60434588259636</x:v>
      </x:c>
    </x:row>
    <x:row r="182" ht="16.200000762939453" customHeight="1">
      <x:c r="B182" s="96"/>
      <x:c r="C182" s="97"/>
      <x:c r="D182" s="97"/>
      <x:c r="E182" s="97"/>
      <x:c r="F182" s="136"/>
      <x:c r="G182" s="136"/>
      <x:c r="H182" s="136"/>
      <x:c r="I182" s="136"/>
      <x:c r="J182" s="136"/>
      <x:c r="K182" s="136"/>
      <x:c r="L182" s="136"/>
      <x:c r="M182" s="136"/>
      <x:c r="N182" s="184"/>
    </x:row>
    <x:row r="183" ht="16.200000762939453" customHeight="1">
      <x:c r="B183" s="99" t="s">
        <x:v>118</x:v>
      </x:c>
      <x:c r="C183" s="97"/>
      <x:c r="D183" s="97"/>
      <x:c r="E183" s="97"/>
      <x:c r="F183" s="136"/>
      <x:c r="G183" s="136"/>
      <x:c r="H183" s="136"/>
      <x:c r="I183" s="136"/>
      <x:c r="J183" s="136"/>
      <x:c r="K183" s="136"/>
      <x:c r="L183" s="136"/>
      <x:c r="M183" s="136"/>
      <x:c r="N183" s="184"/>
    </x:row>
    <x:row r="184" ht="16.200000762939453" customHeight="1">
      <x:c r="B184" s="181" t="s">
        <x:v>119</x:v>
      </x:c>
      <x:c r="C184" s="97"/>
      <x:c r="D184" s="97"/>
      <x:c r="E184" s="97"/>
      <x:c r="F184" s="162" t="n">
        <x:f>-14-234</x:f>
        <x:v>-248</x:v>
      </x:c>
      <x:c r="G184" s="162" t="n">
        <x:f>348-44</x:f>
        <x:v>304</x:v>
      </x:c>
      <x:c r="H184" s="162" t="n">
        <x:f>-1-377</x:f>
        <x:v>-378</x:v>
      </x:c>
      <x:c r="I184" s="166" t="n">
        <x:f t="shared" ref="I184:N184" si="101">+I153-H153</x:f>
        <x:v>-350</x:v>
      </x:c>
      <x:c r="J184" s="166">
        <x:f t="shared" si="101"/>
        <x:v>-350</x:v>
      </x:c>
      <x:c r="K184" s="166">
        <x:f t="shared" si="101"/>
        <x:v>-350</x:v>
      </x:c>
      <x:c r="L184" s="166">
        <x:f t="shared" si="101"/>
        <x:v>-350</x:v>
      </x:c>
      <x:c r="M184" s="166">
        <x:f t="shared" si="101"/>
        <x:v>-350</x:v>
      </x:c>
      <x:c r="N184" s="348">
        <x:f t="shared" si="101"/>
        <x:v>-650</x:v>
      </x:c>
    </x:row>
    <x:row r="185" ht="16.200000762939453" customHeight="1">
      <x:c r="B185" s="181" t="s">
        <x:v>120</x:v>
      </x:c>
      <x:c r="C185" s="97"/>
      <x:c r="D185" s="97"/>
      <x:c r="E185" s="97"/>
      <x:c r="F185" s="162">
        <x:v>-17</x:v>
      </x:c>
      <x:c r="G185" s="162">
        <x:v>-16</x:v>
      </x:c>
      <x:c r="H185" s="162">
        <x:v>-12</x:v>
      </x:c>
      <x:c r="I185" s="166" t="n">
        <x:f t="shared" ref="I185:N185" si="102">-I86</x:f>
        <x:v>-14.097440000000002</x:v>
      </x:c>
      <x:c r="J185" s="166">
        <x:f t="shared" si="102"/>
        <x:v>-14.057440000000001</x:v>
      </x:c>
      <x:c r="K185" s="166">
        <x:f t="shared" si="102"/>
        <x:v>-14.017440000000002</x:v>
      </x:c>
      <x:c r="L185" s="166">
        <x:f t="shared" si="102"/>
        <x:v>-14.017440000000002</x:v>
      </x:c>
      <x:c r="M185" s="166">
        <x:f t="shared" si="102"/>
        <x:v>-14.017440000000002</x:v>
      </x:c>
      <x:c r="N185" s="348">
        <x:f t="shared" si="102"/>
        <x:v>-14.017440000000002</x:v>
      </x:c>
    </x:row>
    <x:row r="186" ht="16.200000762939453" customHeight="1">
      <x:c r="B186" s="181" t="s">
        <x:v>121</x:v>
      </x:c>
      <x:c r="C186" s="97"/>
      <x:c r="D186" s="97"/>
      <x:c r="E186" s="97"/>
      <x:c r="F186" s="162" t="n">
        <x:f>-867+44</x:f>
        <x:v>-823</x:v>
      </x:c>
      <x:c r="G186" s="162" t="n">
        <x:f>-1168+73</x:f>
        <x:v>-1095</x:v>
      </x:c>
      <x:c r="H186" s="162" t="n">
        <x:f>-1122+88</x:f>
        <x:v>-1034</x:v>
      </x:c>
      <x:c r="I186" s="166" t="n">
        <x:f t="shared" ref="I186:N186" si="103">+I90*I92</x:f>
        <x:v>-968</x:v>
      </x:c>
      <x:c r="J186" s="166">
        <x:f t="shared" si="103"/>
        <x:v>-40</x:v>
      </x:c>
      <x:c r="K186" s="166">
        <x:f t="shared" si="103"/>
        <x:v>-40</x:v>
      </x:c>
      <x:c r="L186" s="166">
        <x:f t="shared" si="103"/>
        <x:v>0</x:v>
      </x:c>
      <x:c r="M186" s="166">
        <x:f t="shared" si="103"/>
        <x:v>0</x:v>
      </x:c>
      <x:c r="N186" s="348">
        <x:f t="shared" si="103"/>
        <x:v>0</x:v>
      </x:c>
    </x:row>
    <x:row r="187" ht="16.200000762939453" customHeight="1">
      <x:c r="B187" s="181" t="s">
        <x:v>122</x:v>
      </x:c>
      <x:c r="C187" s="97"/>
      <x:c r="D187" s="97"/>
      <x:c r="E187" s="97"/>
      <x:c r="F187" s="162">
        <x:v>-3</x:v>
      </x:c>
      <x:c r="G187" s="162">
        <x:v>-6</x:v>
      </x:c>
      <x:c r="H187" s="162">
        <x:v>-30</x:v>
      </x:c>
      <x:c r="I187" s="203">
        <x:v>0</x:v>
      </x:c>
      <x:c r="J187" s="203">
        <x:v>0</x:v>
      </x:c>
      <x:c r="K187" s="203">
        <x:v>0</x:v>
      </x:c>
      <x:c r="L187" s="203">
        <x:v>0</x:v>
      </x:c>
      <x:c r="M187" s="203">
        <x:v>0</x:v>
      </x:c>
      <x:c r="N187" s="357">
        <x:v>0</x:v>
      </x:c>
    </x:row>
    <x:row r="188" s="7" customFormat="1" ht="16.200000762939453" customHeight="1">
      <x:c r="A188" s="25"/>
      <x:c r="B188" s="187" t="s">
        <x:v>123</x:v>
      </x:c>
      <x:c r="C188" s="188"/>
      <x:c r="D188" s="188"/>
      <x:c r="E188" s="188"/>
      <x:c r="F188" s="236" t="n">
        <x:f t="shared" ref="F188:N188" si="104">SUM(F184:F187)</x:f>
        <x:v>-1091</x:v>
      </x:c>
      <x:c r="G188" s="236">
        <x:f t="shared" si="104"/>
        <x:v>-813</x:v>
      </x:c>
      <x:c r="H188" s="236">
        <x:f t="shared" si="104"/>
        <x:v>-1454</x:v>
      </x:c>
      <x:c r="I188" s="238">
        <x:f t="shared" si="104"/>
        <x:v>-1332.09744</x:v>
      </x:c>
      <x:c r="J188" s="238">
        <x:f t="shared" si="104"/>
        <x:v>-404.05743999999999</x:v>
      </x:c>
      <x:c r="K188" s="238">
        <x:f t="shared" si="104"/>
        <x:v>-404.01744000000002</x:v>
      </x:c>
      <x:c r="L188" s="238">
        <x:f t="shared" si="104"/>
        <x:v>-364.01744000000002</x:v>
      </x:c>
      <x:c r="M188" s="238">
        <x:f t="shared" si="104"/>
        <x:v>-364.01744000000002</x:v>
      </x:c>
      <x:c r="N188" s="363">
        <x:f t="shared" si="104"/>
        <x:v>-664.01743999999997</x:v>
      </x:c>
    </x:row>
    <x:row r="189" s="7" customFormat="1" ht="16.200000762939453" customHeight="1">
      <x:c r="A189" s="25"/>
      <x:c r="B189" s="96"/>
      <x:c r="C189" s="97"/>
      <x:c r="D189" s="97"/>
      <x:c r="E189" s="97"/>
      <x:c r="F189" s="231"/>
      <x:c r="G189" s="231"/>
      <x:c r="H189" s="231"/>
      <x:c r="I189" s="231"/>
      <x:c r="J189" s="231"/>
      <x:c r="K189" s="231"/>
      <x:c r="L189" s="231"/>
      <x:c r="M189" s="231"/>
      <x:c r="N189" s="232"/>
    </x:row>
    <x:row r="190" ht="16.200000762939453" customHeight="1">
      <x:c r="B190" s="181" t="s">
        <x:v>124</x:v>
      </x:c>
      <x:c r="C190" s="97"/>
      <x:c r="D190" s="97"/>
      <x:c r="E190" s="97"/>
      <x:c r="F190" s="162">
        <x:v>-32</x:v>
      </x:c>
      <x:c r="G190" s="162">
        <x:v>10</x:v>
      </x:c>
      <x:c r="H190" s="162">
        <x:v>-16</x:v>
      </x:c>
      <x:c r="I190" s="203">
        <x:v>0</x:v>
      </x:c>
      <x:c r="J190" s="203">
        <x:v>0</x:v>
      </x:c>
      <x:c r="K190" s="203">
        <x:v>0</x:v>
      </x:c>
      <x:c r="L190" s="203">
        <x:v>0</x:v>
      </x:c>
      <x:c r="M190" s="203">
        <x:v>0</x:v>
      </x:c>
      <x:c r="N190" s="357">
        <x:v>0</x:v>
      </x:c>
    </x:row>
    <x:row r="191" ht="16.200000762939453" customHeight="1">
      <x:c r="B191" s="96"/>
      <x:c r="C191" s="97"/>
      <x:c r="D191" s="97"/>
      <x:c r="E191" s="97"/>
      <x:c r="F191" s="136"/>
      <x:c r="G191" s="136"/>
      <x:c r="H191" s="136"/>
      <x:c r="I191" s="136"/>
      <x:c r="J191" s="136"/>
      <x:c r="K191" s="136"/>
      <x:c r="L191" s="136"/>
      <x:c r="M191" s="136"/>
      <x:c r="N191" s="184"/>
    </x:row>
    <x:row r="192" ht="16.200000762939453" customHeight="1">
      <x:c r="B192" s="181" t="s">
        <x:v>125</x:v>
      </x:c>
      <x:c r="C192" s="97"/>
      <x:c r="D192" s="97"/>
      <x:c r="E192" s="97"/>
      <x:c r="F192" s="162">
        <x:v>2117</x:v>
      </x:c>
      <x:c r="G192" s="158" t="n">
        <x:f>+F194</x:f>
        <x:v>2035</x:v>
      </x:c>
      <x:c r="H192" s="158" t="n">
        <x:f t="shared" ref="H192:N192" si="105">+G194</x:f>
        <x:v>2181</x:v>
      </x:c>
      <x:c r="I192" s="202">
        <x:f t="shared" si="105"/>
        <x:v>1441</x:v>
      </x:c>
      <x:c r="J192" s="202">
        <x:f t="shared" ca="1" si="105"/>
        <x:v>1082.4394630359511</x:v>
      </x:c>
      <x:c r="K192" s="202">
        <x:f t="shared" ca="1" si="105"/>
        <x:v>1685.5224866429805</x:v>
      </x:c>
      <x:c r="L192" s="202">
        <x:f t="shared" ca="1" si="105"/>
        <x:v>2327.8554477756561</x:v>
      </x:c>
      <x:c r="M192" s="202">
        <x:f t="shared" ca="1" si="105"/>
        <x:v>2995.5735908826932</x:v>
      </x:c>
      <x:c r="N192" s="270">
        <x:f t="shared" ca="1" si="105"/>
        <x:v>3719.9916890367031</x:v>
      </x:c>
    </x:row>
    <x:row r="193" ht="16.200000762939453" customHeight="1">
      <x:c r="B193" s="181" t="s">
        <x:v>126</x:v>
      </x:c>
      <x:c r="C193" s="97"/>
      <x:c r="D193" s="97"/>
      <x:c r="E193" s="97"/>
      <x:c r="F193" s="158" t="n">
        <x:f t="shared" ref="F193:N193" si="106">+F174+F181+F188+F190</x:f>
        <x:v>-82</x:v>
      </x:c>
      <x:c r="G193" s="158">
        <x:f t="shared" si="106"/>
        <x:v>146</x:v>
      </x:c>
      <x:c r="H193" s="158">
        <x:f t="shared" si="106"/>
        <x:v>-740</x:v>
      </x:c>
      <x:c r="I193" s="202">
        <x:f t="shared" ca="1" si="106"/>
        <x:v>-358.56053696404888</x:v>
      </x:c>
      <x:c r="J193" s="202">
        <x:f t="shared" ca="1" si="106"/>
        <x:v>603.08302360702942</x:v>
      </x:c>
      <x:c r="K193" s="202">
        <x:f t="shared" ca="1" si="106"/>
        <x:v>642.33296113267556</x:v>
      </x:c>
      <x:c r="L193" s="202">
        <x:f t="shared" ca="1" si="106"/>
        <x:v>667.71814310703712</x:v>
      </x:c>
      <x:c r="M193" s="202">
        <x:f t="shared" ca="1" si="106"/>
        <x:v>724.41809815400984</x:v>
      </x:c>
      <x:c r="N193" s="270">
        <x:f t="shared" ca="1" si="106"/>
        <x:v>478.9795897320945</x:v>
      </x:c>
    </x:row>
    <x:row r="194" ht="16.200000762939453" customHeight="1">
      <x:c r="B194" s="197" t="s">
        <x:v>127</x:v>
      </x:c>
      <x:c r="C194" s="198"/>
      <x:c r="D194" s="198"/>
      <x:c r="E194" s="198"/>
      <x:c r="F194" s="233" t="n">
        <x:f>+F192+F193</x:f>
        <x:v>2035</x:v>
      </x:c>
      <x:c r="G194" s="233" t="n">
        <x:f t="shared" ref="G194:N194" si="107">+G192+G193</x:f>
        <x:v>2181</x:v>
      </x:c>
      <x:c r="H194" s="233">
        <x:f t="shared" si="107"/>
        <x:v>1441</x:v>
      </x:c>
      <x:c r="I194" s="233">
        <x:f t="shared" ca="1" si="107"/>
        <x:v>1082.4394630359511</x:v>
      </x:c>
      <x:c r="J194" s="233">
        <x:f t="shared" ca="1" si="107"/>
        <x:v>1685.5224866429805</x:v>
      </x:c>
      <x:c r="K194" s="233">
        <x:f t="shared" ca="1" si="107"/>
        <x:v>2327.8554477756561</x:v>
      </x:c>
      <x:c r="L194" s="233">
        <x:f t="shared" ca="1" si="107"/>
        <x:v>2995.5735908826932</x:v>
      </x:c>
      <x:c r="M194" s="233">
        <x:f t="shared" ca="1" si="107"/>
        <x:v>3719.9916890367031</x:v>
      </x:c>
      <x:c r="N194" s="234">
        <x:f t="shared" ca="1" si="107"/>
        <x:v>4198.9712787687977</x:v>
      </x:c>
    </x:row>
    <x:row r="195" ht="16.200000762939453" customHeight="1"/>
    <x:row r="196" ht="16.200000762939453" customHeight="1">
      <x:c r="I196" s="13"/>
      <x:c r="J196" s="13"/>
      <x:c r="K196" s="13"/>
      <x:c r="L196" s="13"/>
      <x:c r="M196" s="13"/>
      <x:c r="N196" s="13"/>
    </x:row>
  </x:sheetData>
  <x:dataValidations count="1">
    <x:dataValidation type="list" allowBlank="1" showInputMessage="1" showErrorMessage="1" sqref="D3">
      <x:formula1>"Growth, Base, Downside, Extreme downside"</x:formula1>
    </x:dataValidation>
  </x:dataValidations>
  <x:pageMargins left="0.7" right="0.7" top="0.75" bottom="0.75" header="0.3" footer="0.3"/>
  <x:legacyDrawing xmlns:r="http://schemas.openxmlformats.org/officeDocument/2006/relationships" r:id="R5648279e060b4d2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13.5546875" defaultRowHeight="16.200000762939453"/>
  <x:cols>
    <x:col min="1" max="1" width="1.6640625" style="2" customWidth="1"/>
    <x:col min="2" max="16384" width="13.5546875" style="2" customWidth="0"/>
  </x:cols>
  <x:sheetData>
    <x:row r="1" ht="21">
      <x:c r="A1" s="5"/>
      <x:c r="B1" s="3" t="s">
        <x:v>128</x:v>
      </x:c>
      <x:c r="C1" s="3"/>
      <x:c r="D1" s="3"/>
      <x:c r="E1" s="3"/>
      <x:c r="F1" s="3"/>
      <x:c r="G1" s="3"/>
      <x:c r="H1" s="4"/>
      <x:c r="I1" s="3"/>
      <x:c r="J1" s="3"/>
      <x:c r="K1" s="3"/>
      <x:c r="L1" s="3"/>
      <x:c r="M1" s="3"/>
      <x:c r="N1" s="3"/>
    </x:row>
    <x:row r="2" ht="16.200000762939453" customHeight="1"/>
    <x:row r="3" ht="16.200000762939453" customHeight="1">
      <x:c r="A3" s="5"/>
      <x:c r="F3" s="239" t="s">
        <x:v>3</x:v>
      </x:c>
      <x:c r="G3" s="240"/>
      <x:c r="H3" s="241"/>
      <x:c r="I3" s="240" t="s">
        <x:v>4</x:v>
      </x:c>
      <x:c r="J3" s="240"/>
      <x:c r="K3" s="240"/>
      <x:c r="L3" s="240"/>
      <x:c r="M3" s="240"/>
      <x:c r="N3" s="242"/>
    </x:row>
    <x:row r="4" ht="16.200000762939453" customHeight="1">
      <x:c r="A4" s="5"/>
      <x:c r="B4" s="28"/>
      <x:c r="C4" s="28"/>
      <x:c r="D4" s="28"/>
      <x:c r="E4" s="29"/>
      <x:c r="F4" s="243" t="n">
        <x:f>+EOMONTH(G4,-12)</x:f>
        <x:v>44926</x:v>
      </x:c>
      <x:c r="G4" s="244" t="n">
        <x:f>+EOMONTH(H4,-12)</x:f>
        <x:v>45291</x:v>
      </x:c>
      <x:c r="H4" s="244" t="n">
        <x:f>+DATE(2024,12,31)</x:f>
        <x:v>45657</x:v>
      </x:c>
      <x:c r="I4" s="246" t="n">
        <x:f>+EOMONTH(H4,12)</x:f>
        <x:v>46022</x:v>
      </x:c>
      <x:c r="J4" s="246" t="n">
        <x:f t="shared" ref="J4:N4" si="0">+EOMONTH(I4,12)</x:f>
        <x:v>46387</x:v>
      </x:c>
      <x:c r="K4" s="246">
        <x:f t="shared" si="0"/>
        <x:v>46752</x:v>
      </x:c>
      <x:c r="L4" s="246">
        <x:f t="shared" si="0"/>
        <x:v>47118</x:v>
      </x:c>
      <x:c r="M4" s="246">
        <x:f t="shared" si="0"/>
        <x:v>47483</x:v>
      </x:c>
      <x:c r="N4" s="247">
        <x:f t="shared" si="0"/>
        <x:v>47848</x:v>
      </x:c>
    </x:row>
    <x:row r="5" ht="16.200000762939453" hidden="1" customHeight="1">
      <x:c r="B5" s="2" t="s">
        <x:v>129</x:v>
      </x:c>
      <x:c r="C5" s="2"/>
      <x:c r="D5" s="2"/>
      <x:c r="E5" s="10"/>
      <x:c r="F5" s="68"/>
      <x:c r="G5" s="68"/>
      <x:c r="H5" s="68"/>
      <x:c r="I5" s="17">
        <x:v>1</x:v>
      </x:c>
      <x:c r="J5" s="17" t="n">
        <x:f>+I5+1</x:f>
        <x:v>2</x:v>
      </x:c>
      <x:c r="K5" s="17" t="n">
        <x:f t="shared" ref="K5:N5" si="1">+J5+1</x:f>
        <x:v>3</x:v>
      </x:c>
      <x:c r="L5" s="17">
        <x:f t="shared" si="1"/>
        <x:v>4</x:v>
      </x:c>
      <x:c r="M5" s="17">
        <x:f t="shared" si="1"/>
        <x:v>5</x:v>
      </x:c>
      <x:c r="N5" s="17">
        <x:f t="shared" si="1"/>
        <x:v>6</x:v>
      </x:c>
      <x:c r="O5" s="17"/>
    </x:row>
    <x:row r="6" ht="16.200000762939453" customHeight="1">
      <x:c r="A6" s="5" t="s">
        <x:v>5</x:v>
      </x:c>
      <x:c r="B6" s="177" t="s">
        <x:v>130</x:v>
      </x:c>
      <x:c r="C6" s="178"/>
      <x:c r="D6" s="178"/>
      <x:c r="E6" s="178"/>
      <x:c r="F6" s="178"/>
      <x:c r="G6" s="179"/>
      <x:c r="H6" s="178"/>
      <x:c r="I6" s="178"/>
      <x:c r="J6" s="178"/>
      <x:c r="K6" s="178"/>
      <x:c r="L6" s="178"/>
      <x:c r="M6" s="178"/>
      <x:c r="N6" s="180"/>
    </x:row>
    <x:row r="7" ht="16.200000762939453" customHeight="1">
      <x:c r="B7" s="181" t="s">
        <x:v>131</x:v>
      </x:c>
      <x:c r="C7" s="248"/>
      <x:c r="D7" s="248"/>
      <x:c r="E7" s="248"/>
      <x:c r="F7" s="248"/>
      <x:c r="G7" s="248"/>
      <x:c r="H7" s="136"/>
      <x:c r="I7" s="268" t="n">
        <x:f>Operating_Model!$H$140+I23</x:f>
        <x:v>8000</x:v>
      </x:c>
      <x:c r="J7" s="269" t="n">
        <x:f>+I9</x:f>
        <x:v>8427.632775754468</x:v>
      </x:c>
      <x:c r="K7" s="269" t="n">
        <x:f t="shared" ref="K7" si="2">+J9</x:f>
        <x:v>8849.285299959127</x:v>
      </x:c>
      <x:c r="L7" s="269" t="n">
        <x:f t="shared" ref="L7" si="3">+K9</x:f>
        <x:v>9265.537260825575</x:v>
      </x:c>
      <x:c r="M7" s="269" t="n">
        <x:f t="shared" ref="M7" si="4">+L9</x:f>
        <x:v>9684.759315188594</x:v>
      </x:c>
      <x:c r="N7" s="364" t="n">
        <x:f t="shared" ref="N7" si="5">+M9</x:f>
        <x:v>10107.769703987302</x:v>
      </x:c>
    </x:row>
    <x:row r="8" ht="16.200000762939453" customHeight="1">
      <x:c r="B8" s="181" t="s">
        <x:v>132</x:v>
      </x:c>
      <x:c r="C8" s="248"/>
      <x:c r="D8" s="248"/>
      <x:c r="E8" s="248"/>
      <x:c r="F8" s="248"/>
      <x:c r="G8" s="248"/>
      <x:c r="H8" s="136"/>
      <x:c r="I8" s="268" t="n">
        <x:f>+Operating_Model!I72</x:f>
        <x:v>427.6327757544682</x:v>
      </x:c>
      <x:c r="J8" s="268" t="n">
        <x:f>+Operating_Model!J72</x:f>
        <x:v>421.65252420465873</x:v>
      </x:c>
      <x:c r="K8" s="268" t="n">
        <x:f>+Operating_Model!K72</x:f>
        <x:v>416.2519608664474</x:v>
      </x:c>
      <x:c r="L8" s="268" t="n">
        <x:f>+Operating_Model!L72</x:f>
        <x:v>419.22205436301886</x:v>
      </x:c>
      <x:c r="M8" s="268" t="n">
        <x:f>+Operating_Model!M72</x:f>
        <x:v>423.0103887987072</x:v>
      </x:c>
      <x:c r="N8" s="365" t="n">
        <x:f>+Operating_Model!N72</x:f>
        <x:v>428.60434588259636</x:v>
      </x:c>
    </x:row>
    <x:row r="9" ht="16.200000762939453" customHeight="1">
      <x:c r="B9" s="187" t="s">
        <x:v>133</x:v>
      </x:c>
      <x:c r="C9" s="188"/>
      <x:c r="D9" s="188"/>
      <x:c r="E9" s="188"/>
      <x:c r="F9" s="188"/>
      <x:c r="G9" s="188"/>
      <x:c r="H9" s="188"/>
      <x:c r="I9" s="204" t="n">
        <x:f t="shared" ref="I9" si="6">+SUM(I7:I8)</x:f>
        <x:v>8427.632775754468</x:v>
      </x:c>
      <x:c r="J9" s="204" t="n">
        <x:f t="shared" ref="J9" si="7">+SUM(J7:J8)</x:f>
        <x:v>8849.285299959127</x:v>
      </x:c>
      <x:c r="K9" s="204" t="n">
        <x:f t="shared" ref="K9" si="8">+SUM(K7:K8)</x:f>
        <x:v>9265.537260825575</x:v>
      </x:c>
      <x:c r="L9" s="204" t="n">
        <x:f t="shared" ref="L9" si="9">+SUM(L7:L8)</x:f>
        <x:v>9684.759315188594</x:v>
      </x:c>
      <x:c r="M9" s="204" t="n">
        <x:f t="shared" ref="M9" si="10">+SUM(M7:M8)</x:f>
        <x:v>10107.769703987302</x:v>
      </x:c>
      <x:c r="N9" s="358" t="n">
        <x:f t="shared" ref="N9" si="11">+SUM(N7:N8)</x:f>
        <x:v>10536.374049869899</x:v>
      </x:c>
    </x:row>
    <x:row r="10" ht="16.200000762939453" customHeight="1">
      <x:c r="B10" s="99"/>
      <x:c r="C10" s="226"/>
      <x:c r="D10" s="226"/>
      <x:c r="E10" s="226"/>
      <x:c r="F10" s="226"/>
      <x:c r="G10" s="226"/>
      <x:c r="H10" s="226"/>
      <x:c r="I10" s="194"/>
      <x:c r="J10" s="194"/>
      <x:c r="K10" s="194"/>
      <x:c r="L10" s="194"/>
      <x:c r="M10" s="194"/>
      <x:c r="N10" s="195"/>
    </x:row>
    <x:row r="11" ht="16.200000762939453" customHeight="1">
      <x:c r="B11" s="181" t="s">
        <x:v>134</x:v>
      </x:c>
      <x:c r="C11" s="248"/>
      <x:c r="D11" s="248"/>
      <x:c r="E11" s="97"/>
      <x:c r="F11" s="267" t="n">
        <x:f>Operating_Model!$I$74</x:f>
        <x:v>10</x:v>
      </x:c>
      <x:c r="G11" s="253"/>
      <x:c r="H11" s="253"/>
      <x:c r="I11" s="254"/>
      <x:c r="J11" s="254"/>
      <x:c r="K11" s="254"/>
      <x:c r="L11" s="254"/>
      <x:c r="M11" s="254"/>
      <x:c r="N11" s="255"/>
    </x:row>
    <x:row r="12" ht="16.200000762939453" customHeight="1">
      <x:c r="B12" s="181" t="s">
        <x:v>135</x:v>
      </x:c>
      <x:c r="C12" s="248"/>
      <x:c r="D12" s="248"/>
      <x:c r="E12" s="97"/>
      <x:c r="F12" s="267" t="n">
        <x:f>Operating_Model!$I$74</x:f>
        <x:v>10</x:v>
      </x:c>
      <x:c r="G12" s="256"/>
      <x:c r="H12" s="256"/>
      <x:c r="I12" s="248"/>
      <x:c r="J12" s="248"/>
      <x:c r="K12" s="248"/>
      <x:c r="L12" s="248"/>
      <x:c r="M12" s="248"/>
      <x:c r="N12" s="257"/>
    </x:row>
    <x:row r="13" ht="16.200000762939453" customHeight="1">
      <x:c r="B13" s="181"/>
      <x:c r="C13" s="248"/>
      <x:c r="D13" s="248"/>
      <x:c r="E13" s="248"/>
      <x:c r="F13" s="248"/>
      <x:c r="G13" s="248"/>
      <x:c r="H13" s="248"/>
      <x:c r="I13" s="248"/>
      <x:c r="J13" s="248"/>
      <x:c r="K13" s="248"/>
      <x:c r="L13" s="248"/>
      <x:c r="M13" s="248"/>
      <x:c r="N13" s="257"/>
    </x:row>
    <x:row r="14" ht="16.200000762939453" customHeight="1">
      <x:c r="B14" s="99" t="s">
        <x:v>136</x:v>
      </x:c>
      <x:c r="C14" s="248"/>
      <x:c r="D14" s="258" t="s">
        <x:v>137</x:v>
      </x:c>
      <x:c r="E14" s="248"/>
      <x:c r="F14" s="248"/>
      <x:c r="G14" s="248"/>
      <x:c r="H14" s="248"/>
      <x:c r="I14" s="194"/>
      <x:c r="J14" s="194"/>
      <x:c r="K14" s="194"/>
      <x:c r="L14" s="194"/>
      <x:c r="M14" s="194"/>
      <x:c r="N14" s="195"/>
    </x:row>
    <x:row r="15" ht="16.200000762939453" customHeight="1">
      <x:c r="B15" s="259" t="n">
        <x:f>I4</x:f>
        <x:v>46022</x:v>
      </x:c>
      <x:c r="C15" s="248"/>
      <x:c r="D15" s="260" t="e">
        <x:f t="shared" ref="D15:D20" si="12">+INDEX($8:$8,1,MATCH(B15,$4:$4,0))</x:f>
        <x:v>#VALUE!</x:v>
      </x:c>
      <x:c r="E15" s="97"/>
      <x:c r="F15" s="248"/>
      <x:c r="G15" s="248"/>
      <x:c r="H15" s="248"/>
      <x:c r="I15" s="202" t="e">
        <x:f t="shared" ref="I15:N15" si="13">+IF(YEAR(I$4)-YEAR($B15)+1&gt;$F$12,0,$D15/$F$12)</x:f>
        <x:v>#VALUE!</x:v>
      </x:c>
      <x:c r="J15" s="202">
        <x:f t="shared" si="13"/>
        <x:v>42.763277575446821</x:v>
      </x:c>
      <x:c r="K15" s="202">
        <x:f t="shared" si="13"/>
        <x:v>42.763277575446821</x:v>
      </x:c>
      <x:c r="L15" s="202">
        <x:f t="shared" si="13"/>
        <x:v>42.763277575446821</x:v>
      </x:c>
      <x:c r="M15" s="202">
        <x:f t="shared" si="13"/>
        <x:v>42.763277575446821</x:v>
      </x:c>
      <x:c r="N15" s="270">
        <x:f t="shared" si="13"/>
        <x:v>42.763277575446821</x:v>
      </x:c>
    </x:row>
    <x:row r="16" ht="16.200000762939453" customHeight="1">
      <x:c r="B16" s="259" t="n">
        <x:f>J4</x:f>
        <x:v>46387</x:v>
      </x:c>
      <x:c r="C16" s="248"/>
      <x:c r="D16" s="260">
        <x:f t="shared" si="12"/>
        <x:v>421.65252420465873</x:v>
      </x:c>
      <x:c r="E16" s="97"/>
      <x:c r="F16" s="248"/>
      <x:c r="G16" s="248"/>
      <x:c r="H16" s="248"/>
      <x:c r="I16" s="261"/>
      <x:c r="J16" s="202" t="n">
        <x:f>+IF(YEAR(J$4)-YEAR($B16)+1&gt;$F$12,0,$D16/$F$12)</x:f>
        <x:v>42.165252420465876</x:v>
      </x:c>
      <x:c r="K16" s="202" t="n">
        <x:f>+IF(YEAR(K$4)-YEAR($B16)+1&gt;$F$12,0,$D16/$F$12)</x:f>
        <x:v>42.165252420465876</x:v>
      </x:c>
      <x:c r="L16" s="202" t="n">
        <x:f>+IF(YEAR(L$4)-YEAR($B16)+1&gt;$F$12,0,$D16/$F$12)</x:f>
        <x:v>42.165252420465876</x:v>
      </x:c>
      <x:c r="M16" s="202" t="n">
        <x:f>+IF(YEAR(M$4)-YEAR($B16)+1&gt;$F$12,0,$D16/$F$12)</x:f>
        <x:v>42.165252420465876</x:v>
      </x:c>
      <x:c r="N16" s="270" t="n">
        <x:f>+IF(YEAR(N$4)-YEAR($B16)+1&gt;$F$12,0,$D16/$F$12)</x:f>
        <x:v>42.165252420465876</x:v>
      </x:c>
    </x:row>
    <x:row r="17" ht="16.200000762939453" customHeight="1">
      <x:c r="B17" s="259" t="n">
        <x:f>K4</x:f>
        <x:v>46752</x:v>
      </x:c>
      <x:c r="C17" s="248"/>
      <x:c r="D17" s="260">
        <x:f t="shared" si="12"/>
        <x:v>416.2519608664474</x:v>
      </x:c>
      <x:c r="E17" s="97"/>
      <x:c r="F17" s="248"/>
      <x:c r="G17" s="248"/>
      <x:c r="H17" s="248"/>
      <x:c r="I17" s="261"/>
      <x:c r="J17" s="261"/>
      <x:c r="K17" s="202" t="n">
        <x:f>+IF(YEAR(K$4)-YEAR($B17)+1&gt;$F$12,0,$D17/$F$12)</x:f>
        <x:v>41.62519608664474</x:v>
      </x:c>
      <x:c r="L17" s="202" t="n">
        <x:f>+IF(YEAR(L$4)-YEAR($B17)+1&gt;$F$12,0,$D17/$F$12)</x:f>
        <x:v>41.62519608664474</x:v>
      </x:c>
      <x:c r="M17" s="202" t="n">
        <x:f>+IF(YEAR(M$4)-YEAR($B17)+1&gt;$F$12,0,$D17/$F$12)</x:f>
        <x:v>41.62519608664474</x:v>
      </x:c>
      <x:c r="N17" s="270" t="n">
        <x:f>+IF(YEAR(N$4)-YEAR($B17)+1&gt;$F$12,0,$D17/$F$12)</x:f>
        <x:v>41.62519608664474</x:v>
      </x:c>
    </x:row>
    <x:row r="18" ht="16.200000762939453" customHeight="1">
      <x:c r="B18" s="259" t="n">
        <x:f>L4</x:f>
        <x:v>47118</x:v>
      </x:c>
      <x:c r="C18" s="248"/>
      <x:c r="D18" s="260">
        <x:f t="shared" si="12"/>
        <x:v>419.22205436301886</x:v>
      </x:c>
      <x:c r="E18" s="97"/>
      <x:c r="F18" s="248"/>
      <x:c r="G18" s="248"/>
      <x:c r="H18" s="248"/>
      <x:c r="I18" s="261"/>
      <x:c r="J18" s="261"/>
      <x:c r="K18" s="261"/>
      <x:c r="L18" s="202" t="n">
        <x:f>+IF(YEAR(L$4)-YEAR($B18)+1&gt;$F$12,0,$D18/$F$12)</x:f>
        <x:v>41.92220543630189</x:v>
      </x:c>
      <x:c r="M18" s="202" t="n">
        <x:f>+IF(YEAR(M$4)-YEAR($B18)+1&gt;$F$12,0,$D18/$F$12)</x:f>
        <x:v>41.92220543630189</x:v>
      </x:c>
      <x:c r="N18" s="270" t="n">
        <x:f>+IF(YEAR(N$4)-YEAR($B18)+1&gt;$F$12,0,$D18/$F$12)</x:f>
        <x:v>41.92220543630189</x:v>
      </x:c>
    </x:row>
    <x:row r="19" ht="16.200000762939453" customHeight="1">
      <x:c r="B19" s="259" t="n">
        <x:f>M4</x:f>
        <x:v>47483</x:v>
      </x:c>
      <x:c r="C19" s="248"/>
      <x:c r="D19" s="260">
        <x:f t="shared" si="12"/>
        <x:v>423.0103887987072</x:v>
      </x:c>
      <x:c r="E19" s="97"/>
      <x:c r="F19" s="248"/>
      <x:c r="G19" s="248"/>
      <x:c r="H19" s="248"/>
      <x:c r="I19" s="261"/>
      <x:c r="J19" s="261"/>
      <x:c r="K19" s="261"/>
      <x:c r="L19" s="261"/>
      <x:c r="M19" s="202" t="n">
        <x:f>+IF(YEAR(M$4)-YEAR($B19)+1&gt;$F$12,0,$D19/$F$12)</x:f>
        <x:v>42.30103887987072</x:v>
      </x:c>
      <x:c r="N19" s="270" t="n">
        <x:f>+IF(YEAR(N$4)-YEAR($B19)+1&gt;$F$12,0,$D19/$F$12)</x:f>
        <x:v>42.30103887987072</x:v>
      </x:c>
    </x:row>
    <x:row r="20" ht="16.200000762939453" customHeight="1">
      <x:c r="B20" s="259" t="n">
        <x:f>N4</x:f>
        <x:v>47848</x:v>
      </x:c>
      <x:c r="C20" s="248"/>
      <x:c r="D20" s="260">
        <x:f t="shared" si="12"/>
        <x:v>428.60434588259636</x:v>
      </x:c>
      <x:c r="E20" s="97"/>
      <x:c r="F20" s="248"/>
      <x:c r="G20" s="248"/>
      <x:c r="H20" s="248"/>
      <x:c r="I20" s="261"/>
      <x:c r="J20" s="261"/>
      <x:c r="K20" s="261"/>
      <x:c r="L20" s="261"/>
      <x:c r="M20" s="261"/>
      <x:c r="N20" s="270" t="n">
        <x:f>+IF(YEAR(N$4)-YEAR($B20)+1&gt;$F$12,0,$D20/$F$12)</x:f>
        <x:v>42.860434588259636</x:v>
      </x:c>
    </x:row>
    <x:row r="21" ht="16.200000762939453" customHeight="1">
      <x:c r="B21" s="262"/>
      <x:c r="C21" s="248"/>
      <x:c r="D21" s="248"/>
      <x:c r="E21" s="140"/>
      <x:c r="F21" s="248"/>
      <x:c r="G21" s="248"/>
      <x:c r="H21" s="248"/>
      <x:c r="I21" s="118"/>
      <x:c r="J21" s="118"/>
      <x:c r="K21" s="118"/>
      <x:c r="L21" s="118"/>
      <x:c r="M21" s="118"/>
      <x:c r="N21" s="182"/>
    </x:row>
    <x:row r="22" ht="16.200000762939453" customHeight="1">
      <x:c r="B22" s="99" t="s">
        <x:v>138</x:v>
      </x:c>
      <x:c r="C22" s="248"/>
      <x:c r="D22" s="248"/>
      <x:c r="E22" s="248"/>
      <x:c r="F22" s="248"/>
      <x:c r="G22" s="248"/>
      <x:c r="H22" s="248"/>
      <x:c r="I22" s="248"/>
      <x:c r="J22" s="248"/>
      <x:c r="K22" s="248"/>
      <x:c r="L22" s="248"/>
      <x:c r="M22" s="248"/>
      <x:c r="N22" s="257"/>
    </x:row>
    <x:row r="23" ht="16.200000762939453" customHeight="1">
      <x:c r="B23" s="181" t="s">
        <x:v>131</x:v>
      </x:c>
      <x:c r="C23" s="248"/>
      <x:c r="D23" s="248"/>
      <x:c r="E23" s="248"/>
      <x:c r="F23" s="248"/>
      <x:c r="G23" s="248"/>
      <x:c r="H23" s="248"/>
      <x:c r="I23" s="271">
        <x:v>5471</x:v>
      </x:c>
      <x:c r="J23" s="269" t="e">
        <x:f t="shared" ref="J23" si="14">+I27</x:f>
        <x:v>#VALUE!</x:v>
      </x:c>
      <x:c r="K23" s="269" t="e">
        <x:f t="shared" ref="K23" si="15">+J27</x:f>
        <x:v>#VALUE!</x:v>
      </x:c>
      <x:c r="L23" s="269" t="n">
        <x:f t="shared" ref="L23" si="16">+K27</x:f>
        <x:v>6483.945533653917</x:v>
      </x:c>
      <x:c r="M23" s="269" t="n">
        <x:f t="shared" ref="M23" si="17">+L27</x:f>
        <x:v>6905.321465172776</x:v>
      </x:c>
      <x:c r="N23" s="364" t="n">
        <x:f t="shared" ref="N23" si="18">+M27</x:f>
        <x:v>7368.998435571506</x:v>
      </x:c>
    </x:row>
    <x:row r="24" ht="16.200000762939453" customHeight="1">
      <x:c r="B24" s="181" t="s">
        <x:v>139</x:v>
      </x:c>
      <x:c r="C24" s="248"/>
      <x:c r="D24" s="248"/>
      <x:c r="E24" s="248"/>
      <x:c r="F24" s="248"/>
      <x:c r="G24" s="248"/>
      <x:c r="H24" s="248"/>
      <x:c r="I24" s="269" t="e">
        <x:f t="shared" ref="I24:N24" si="19">+I25+I26</x:f>
        <x:v>#VALUE!</x:v>
      </x:c>
      <x:c r="J24" s="269">
        <x:f t="shared" si="19"/>
        <x:v>337.82852999591273</x:v>
      </x:c>
      <x:c r="K24" s="269">
        <x:f t="shared" si="19"/>
        <x:v>379.45372608255741</x:v>
      </x:c>
      <x:c r="L24" s="269">
        <x:f t="shared" si="19"/>
        <x:v>421.37593151885932</x:v>
      </x:c>
      <x:c r="M24" s="269">
        <x:f t="shared" si="19"/>
        <x:v>463.67697039873008</x:v>
      </x:c>
      <x:c r="N24" s="364">
        <x:f t="shared" si="19"/>
        <x:v>506.53740498698971</x:v>
      </x:c>
    </x:row>
    <x:row r="25" ht="16.200000762939453" customHeight="1">
      <x:c r="B25" s="183" t="s">
        <x:v>140</x:v>
      </x:c>
      <x:c r="C25" s="248"/>
      <x:c r="D25" s="248"/>
      <x:c r="E25" s="248"/>
      <x:c r="F25" s="248"/>
      <x:c r="G25" s="248"/>
      <x:c r="H25" s="248"/>
      <x:c r="I25" s="173" t="n">
        <x:f>+IF(I5&gt;ROUNDUP($F$11,0),0,MIN(($I$7-$I$23)/$F$11,($I$7-$I$23)-SUM($H25:H25)))</x:f>
        <x:v>252.9</x:v>
      </x:c>
      <x:c r="J25" s="173" t="n">
        <x:f>+IF(J5&gt;ROUNDUP($F$11,0),0,MIN(($I$7-$I$23)/$F$11,($I$7-$I$23)-SUM($H25:I25)))</x:f>
        <x:v>252.9</x:v>
      </x:c>
      <x:c r="K25" s="173" t="n">
        <x:f>+IF(K5&gt;ROUNDUP($F$11,0),0,MIN(($I$7-$I$23)/$F$11,($I$7-$I$23)-SUM($H25:J25)))</x:f>
        <x:v>252.9</x:v>
      </x:c>
      <x:c r="L25" s="173" t="n">
        <x:f>+IF(L5&gt;ROUNDUP($F$11,0),0,MIN(($I$7-$I$23)/$F$11,($I$7-$I$23)-SUM($H25:K25)))</x:f>
        <x:v>252.9</x:v>
      </x:c>
      <x:c r="M25" s="173" t="n">
        <x:f>+IF(M5&gt;ROUNDUP($F$11,0),0,MIN(($I$7-$I$23)/$F$11,($I$7-$I$23)-SUM($H25:L25)))</x:f>
        <x:v>252.9</x:v>
      </x:c>
      <x:c r="N25" s="353" t="n">
        <x:f>+IF(N5&gt;ROUNDUP($F$11,0),0,MIN(($I$7-$I$23)/$F$11,($I$7-$I$23)-SUM($H25:M25)))</x:f>
        <x:v>252.9</x:v>
      </x:c>
    </x:row>
    <x:row r="26" ht="16.200000762939453" customHeight="1">
      <x:c r="B26" s="183" t="s">
        <x:v>141</x:v>
      </x:c>
      <x:c r="C26" s="248"/>
      <x:c r="D26" s="248"/>
      <x:c r="E26" s="248"/>
      <x:c r="F26" s="248"/>
      <x:c r="G26" s="248"/>
      <x:c r="H26" s="248"/>
      <x:c r="I26" s="269" t="e">
        <x:f t="shared" ref="I26:N26" si="20">+SUM(I15:I20)</x:f>
        <x:v>#VALUE!</x:v>
      </x:c>
      <x:c r="J26" s="269">
        <x:f t="shared" si="20"/>
        <x:v>84.928529995912697</x:v>
      </x:c>
      <x:c r="K26" s="269">
        <x:f t="shared" si="20"/>
        <x:v>126.55372608255743</x:v>
      </x:c>
      <x:c r="L26" s="269">
        <x:f t="shared" si="20"/>
        <x:v>168.47593151885931</x:v>
      </x:c>
      <x:c r="M26" s="269">
        <x:f t="shared" si="20"/>
        <x:v>210.77697039873004</x:v>
      </x:c>
      <x:c r="N26" s="364">
        <x:f t="shared" si="20"/>
        <x:v>253.63740498698968</x:v>
      </x:c>
    </x:row>
    <x:row r="27" ht="16.200000762939453" customHeight="1">
      <x:c r="B27" s="187" t="s">
        <x:v>133</x:v>
      </x:c>
      <x:c r="C27" s="188"/>
      <x:c r="D27" s="188"/>
      <x:c r="E27" s="188"/>
      <x:c r="F27" s="188"/>
      <x:c r="G27" s="188"/>
      <x:c r="H27" s="188"/>
      <x:c r="I27" s="204" t="e">
        <x:f>+I23+I24</x:f>
        <x:v>#VALUE!</x:v>
      </x:c>
      <x:c r="J27" s="204" t="e">
        <x:f t="shared" ref="J27:N27" si="21">+J23+J24</x:f>
        <x:v>#VALUE!</x:v>
      </x:c>
      <x:c r="K27" s="204">
        <x:f t="shared" si="21"/>
        <x:v>6483.9455336539168</x:v>
      </x:c>
      <x:c r="L27" s="204">
        <x:f t="shared" si="21"/>
        <x:v>6905.3214651727758</x:v>
      </x:c>
      <x:c r="M27" s="204">
        <x:f t="shared" si="21"/>
        <x:v>7368.998435571506</x:v>
      </x:c>
      <x:c r="N27" s="358">
        <x:f t="shared" si="21"/>
        <x:v>7875.5358405584957</x:v>
      </x:c>
    </x:row>
    <x:row r="28" ht="16.200000762939453" customHeight="1">
      <x:c r="B28" s="99"/>
      <x:c r="C28" s="226"/>
      <x:c r="D28" s="226"/>
      <x:c r="E28" s="226"/>
      <x:c r="F28" s="226"/>
      <x:c r="G28" s="226"/>
      <x:c r="H28" s="226"/>
      <x:c r="I28" s="194"/>
      <x:c r="J28" s="194"/>
      <x:c r="K28" s="194"/>
      <x:c r="L28" s="194"/>
      <x:c r="M28" s="194"/>
      <x:c r="N28" s="195"/>
    </x:row>
    <x:row r="29" ht="16.200000762939453" customHeight="1">
      <x:c r="B29" s="197" t="s">
        <x:v>142</x:v>
      </x:c>
      <x:c r="C29" s="198"/>
      <x:c r="D29" s="198"/>
      <x:c r="E29" s="198"/>
      <x:c r="F29" s="198"/>
      <x:c r="G29" s="198"/>
      <x:c r="H29" s="198"/>
      <x:c r="I29" s="264" t="e">
        <x:f t="shared" ref="I29:N29" si="22">+I9-I27</x:f>
        <x:v>#VALUE!</x:v>
      </x:c>
      <x:c r="J29" s="264">
        <x:f t="shared" si="22"/>
        <x:v>2744.7934923877674</x:v>
      </x:c>
      <x:c r="K29" s="264">
        <x:f t="shared" si="22"/>
        <x:v>2781.591727171658</x:v>
      </x:c>
      <x:c r="L29" s="264">
        <x:f t="shared" si="22"/>
        <x:v>2779.4378500158182</x:v>
      </x:c>
      <x:c r="M29" s="264">
        <x:f t="shared" si="22"/>
        <x:v>2738.7712684157959</x:v>
      </x:c>
      <x:c r="N29" s="265">
        <x:f t="shared" si="22"/>
        <x:v>2660.8382093114033</x:v>
      </x:c>
    </x:row>
    <x:row r="30" ht="16.200000762939453" customHeight="1"/>
    <x:row r="31" ht="16.200000762939453" customHeight="1">
      <x:c r="A31" s="5" t="s">
        <x:v>5</x:v>
      </x:c>
      <x:c r="B31" s="177" t="s">
        <x:v>143</x:v>
      </x:c>
      <x:c r="C31" s="178"/>
      <x:c r="D31" s="178"/>
      <x:c r="E31" s="178"/>
      <x:c r="F31" s="178"/>
      <x:c r="G31" s="179"/>
      <x:c r="H31" s="178"/>
      <x:c r="I31" s="178"/>
      <x:c r="J31" s="178"/>
      <x:c r="K31" s="178"/>
      <x:c r="L31" s="178"/>
      <x:c r="M31" s="178"/>
      <x:c r="N31" s="180"/>
    </x:row>
    <x:row r="32">
      <x:c r="B32" s="96"/>
      <x:c r="C32" s="97"/>
      <x:c r="D32" s="97"/>
      <x:c r="E32" s="97"/>
      <x:c r="F32" s="97"/>
      <x:c r="G32" s="97"/>
      <x:c r="H32" s="97"/>
      <x:c r="I32" s="97"/>
      <x:c r="J32" s="97"/>
      <x:c r="K32" s="97"/>
      <x:c r="L32" s="97"/>
      <x:c r="M32" s="97"/>
      <x:c r="N32" s="98"/>
    </x:row>
    <x:row r="33" ht="16.200000762939453" customHeight="1">
      <x:c r="B33" s="96"/>
      <x:c r="C33" s="97"/>
      <x:c r="D33" s="258" t="s">
        <x:v>144</x:v>
      </x:c>
      <x:c r="E33" s="258" t="s">
        <x:v>145</x:v>
      </x:c>
      <x:c r="F33" s="97"/>
      <x:c r="G33" s="97"/>
      <x:c r="H33" s="97"/>
      <x:c r="I33" s="97"/>
      <x:c r="J33" s="97"/>
      <x:c r="K33" s="97"/>
      <x:c r="L33" s="97"/>
      <x:c r="M33" s="97"/>
      <x:c r="N33" s="98"/>
    </x:row>
    <x:row r="34" ht="16.200000762939453" customHeight="1">
      <x:c r="B34" s="181" t="s">
        <x:v>146</x:v>
      </x:c>
      <x:c r="C34" s="97"/>
      <x:c r="D34" s="273" t="n">
        <x:f>+Operating_Model!$I$78</x:f>
        <x:v>0.0484</x:v>
      </x:c>
      <x:c r="E34" s="273" t="n">
        <x:f>+Operating_Model!$I$78</x:f>
        <x:v>0.0484</x:v>
      </x:c>
      <x:c r="F34" s="97"/>
      <x:c r="G34" s="97"/>
      <x:c r="H34" s="97"/>
      <x:c r="I34" s="97"/>
      <x:c r="J34" s="97"/>
      <x:c r="K34" s="97"/>
      <x:c r="L34" s="97"/>
      <x:c r="M34" s="97"/>
      <x:c r="N34" s="98"/>
    </x:row>
    <x:row r="35" ht="16.200000762939453" customHeight="1">
      <x:c r="B35" s="181" t="s">
        <x:v>147</x:v>
      </x:c>
      <x:c r="C35" s="97"/>
      <x:c r="D35" s="252" t="n">
        <x:f>Operating_Model!$I$79</x:f>
        <x:v>10</x:v>
      </x:c>
      <x:c r="E35" s="252" t="n">
        <x:f>Operating_Model!$I$80</x:f>
        <x:v>15</x:v>
      </x:c>
      <x:c r="F35" s="97"/>
      <x:c r="G35" s="97"/>
      <x:c r="H35" s="97"/>
      <x:c r="I35" s="97"/>
      <x:c r="J35" s="97"/>
      <x:c r="K35" s="97"/>
      <x:c r="L35" s="97"/>
      <x:c r="M35" s="97"/>
      <x:c r="N35" s="98"/>
    </x:row>
    <x:row r="36" ht="16.200000762939453" customHeight="1">
      <x:c r="B36" s="96"/>
      <x:c r="C36" s="97"/>
      <x:c r="D36" s="97"/>
      <x:c r="E36" s="97"/>
      <x:c r="F36" s="97"/>
      <x:c r="G36" s="97"/>
      <x:c r="H36" s="97"/>
      <x:c r="I36" s="196"/>
      <x:c r="J36" s="196"/>
      <x:c r="K36" s="196"/>
      <x:c r="L36" s="196"/>
      <x:c r="M36" s="196"/>
      <x:c r="N36" s="250"/>
    </x:row>
    <x:row r="37" ht="16.200000762939453" customHeight="1">
      <x:c r="B37" s="181" t="s">
        <x:v>148</x:v>
      </x:c>
      <x:c r="C37" s="97"/>
      <x:c r="D37" s="97"/>
      <x:c r="E37" s="97"/>
      <x:c r="F37" s="121"/>
      <x:c r="G37" s="121"/>
      <x:c r="H37" s="274"/>
      <x:c r="I37" s="275" t="n">
        <x:f>Operating_Model!$H$144+I45-I42</x:f>
        <x:v>384.6262039972198</x:v>
      </x:c>
      <x:c r="J37" s="143" t="n">
        <x:f t="shared" ref="J37:N37" si="23">+I37+J45-J42</x:f>
        <x:v>404.250380946636</x:v>
      </x:c>
      <x:c r="K37" s="143">
        <x:f t="shared" si="23"/>
        <x:v>418.78009085758811</x:v>
      </x:c>
      <x:c r="L37" s="143">
        <x:f t="shared" si="23"/>
        <x:v>429.10112650159732</x:v>
      </x:c>
      <x:c r="M37" s="143">
        <x:f t="shared" si="23"/>
        <x:v>435.07602851706059</x:v>
      </x:c>
      <x:c r="N37" s="144">
        <x:f t="shared" si="23"/>
        <x:v>436.67576310053954</x:v>
      </x:c>
      <x:c r="O37" s="13"/>
      <x:c r="P37" s="13"/>
    </x:row>
    <x:row r="38" ht="16.200000762939453" customHeight="1">
      <x:c r="B38" s="181" t="s">
        <x:v>149</x:v>
      </x:c>
      <x:c r="C38" s="97"/>
      <x:c r="D38" s="97"/>
      <x:c r="E38" s="97"/>
      <x:c r="F38" s="121"/>
      <x:c r="G38" s="121"/>
      <x:c r="H38" s="274"/>
      <x:c r="I38" s="275" t="n">
        <x:f>+Operating_Model!$H$154+I45-I42</x:f>
        <x:v>395.6262039972198</x:v>
      </x:c>
      <x:c r="J38" s="143" t="n">
        <x:f t="shared" ref="J38:N38" si="24">+I38+J45-J42</x:f>
        <x:v>415.250380946636</x:v>
      </x:c>
      <x:c r="K38" s="143">
        <x:f t="shared" si="24"/>
        <x:v>429.78009085758811</x:v>
      </x:c>
      <x:c r="L38" s="143">
        <x:f t="shared" si="24"/>
        <x:v>440.10112650159732</x:v>
      </x:c>
      <x:c r="M38" s="143">
        <x:f t="shared" si="24"/>
        <x:v>446.07602851706059</x:v>
      </x:c>
      <x:c r="N38" s="144">
        <x:f t="shared" si="24"/>
        <x:v>447.67576310053954</x:v>
      </x:c>
      <x:c r="O38" s="13"/>
      <x:c r="P38" s="13"/>
    </x:row>
    <x:row r="39" ht="16.200000762939453" customHeight="1">
      <x:c r="B39" s="96"/>
      <x:c r="C39" s="97"/>
      <x:c r="D39" s="97"/>
      <x:c r="E39" s="97"/>
      <x:c r="F39" s="276"/>
      <x:c r="G39" s="276"/>
      <x:c r="H39" s="276"/>
      <x:c r="I39" s="140"/>
      <x:c r="J39" s="196"/>
      <x:c r="K39" s="196"/>
      <x:c r="L39" s="196"/>
      <x:c r="M39" s="196"/>
      <x:c r="N39" s="250"/>
    </x:row>
    <x:row r="40" ht="16.200000762939453" customHeight="1">
      <x:c r="B40" s="181" t="s">
        <x:v>150</x:v>
      </x:c>
      <x:c r="C40" s="97"/>
      <x:c r="D40" s="97"/>
      <x:c r="E40" s="97"/>
      <x:c r="F40" s="121"/>
      <x:c r="G40" s="121"/>
      <x:c r="H40" s="121"/>
      <x:c r="I40" s="275" t="n">
        <x:f>-IF(I$5&gt;$D$35,0,PMT($D$34,$D$35,Operating_Model!$H$154,0))+I53</x:f>
        <x:v>53.10755628291147</x:v>
      </x:c>
      <x:c r="J40" s="275" t="n">
        <x:f>-IF(J$5&gt;$D$35,0,PMT($D$34,$D$35,Operating_Model!$H$154,0))+J53</x:f>
        <x:v>58.46553217420441</x:v>
      </x:c>
      <x:c r="K40" s="275" t="n">
        <x:f>-IF(K$5&gt;$D$35,0,PMT($D$34,$D$35,Operating_Model!$H$154,0))+K53</x:f>
        <x:v>63.75488262984956</x:v>
      </x:c>
      <x:c r="L40" s="275" t="n">
        <x:f>-IF(L$5&gt;$D$35,0,PMT($D$34,$D$35,Operating_Model!$H$154,0))+L53</x:f>
        <x:v>69.08197432605655</x:v>
      </x:c>
      <x:c r="M40" s="275" t="n">
        <x:f>-IF(M$5&gt;$D$35,0,PMT($D$34,$D$35,Operating_Model!$H$154,0))+M53</x:f>
        <x:v>74.457204722756</x:v>
      </x:c>
      <x:c r="N40" s="277" t="n">
        <x:f>-IF(N$5&gt;$D$35,0,PMT($D$34,$D$35,Operating_Model!$H$154,0))+N53</x:f>
        <x:v>79.90351802652197</x:v>
      </x:c>
      <x:c r="O40" s="13"/>
      <x:c r="P40" s="13"/>
    </x:row>
    <x:row r="41" ht="16.200000762939453" customHeight="1">
      <x:c r="B41" s="181" t="s">
        <x:v>151</x:v>
      </x:c>
      <x:c r="C41" s="97"/>
      <x:c r="D41" s="97"/>
      <x:c r="E41" s="97"/>
      <x:c r="F41" s="97"/>
      <x:c r="G41" s="140"/>
      <x:c r="H41" s="140"/>
      <x:c r="I41" s="275" t="n">
        <x:f>IF(I5&gt;$D$35,0,-IPMT($D$34,I5,$D$35,Operating_Model!$H$154,0))+I62</x:f>
        <x:v>20.716056846202168</x:v>
      </x:c>
      <x:c r="J41" s="275" t="n">
        <x:f>IF(J5&gt;$D$35,0,-IPMT($D$34,J5,$D$35,Operating_Model!$H$154,0))+J62</x:f>
        <x:v>21.8693725629995</x:v>
      </x:c>
      <x:c r="K41" s="275" t="n">
        <x:f>IF(K5&gt;$D$35,0,-IPMT($D$34,K5,$D$35,Operating_Model!$H$154,0))+K62</x:f>
        <x:v>22.784331091941993</x:v>
      </x:c>
      <x:c r="L41" s="275" t="n">
        <x:f>IF(L5&gt;$D$35,0,-IPMT($D$34,L5,$D$35,Operating_Model!$H$154,0))+L62</x:f>
        <x:v>23.506736054996615</x:v>
      </x:c>
      <x:c r="M41" s="275" t="n">
        <x:f>IF(M5&gt;$D$35,0,-IPMT($D$34,M5,$D$35,Operating_Model!$H$154,0))+M62</x:f>
        <x:v>24.0307215650583</x:v>
      </x:c>
      <x:c r="N41" s="277" t="n">
        <x:f>IF(N5&gt;$D$35,0,-IPMT($D$34,N5,$D$35,Operating_Model!$H$154,0))+N62</x:f>
        <x:v>24.356006492321423</x:v>
      </x:c>
      <x:c r="O41" s="13"/>
      <x:c r="P41" s="13"/>
    </x:row>
    <x:row r="42" ht="16.200000762939453" customHeight="1">
      <x:c r="B42" s="181" t="s">
        <x:v>152</x:v>
      </x:c>
      <x:c r="C42" s="97"/>
      <x:c r="D42" s="97"/>
      <x:c r="E42" s="97"/>
      <x:c r="F42" s="97"/>
      <x:c r="G42" s="196"/>
      <x:c r="H42" s="196"/>
      <x:c r="I42" s="143" t="n">
        <x:f>+I40-I41</x:f>
        <x:v>32.391499436709296</x:v>
      </x:c>
      <x:c r="J42" s="143" t="n">
        <x:f t="shared" ref="J42:N42" si="25">+J40-J41</x:f>
        <x:v>36.59615961120491</x:v>
      </x:c>
      <x:c r="K42" s="143">
        <x:f t="shared" si="25"/>
        <x:v>40.970551537907575</x:v>
      </x:c>
      <x:c r="L42" s="143">
        <x:f t="shared" si="25"/>
        <x:v>45.575238271059945</x:v>
      </x:c>
      <x:c r="M42" s="143">
        <x:f t="shared" si="25"/>
        <x:v>50.426483157697703</x:v>
      </x:c>
      <x:c r="N42" s="144">
        <x:f t="shared" si="25"/>
        <x:v>55.547511534200545</x:v>
      </x:c>
      <x:c r="O42" s="13"/>
      <x:c r="P42" s="13"/>
    </x:row>
    <x:row r="43" ht="16.200000762939453" customHeight="1">
      <x:c r="B43" s="96"/>
      <x:c r="C43" s="97"/>
      <x:c r="D43" s="97"/>
      <x:c r="E43" s="97"/>
      <x:c r="F43" s="136"/>
      <x:c r="G43" s="136"/>
      <x:c r="H43" s="136"/>
      <x:c r="I43" s="196"/>
      <x:c r="J43" s="196"/>
      <x:c r="K43" s="196"/>
      <x:c r="L43" s="196"/>
      <x:c r="M43" s="196"/>
      <x:c r="N43" s="250"/>
    </x:row>
    <x:row r="44" ht="16.200000762939453" customHeight="1">
      <x:c r="B44" s="99" t="s">
        <x:v>153</x:v>
      </x:c>
      <x:c r="C44" s="97"/>
      <x:c r="D44" s="97"/>
      <x:c r="E44" s="97"/>
      <x:c r="F44" s="278"/>
      <x:c r="G44" s="278"/>
      <x:c r="H44" s="278"/>
      <x:c r="I44" s="196"/>
      <x:c r="J44" s="196"/>
      <x:c r="K44" s="196"/>
      <x:c r="L44" s="196"/>
      <x:c r="M44" s="196"/>
      <x:c r="N44" s="250"/>
    </x:row>
    <x:row r="45" ht="16.200000762939453" customHeight="1">
      <x:c r="B45" s="181" t="s">
        <x:v>154</x:v>
      </x:c>
      <x:c r="C45" s="97"/>
      <x:c r="D45" s="97"/>
      <x:c r="E45" s="97"/>
      <x:c r="F45" s="121"/>
      <x:c r="G45" s="121"/>
      <x:c r="H45" s="121"/>
      <x:c r="I45" s="274" t="n">
        <x:f>Operating_Model!I76</x:f>
        <x:v>57.01770343392909</x:v>
      </x:c>
      <x:c r="J45" s="274" t="n">
        <x:f>Operating_Model!J76</x:f>
        <x:v>56.22033656062117</x:v>
      </x:c>
      <x:c r="K45" s="274" t="n">
        <x:f>Operating_Model!K76</x:f>
        <x:v>55.50026144885966</x:v>
      </x:c>
      <x:c r="L45" s="274" t="n">
        <x:f>Operating_Model!L76</x:f>
        <x:v>55.89627391506919</x:v>
      </x:c>
      <x:c r="M45" s="274" t="n">
        <x:f>Operating_Model!M76</x:f>
        <x:v>56.40138517316096</x:v>
      </x:c>
      <x:c r="N45" s="279" t="n">
        <x:f>Operating_Model!N76</x:f>
        <x:v>57.14724611767952</x:v>
      </x:c>
    </x:row>
    <x:row r="46" ht="16.200000762939453" customHeight="1">
      <x:c r="B46" s="99" t="s">
        <x:v>155</x:v>
      </x:c>
      <x:c r="C46" s="97"/>
      <x:c r="D46" s="258" t="s">
        <x:v>156</x:v>
      </x:c>
      <x:c r="E46" s="97"/>
      <x:c r="F46" s="136"/>
      <x:c r="G46" s="136"/>
      <x:c r="H46" s="136"/>
      <x:c r="I46" s="280"/>
      <x:c r="J46" s="97"/>
      <x:c r="K46" s="97"/>
      <x:c r="L46" s="97"/>
      <x:c r="M46" s="97"/>
      <x:c r="N46" s="98"/>
    </x:row>
    <x:row r="47" ht="16.200000762939453" customHeight="1">
      <x:c r="B47" s="259" t="n">
        <x:f t="shared" ref="B47:B52" si="26">B15</x:f>
        <x:v>46022</x:v>
      </x:c>
      <x:c r="C47" s="97"/>
      <x:c r="D47" s="281" t="n">
        <x:f>$I$45</x:f>
        <x:v>57.01770343392909</x:v>
      </x:c>
      <x:c r="E47" s="97"/>
      <x:c r="F47" s="97"/>
      <x:c r="G47" s="140"/>
      <x:c r="H47" s="140"/>
      <x:c r="I47" s="143" t="n">
        <x:f>-IF(YEAR(I$4)-YEAR($B47)+1&gt;$E$35,0,PMT($E$34,$E$35,$D47,0))</x:f>
        <x:v>5.433967476279151</x:v>
      </x:c>
      <x:c r="J47" s="143" t="n">
        <x:f t="shared" ref="J47:N52" si="27">-IF(YEAR(J$4)-YEAR($B47)+1&gt;$E$35,0,PMT($E$34,$E$35,$D47,0))</x:f>
        <x:v>5.433967476279151</x:v>
      </x:c>
      <x:c r="K47" s="143">
        <x:f t="shared" si="27"/>
        <x:v>5.4339674762791512</x:v>
      </x:c>
      <x:c r="L47" s="143">
        <x:f t="shared" si="27"/>
        <x:v>5.4339674762791512</x:v>
      </x:c>
      <x:c r="M47" s="143">
        <x:f t="shared" si="27"/>
        <x:v>5.4339674762791512</x:v>
      </x:c>
      <x:c r="N47" s="144">
        <x:f t="shared" si="27"/>
        <x:v>5.4339674762791512</x:v>
      </x:c>
    </x:row>
    <x:row r="48" ht="16.200000762939453" customHeight="1">
      <x:c r="B48" s="259">
        <x:f t="shared" si="26"/>
        <x:v>46387</x:v>
      </x:c>
      <x:c r="C48" s="97"/>
      <x:c r="D48" s="281" t="n">
        <x:f>$J$45</x:f>
        <x:v>56.22033656062117</x:v>
      </x:c>
      <x:c r="E48" s="97"/>
      <x:c r="F48" s="97"/>
      <x:c r="G48" s="196"/>
      <x:c r="H48" s="196"/>
      <x:c r="I48" s="143"/>
      <x:c r="J48" s="143">
        <x:f t="shared" si="27"/>
        <x:v>5.3579758912929458</x:v>
      </x:c>
      <x:c r="K48" s="143">
        <x:f t="shared" si="27"/>
        <x:v>5.3579758912929458</x:v>
      </x:c>
      <x:c r="L48" s="143">
        <x:f t="shared" si="27"/>
        <x:v>5.3579758912929458</x:v>
      </x:c>
      <x:c r="M48" s="143">
        <x:f t="shared" si="27"/>
        <x:v>5.3579758912929458</x:v>
      </x:c>
      <x:c r="N48" s="144">
        <x:f t="shared" si="27"/>
        <x:v>5.3579758912929458</x:v>
      </x:c>
    </x:row>
    <x:row r="49" ht="16.200000762939453" customHeight="1">
      <x:c r="B49" s="259">
        <x:f t="shared" si="26"/>
        <x:v>46752</x:v>
      </x:c>
      <x:c r="C49" s="97"/>
      <x:c r="D49" s="281" t="n">
        <x:f>$K$45</x:f>
        <x:v>55.50026144885966</x:v>
      </x:c>
      <x:c r="E49" s="97"/>
      <x:c r="F49" s="97"/>
      <x:c r="G49" s="97"/>
      <x:c r="H49" s="97"/>
      <x:c r="I49" s="143"/>
      <x:c r="J49" s="143"/>
      <x:c r="K49" s="143">
        <x:f t="shared" si="27"/>
        <x:v>5.2893504556451516</x:v>
      </x:c>
      <x:c r="L49" s="143">
        <x:f t="shared" si="27"/>
        <x:v>5.2893504556451516</x:v>
      </x:c>
      <x:c r="M49" s="143">
        <x:f t="shared" si="27"/>
        <x:v>5.2893504556451516</x:v>
      </x:c>
      <x:c r="N49" s="144">
        <x:f t="shared" si="27"/>
        <x:v>5.2893504556451516</x:v>
      </x:c>
    </x:row>
    <x:row r="50" ht="16.200000762939453" customHeight="1">
      <x:c r="B50" s="259">
        <x:f t="shared" si="26"/>
        <x:v>47118</x:v>
      </x:c>
      <x:c r="C50" s="97"/>
      <x:c r="D50" s="281" t="n">
        <x:f>$L$45</x:f>
        <x:v>55.89627391506919</x:v>
      </x:c>
      <x:c r="E50" s="97"/>
      <x:c r="F50" s="97"/>
      <x:c r="G50" s="97"/>
      <x:c r="H50" s="97"/>
      <x:c r="I50" s="143"/>
      <x:c r="J50" s="143"/>
      <x:c r="K50" s="143"/>
      <x:c r="L50" s="143">
        <x:f t="shared" si="27"/>
        <x:v>5.3270916962069936</x:v>
      </x:c>
      <x:c r="M50" s="143">
        <x:f t="shared" si="27"/>
        <x:v>5.3270916962069936</x:v>
      </x:c>
      <x:c r="N50" s="144">
        <x:f t="shared" si="27"/>
        <x:v>5.3270916962069936</x:v>
      </x:c>
    </x:row>
    <x:row r="51" ht="16.200000762939453" customHeight="1">
      <x:c r="B51" s="259">
        <x:f t="shared" si="26"/>
        <x:v>47483</x:v>
      </x:c>
      <x:c r="C51" s="97"/>
      <x:c r="D51" s="281" t="n">
        <x:f>$M$45</x:f>
        <x:v>56.40138517316096</x:v>
      </x:c>
      <x:c r="E51" s="97"/>
      <x:c r="F51" s="97"/>
      <x:c r="G51" s="97"/>
      <x:c r="H51" s="97"/>
      <x:c r="I51" s="143"/>
      <x:c r="J51" s="143"/>
      <x:c r="K51" s="143"/>
      <x:c r="L51" s="143"/>
      <x:c r="M51" s="143">
        <x:f t="shared" si="27"/>
        <x:v>5.3752303966994415</x:v>
      </x:c>
      <x:c r="N51" s="144">
        <x:f t="shared" si="27"/>
        <x:v>5.3752303966994415</x:v>
      </x:c>
    </x:row>
    <x:row r="52" ht="16.200000762939453" customHeight="1">
      <x:c r="B52" s="259">
        <x:f t="shared" si="26"/>
        <x:v>47848</x:v>
      </x:c>
      <x:c r="C52" s="97"/>
      <x:c r="D52" s="282" t="n">
        <x:f>$N$45</x:f>
        <x:v>57.14724611767952</x:v>
      </x:c>
      <x:c r="E52" s="97"/>
      <x:c r="F52" s="97"/>
      <x:c r="G52" s="97"/>
      <x:c r="H52" s="97"/>
      <x:c r="I52" s="143"/>
      <x:c r="J52" s="143"/>
      <x:c r="K52" s="143"/>
      <x:c r="L52" s="143"/>
      <x:c r="M52" s="143"/>
      <x:c r="N52" s="144">
        <x:f t="shared" si="27"/>
        <x:v>5.446313303765967</x:v>
      </x:c>
    </x:row>
    <x:row r="53" s="7" customFormat="1" ht="16.200000762939453" customHeight="1">
      <x:c r="B53" s="187" t="s">
        <x:v>157</x:v>
      </x:c>
      <x:c r="C53" s="188"/>
      <x:c r="D53" s="188"/>
      <x:c r="E53" s="188"/>
      <x:c r="F53" s="188"/>
      <x:c r="G53" s="188"/>
      <x:c r="H53" s="188"/>
      <x:c r="I53" s="283" t="n">
        <x:f>+SUM(I47:I52)</x:f>
        <x:v>5.433967476279151</x:v>
      </x:c>
      <x:c r="J53" s="283" t="n">
        <x:f t="shared" ref="J53" si="28">+SUM(J47:J52)</x:f>
        <x:v>10.791943367572097</x:v>
      </x:c>
      <x:c r="K53" s="283" t="n">
        <x:f t="shared" ref="K53" si="29">+SUM(K47:K52)</x:f>
        <x:v>16.081293823217248</x:v>
      </x:c>
      <x:c r="L53" s="283" t="n">
        <x:f t="shared" ref="L53" si="30">+SUM(L47:L52)</x:f>
        <x:v>21.408385519424243</x:v>
      </x:c>
      <x:c r="M53" s="283" t="n">
        <x:f t="shared" ref="M53" si="31">+SUM(M47:M52)</x:f>
        <x:v>26.783615916123686</x:v>
      </x:c>
      <x:c r="N53" s="284" t="n">
        <x:f t="shared" ref="N53" si="32">+SUM(N47:N52)</x:f>
        <x:v>32.229929219889655</x:v>
      </x:c>
    </x:row>
    <x:row r="54" ht="16.200000762939453" customHeight="1">
      <x:c r="B54" s="96"/>
      <x:c r="C54" s="97"/>
      <x:c r="D54" s="97"/>
      <x:c r="E54" s="97"/>
      <x:c r="F54" s="97"/>
      <x:c r="G54" s="97"/>
      <x:c r="H54" s="97"/>
      <x:c r="I54" s="196"/>
      <x:c r="J54" s="196"/>
      <x:c r="K54" s="196"/>
      <x:c r="L54" s="196"/>
      <x:c r="M54" s="196"/>
      <x:c r="N54" s="250"/>
    </x:row>
    <x:row r="55" ht="16.200000762939453" customHeight="1">
      <x:c r="B55" s="181" t="s">
        <x:v>158</x:v>
      </x:c>
      <x:c r="C55" s="97"/>
      <x:c r="D55" s="97"/>
      <x:c r="E55" s="97"/>
      <x:c r="F55" s="136"/>
      <x:c r="G55" s="136"/>
      <x:c r="H55" s="136"/>
      <x:c r="I55" s="280"/>
      <x:c r="J55" s="280"/>
      <x:c r="K55" s="280"/>
      <x:c r="L55" s="97"/>
      <x:c r="M55" s="97"/>
      <x:c r="N55" s="98"/>
    </x:row>
    <x:row r="56" ht="16.200000762939453" customHeight="1">
      <x:c r="B56" s="259" t="n">
        <x:f t="shared" ref="B56:B61" si="33">B47</x:f>
        <x:v>46022</x:v>
      </x:c>
      <x:c r="C56" s="97"/>
      <x:c r="D56" s="196"/>
      <x:c r="E56" s="97"/>
      <x:c r="F56" s="97"/>
      <x:c r="G56" s="140"/>
      <x:c r="H56" s="140"/>
      <x:c r="I56" s="143" t="n">
        <x:f>IPMT($E$34,1,$E$35,-$I$45)</x:f>
        <x:v>2.759656846202168</x:v>
      </x:c>
      <x:c r="J56" s="143" t="n">
        <x:f>IPMT($E$34,2,$E$35,-$I$45)</x:f>
        <x:v>2.630220211706442</x:v>
      </x:c>
      <x:c r="K56" s="143" t="n">
        <x:f>IPMT($E$34,3,$E$35,-$I$45)</x:f>
        <x:v>2.494518844101123</x:v>
      </x:c>
      <x:c r="L56" s="143" t="n">
        <x:f>IPMT($E$34,4,$E$35,-$I$45)</x:f>
        <x:v>2.352249530303706</x:v>
      </x:c>
      <x:c r="M56" s="143" t="n">
        <x:f>IPMT($E$34,5,$E$35,-$I$45)</x:f>
        <x:v>2.2030943817184947</x:v>
      </x:c>
      <x:c r="N56" s="144" t="n">
        <x:f>IPMT($E$34,6,$E$35,-$I$45)</x:f>
        <x:v>2.046720123941759</x:v>
      </x:c>
    </x:row>
    <x:row r="57" ht="16.200000762939453" customHeight="1">
      <x:c r="B57" s="259">
        <x:f t="shared" si="33"/>
        <x:v>46387</x:v>
      </x:c>
      <x:c r="C57" s="97"/>
      <x:c r="D57" s="196"/>
      <x:c r="E57" s="97"/>
      <x:c r="F57" s="97"/>
      <x:c r="G57" s="196"/>
      <x:c r="H57" s="196"/>
      <x:c r="I57" s="143"/>
      <x:c r="J57" s="143" t="n">
        <x:f>IPMT($E$34,1,$E$35,-$J$45)</x:f>
        <x:v>2.7210642895340644</x:v>
      </x:c>
      <x:c r="K57" s="143" t="n">
        <x:f>IPMT($E$34,2,$E$35,-$J$45)</x:f>
        <x:v>2.593437768008935</x:v>
      </x:c>
      <x:c r="L57" s="143" t="n">
        <x:f>IPMT($E$34,3,$E$35,-$J$45)</x:f>
        <x:v>2.459634122841989</x:v>
      </x:c>
      <x:c r="M57" s="143" t="n">
        <x:f>IPMT($E$34,4,$E$35,-$J$45)</x:f>
        <x:v>2.3193543812489623</x:v>
      </x:c>
      <x:c r="N57" s="144" t="n">
        <x:f>IPMT($E$34,5,$E$35,-$J$45)</x:f>
        <x:v>2.1722851001628336</x:v>
      </x:c>
    </x:row>
    <x:row r="58" ht="16.200000762939453" customHeight="1">
      <x:c r="B58" s="259">
        <x:f t="shared" si="33"/>
        <x:v>46752</x:v>
      </x:c>
      <x:c r="C58" s="97"/>
      <x:c r="D58" s="196"/>
      <x:c r="E58" s="97"/>
      <x:c r="F58" s="97"/>
      <x:c r="G58" s="97"/>
      <x:c r="H58" s="97"/>
      <x:c r="I58" s="143"/>
      <x:c r="J58" s="143"/>
      <x:c r="K58" s="143" t="n">
        <x:f>IPMT($E$34,1,$E$35,-$K$45)</x:f>
        <x:v>2.6862126541248075</x:v>
      </x:c>
      <x:c r="L58" s="143" t="n">
        <x:f>IPMT($E$34,2,$E$35,-$K$45)</x:f>
        <x:v>2.560220784531223</x:v>
      </x:c>
      <x:c r="M58" s="143" t="n">
        <x:f>IPMT($E$34,3,$E$35,-$K$45)</x:f>
        <x:v>2.4281309084493086</x:v>
      </x:c>
      <x:c r="N58" s="144" t="n">
        <x:f>IPMT($E$34,4,$E$35,-$K$45)</x:f>
        <x:v>2.28964788236503</x:v>
      </x:c>
    </x:row>
    <x:row r="59" ht="16.200000762939453" customHeight="1">
      <x:c r="B59" s="259">
        <x:f t="shared" si="33"/>
        <x:v>47118</x:v>
      </x:c>
      <x:c r="C59" s="97"/>
      <x:c r="D59" s="196"/>
      <x:c r="E59" s="97"/>
      <x:c r="F59" s="97"/>
      <x:c r="G59" s="97"/>
      <x:c r="H59" s="97"/>
      <x:c r="I59" s="143"/>
      <x:c r="J59" s="143"/>
      <x:c r="K59" s="143"/>
      <x:c r="L59" s="143" t="n">
        <x:f>IPMT($E$34,1,$E$35,-$L$45)</x:f>
        <x:v>2.7053796574893485</x:v>
      </x:c>
      <x:c r="M59" s="143" t="n">
        <x:f>IPMT($E$34,2,$E$35,-$L$45)</x:f>
        <x:v>2.5784887948154145</x:v>
      </x:c>
      <x:c r="N59" s="144" t="n">
        <x:f>IPMT($E$34,3,$E$35,-$L$45)</x:f>
        <x:v>2.445456414388062</x:v>
      </x:c>
    </x:row>
    <x:row r="60" ht="16.200000762939453" customHeight="1">
      <x:c r="B60" s="259">
        <x:f t="shared" si="33"/>
        <x:v>47483</x:v>
      </x:c>
      <x:c r="C60" s="97"/>
      <x:c r="D60" s="196"/>
      <x:c r="E60" s="97"/>
      <x:c r="F60" s="97"/>
      <x:c r="G60" s="97"/>
      <x:c r="H60" s="97"/>
      <x:c r="I60" s="143"/>
      <x:c r="J60" s="143"/>
      <x:c r="K60" s="143"/>
      <x:c r="L60" s="143"/>
      <x:c r="M60" s="143" t="n">
        <x:f>IPMT($E$34,1,$E$35,-$M$45)</x:f>
        <x:v>2.7298270423809905</x:v>
      </x:c>
      <x:c r="N60" s="144" t="n">
        <x:f>IPMT($E$34,2,$E$35,-$M$45)</x:f>
        <x:v>2.601789520031977</x:v>
      </x:c>
    </x:row>
    <x:row r="61" ht="16.200000762939453" customHeight="1">
      <x:c r="B61" s="259">
        <x:f t="shared" si="33"/>
        <x:v>47848</x:v>
      </x:c>
      <x:c r="C61" s="97"/>
      <x:c r="D61" s="196"/>
      <x:c r="E61" s="97"/>
      <x:c r="F61" s="97"/>
      <x:c r="G61" s="97"/>
      <x:c r="H61" s="97"/>
      <x:c r="I61" s="143"/>
      <x:c r="J61" s="143"/>
      <x:c r="K61" s="143"/>
      <x:c r="L61" s="143"/>
      <x:c r="M61" s="143"/>
      <x:c r="N61" s="144" t="n">
        <x:f>IPMT($E$34,1,$E$35,-$N$45)</x:f>
        <x:v>2.765926712095689</x:v>
      </x:c>
    </x:row>
    <x:row r="62" s="7" customFormat="1" ht="16.200000762939453" customHeight="1">
      <x:c r="B62" s="197" t="s">
        <x:v>159</x:v>
      </x:c>
      <x:c r="C62" s="198"/>
      <x:c r="D62" s="198"/>
      <x:c r="E62" s="198"/>
      <x:c r="F62" s="198"/>
      <x:c r="G62" s="198"/>
      <x:c r="H62" s="198"/>
      <x:c r="I62" s="285" t="n">
        <x:f>+SUM(I56:I61)</x:f>
        <x:v>2.759656846202168</x:v>
      </x:c>
      <x:c r="J62" s="285" t="n">
        <x:f t="shared" ref="J62:N62" si="34">+SUM(J56:J61)</x:f>
        <x:v>5.351284501240507</x:v>
      </x:c>
      <x:c r="K62" s="285">
        <x:f t="shared" si="34"/>
        <x:v>7.774169266234864</x:v>
      </x:c>
      <x:c r="L62" s="285">
        <x:f t="shared" si="34"/>
        <x:v>10.077484095166266</x:v>
      </x:c>
      <x:c r="M62" s="285">
        <x:f t="shared" si="34"/>
        <x:v>12.258895508613168</x:v>
      </x:c>
      <x:c r="N62" s="286">
        <x:f t="shared" si="34"/>
        <x:v>14.321825752985349</x:v>
      </x:c>
    </x:row>
  </x:sheetData>
  <x:pageMargins left="0.7" right="0.7" top="0.75" bottom="0.75" header="0.3" footer="0.3"/>
  <x:legacyDrawing xmlns:r="http://schemas.openxmlformats.org/officeDocument/2006/relationships" r:id="R01de0ad094804784"/>
</x:worksheet>
</file>

<file path=xl/worksheets/sheet3.xml><?xml version="1.0" encoding="utf-8"?>
<x:worksheet xmlns:x="http://schemas.openxmlformats.org/spreadsheetml/2006/main">
  <x:sheetFormatPr defaultRowHeight="14.399999618530273"/>
  <x:sheetData>
    <x:row r="2">
      <x:c r="A2" s="287" t="s">
        <x:v>10</x:v>
      </x:c>
      <x:c r="B2" s="288">
        <x:v>1</x:v>
      </x:c>
    </x:row>
    <x:row r="3">
      <x:c r="A3" s="96" t="s">
        <x:v>2</x:v>
      </x:c>
      <x:c r="B3" s="289">
        <x:v>2</x:v>
      </x:c>
    </x:row>
    <x:row r="4">
      <x:c r="A4" s="96" t="s">
        <x:v>11</x:v>
      </x:c>
      <x:c r="B4" s="289">
        <x:v>3</x:v>
      </x:c>
    </x:row>
    <x:row r="5">
      <x:c r="A5" s="96" t="s">
        <x:v>12</x:v>
      </x:c>
      <x:c r="B5" s="289">
        <x:v>4</x:v>
      </x:c>
    </x:row>
    <x:row r="6">
      <x:c r="A6" s="290" t="s">
        <x:v>160</x:v>
      </x:c>
      <x:c r="B6" s="291" t="n">
        <x:f>+VLOOKUP(Operating_Model!D3,$A$2:$B$5,2,FALSE)</x:f>
        <x:v>2</x:v>
      </x:c>
    </x:row>
  </x:sheetData>
  <x:pageMargins left="0.7" right="0.7" top="0.75" bottom="0.75" header="0.3" footer="0.3"/>
  <x:legacyDrawing xmlns:r="http://schemas.openxmlformats.org/officeDocument/2006/relationships" r:id="Rc2f5283820804c24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46" hidden="0" customWidth="1"/>
    <x:col min="4" max="4" width="13" hidden="0" customWidth="1"/>
    <x:col min="5" max="5" width="13" hidden="0" customWidth="1"/>
    <x:col min="6" max="6" width="13" hidden="0" customWidth="1"/>
    <x:col min="7" max="7" width="34" hidden="0" customWidth="1"/>
    <x:col min="8" max="8" width="12" hidden="0" customWidth="1"/>
    <x:col min="9" max="9" width="31" hidden="0" customWidth="1"/>
  </x:cols>
  <x:sheetData>
    <x:row r="1" ht="30" customHeight="1">
      <x:c r="A1" s="325" t="str">
        <x:v>Textron — Section Review</x:v>
      </x:c>
      <x:c r="B1" s="325"/>
      <x:c r="C1" s="325"/>
      <x:c r="D1" s="325"/>
      <x:c r="E1" s="325"/>
      <x:c r="F1" s="325"/>
      <x:c r="G1" s="325"/>
      <x:c r="H1" s="325"/>
      <x:c r="I1" s="325"/>
    </x:row>
    <x:row r="2" ht="34" customHeight="1">
      <x:c r="A2" s="326" t="str">
        <x:v>The original workbook is preserved. Navy outlines mark base sections; blue and amber bottom borders mark historical and projected value cells.</x:v>
      </x:c>
      <x:c r="B2" s="326"/>
      <x:c r="C2" s="326"/>
      <x:c r="D2" s="326"/>
      <x:c r="E2" s="326"/>
      <x:c r="F2" s="326"/>
      <x:c r="G2" s="326"/>
      <x:c r="H2" s="326"/>
      <x:c r="I2" s="326"/>
    </x:row>
    <x:row r="3">
      <x:c r="A3" s="327"/>
      <x:c r="B3" s="327"/>
      <x:c r="C3" s="327"/>
      <x:c r="D3" s="327"/>
      <x:c r="E3" s="327"/>
      <x:c r="F3" s="327"/>
      <x:c r="G3" s="327"/>
      <x:c r="H3" s="327"/>
      <x:c r="I3" s="327"/>
    </x:row>
    <x:row r="4">
      <x:c r="A4" s="328" t="str">
        <x:v>Visual key</x:v>
      </x:c>
      <x:c r="B4" s="328"/>
      <x:c r="C4" s="328"/>
      <x:c r="D4" s="328"/>
      <x:c r="E4" s="328"/>
      <x:c r="F4" s="328"/>
      <x:c r="G4" s="328"/>
      <x:c r="H4" s="328"/>
      <x:c r="I4" s="328"/>
    </x:row>
    <x:row r="5">
      <x:c r="A5" s="329" t="str">
        <x:v>Base section</x:v>
      </x:c>
      <x:c r="B5" s="330" t="str">
        <x:v>Navy outline</x:v>
      </x:c>
      <x:c r="C5" s="327"/>
      <x:c r="D5" s="331" t="str">
        <x:v>Historical</x:v>
      </x:c>
      <x:c r="E5" s="331" t="str">
        <x:v>Blue bottom border</x:v>
      </x:c>
      <x:c r="F5" s="327"/>
      <x:c r="G5" s="332" t="str">
        <x:v>Projected</x:v>
      </x:c>
      <x:c r="H5" s="332" t="str">
        <x:v>Amber bottom border</x:v>
      </x:c>
      <x:c r="I5" s="327"/>
    </x:row>
    <x:row r="6">
      <x:c r="A6" s="327"/>
      <x:c r="B6" s="327"/>
      <x:c r="C6" s="327"/>
      <x:c r="D6" s="327"/>
      <x:c r="E6" s="327"/>
      <x:c r="F6" s="327"/>
      <x:c r="G6" s="327"/>
      <x:c r="H6" s="327"/>
      <x:c r="I6" s="327"/>
    </x:row>
    <x:row r="7" ht="24" customHeight="1">
      <x:c r="A7" s="333" t="str">
        <x:v>Display ID</x:v>
      </x:c>
      <x:c r="B7" s="333" t="str">
        <x:v>Worksheet</x:v>
      </x:c>
      <x:c r="C7" s="333" t="str">
        <x:v>Section label</x:v>
      </x:c>
      <x:c r="D7" s="333" t="str">
        <x:v>Base cells</x:v>
      </x:c>
      <x:c r="E7" s="333" t="str">
        <x:v>Historical</x:v>
      </x:c>
      <x:c r="F7" s="333" t="str">
        <x:v>Projected</x:v>
      </x:c>
      <x:c r="G7" s="333" t="str">
        <x:v>Components</x:v>
      </x:c>
      <x:c r="H7" s="333" t="str">
        <x:v>Anchor</x:v>
      </x:c>
      <x:c r="I7" s="333" t="str">
        <x:v>Temporal source</x:v>
      </x:c>
    </x:row>
    <x:row r="8" ht="28" customHeight="1">
      <x:c r="A8" s="334" t="str">
        <x:v>S001</x:v>
      </x:c>
      <x:c r="B8" s="335" t="str">
        <x:v>Operating_Model</x:v>
      </x:c>
      <x:c r="C8" s="343" t="str">
        <x:v>Textron Inc.| Operating model</x:v>
      </x:c>
      <x:c r="D8" s="336" t="n">
        <x:v>1196</x:v>
      </x:c>
      <x:c r="E8" s="336" t="n">
        <x:v>99</x:v>
      </x:c>
      <x:c r="F8" s="336" t="n">
        <x:v>335</x:v>
      </x:c>
      <x:c r="G8" s="343" t="str">
        <x:v>B1:N92</x:v>
      </x:c>
      <x:c r="H8" s="343" t="str">
        <x:v>B1</x:v>
      </x:c>
      <x:c r="I8" s="343" t="str">
        <x:v>Paired historical/projected header</x:v>
      </x:c>
    </x:row>
    <x:row r="9" ht="28" customHeight="1">
      <x:c r="A9" s="337" t="str">
        <x:v>S002</x:v>
      </x:c>
      <x:c r="B9" s="338" t="str">
        <x:v>Operating_Model</x:v>
      </x:c>
      <x:c r="C9" s="344" t="str">
        <x:v>Income Statement (in $ mn)</x:v>
      </x:c>
      <x:c r="D9" s="339" t="n">
        <x:v>494</x:v>
      </x:c>
      <x:c r="E9" s="339" t="n">
        <x:v>99</x:v>
      </x:c>
      <x:c r="F9" s="339" t="n">
        <x:v>198</x:v>
      </x:c>
      <x:c r="G9" s="344" t="str">
        <x:v>B94:N131</x:v>
      </x:c>
      <x:c r="H9" s="344" t="str">
        <x:v>B94</x:v>
      </x:c>
      <x:c r="I9" s="344" t="str">
        <x:v>Shared worksheet axis</x:v>
      </x:c>
    </x:row>
    <x:row r="10" ht="28" customHeight="1">
      <x:c r="A10" s="334" t="str">
        <x:v>S003</x:v>
      </x:c>
      <x:c r="B10" s="335" t="str">
        <x:v>Operating_Model</x:v>
      </x:c>
      <x:c r="C10" s="343" t="str">
        <x:v>Balance Sheet (in $ mn)</x:v>
      </x:c>
      <x:c r="D10" s="336" t="n">
        <x:v>442</x:v>
      </x:c>
      <x:c r="E10" s="336" t="n">
        <x:v>87</x:v>
      </x:c>
      <x:c r="F10" s="336" t="n">
        <x:v>174</x:v>
      </x:c>
      <x:c r="G10" s="343" t="str">
        <x:v>B133:N166</x:v>
      </x:c>
      <x:c r="H10" s="343" t="str">
        <x:v>B133</x:v>
      </x:c>
      <x:c r="I10" s="343" t="str">
        <x:v>Shared worksheet axis</x:v>
      </x:c>
    </x:row>
    <x:row r="11" ht="28" customHeight="1">
      <x:c r="A11" s="337" t="str">
        <x:v>S004</x:v>
      </x:c>
      <x:c r="B11" s="338" t="str">
        <x:v>Operating_Model</x:v>
      </x:c>
      <x:c r="C11" s="344" t="str">
        <x:v>Cash flow statement (in $ mn)</x:v>
      </x:c>
      <x:c r="D11" s="339" t="n">
        <x:v>351</x:v>
      </x:c>
      <x:c r="E11" s="339" t="n">
        <x:v>60</x:v>
      </x:c>
      <x:c r="F11" s="339" t="n">
        <x:v>120</x:v>
      </x:c>
      <x:c r="G11" s="344" t="str">
        <x:v>B168:N194</x:v>
      </x:c>
      <x:c r="H11" s="344" t="str">
        <x:v>B168</x:v>
      </x:c>
      <x:c r="I11" s="344" t="str">
        <x:v>Shared worksheet axis</x:v>
      </x:c>
    </x:row>
    <x:row r="12" ht="28" customHeight="1">
      <x:c r="A12" s="334" t="str">
        <x:v>S005</x:v>
      </x:c>
      <x:c r="B12" s="335" t="str">
        <x:v>Schedules</x:v>
      </x:c>
      <x:c r="C12" s="343" t="str">
        <x:v>PPE schedule (in $ mn)</x:v>
      </x:c>
      <x:c r="D12" s="336" t="n">
        <x:v>330</x:v>
      </x:c>
      <x:c r="E12" s="336" t="n">
        <x:v>5</x:v>
      </x:c>
      <x:c r="F12" s="336" t="n">
        <x:v>81</x:v>
      </x:c>
      <x:c r="G12" s="343" t="str">
        <x:v>F3:N4, B6:N29</x:v>
      </x:c>
      <x:c r="H12" s="343" t="str">
        <x:v>F3</x:v>
      </x:c>
      <x:c r="I12" s="343" t="str">
        <x:v>Paired historical/projected header</x:v>
      </x:c>
    </x:row>
    <x:row r="13" ht="28" customHeight="1">
      <x:c r="A13" s="337" t="str">
        <x:v>S006</x:v>
      </x:c>
      <x:c r="B13" s="338" t="str">
        <x:v>Schedules</x:v>
      </x:c>
      <x:c r="C13" s="344" t="str">
        <x:v>Operating lease schedule (in $ mn)</x:v>
      </x:c>
      <x:c r="D13" s="339" t="n">
        <x:v>416</x:v>
      </x:c>
      <x:c r="E13" s="339" t="n">
        <x:v>0</x:v>
      </x:c>
      <x:c r="F13" s="339" t="n">
        <x:v>0</x:v>
      </x:c>
      <x:c r="G13" s="344" t="str">
        <x:v>B31:N62</x:v>
      </x:c>
      <x:c r="H13" s="344" t="str">
        <x:v>B31</x:v>
      </x:c>
      <x:c r="I13" s="344" t="str">
        <x:v>None</x:v>
      </x:c>
    </x:row>
    <x:row r="14" ht="28" customHeight="1">
      <x:c r="A14" s="340" t="str">
        <x:v>S007</x:v>
      </x:c>
      <x:c r="B14" s="341" t="str">
        <x:v>Dropdowns</x:v>
      </x:c>
      <x:c r="C14" s="345" t="str">
        <x:v>Growth</x:v>
      </x:c>
      <x:c r="D14" s="342" t="n">
        <x:v>10</x:v>
      </x:c>
      <x:c r="E14" s="342" t="n">
        <x:v>0</x:v>
      </x:c>
      <x:c r="F14" s="342" t="n">
        <x:v>0</x:v>
      </x:c>
      <x:c r="G14" s="345" t="str">
        <x:v>A2:B6</x:v>
      </x:c>
      <x:c r="H14" s="345" t="str">
        <x:v>A2</x:v>
      </x:c>
      <x:c r="I14" s="345" t="str">
        <x:v>None</x:v>
      </x:c>
    </x:row>
  </x:sheetData>
  <x:mergeCells>
    <x:mergeCell ref="A1:I1"/>
    <x:mergeCell ref="A2:I2"/>
    <x:mergeCell ref="A4:I4"/>
  </x:mergeCells>
  <x:pageMargins left="0.7" right="0.7" top="0.75" bottom="0.75" header="0.3" footer="0.3"/>
</x:worksheet>
</file>