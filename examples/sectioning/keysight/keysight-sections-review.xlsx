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ce09826c4d4e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enue Build &amp; Growth Drivers" sheetId="4" r:id="Rd1052874499e4fd8"/>
    <x:sheet xmlns:r="http://schemas.openxmlformats.org/officeDocument/2006/relationships" name="Financial Statement Model" sheetId="3" r:id="R02e2ef00ab604f62"/>
    <x:sheet xmlns:r="http://schemas.openxmlformats.org/officeDocument/2006/relationships" name="Integrated DCF Model" sheetId="8" r:id="Rdcf869ece9fe4197"/>
    <x:sheet xmlns:r="http://schemas.openxmlformats.org/officeDocument/2006/relationships" name="WACC Build" sheetId="6" r:id="R436cc7dfb8fd4b63"/>
    <x:sheet xmlns:r="http://schemas.openxmlformats.org/officeDocument/2006/relationships" name="Section Index" sheetId="9" r:id="Rbb74e56473094869"/>
  </x:sheets>
  <x:definedNames>
    <x:definedName name="Discount_Rate">#REF!</x:definedName>
    <x:definedName name="IQ_CH">110000</x:definedName>
    <x:definedName name="IQ_CQ">5000</x:definedName>
    <x:definedName name="IQ_CY">10000</x:definedName>
    <x:definedName name="IQ_DAILY">500000</x:definedName>
    <x:definedName name="IQ_FH">100000</x:definedName>
    <x:definedName name="IQ_FQ">500</x:definedName>
    <x:definedName name="IQ_FWD_CY">10001</x:definedName>
    <x:definedName name="IQ_FWD_CY1">10002</x:definedName>
    <x:definedName name="IQ_FWD_CY2">10003</x:definedName>
    <x:definedName name="IQ_FWD_FY">1001</x:definedName>
    <x:definedName name="IQ_FWD_FY1">1002</x:definedName>
    <x:definedName name="IQ_FWD_FY2">1003</x:definedName>
    <x:definedName name="IQ_FWD_Q">501</x:definedName>
    <x:definedName name="IQ_FWD_Q1">502</x:definedName>
    <x:definedName name="IQ_FWD_Q2">503</x:definedName>
    <x:definedName name="IQ_FY">1000</x:definedName>
    <x:definedName name="IQ_LATESTK">1000</x:definedName>
    <x:definedName name="IQ_LATESTQ">500</x:definedName>
    <x:definedName name="IQ_LTM">2000</x:definedName>
    <x:definedName name="IQ_LTMMONTH">120000</x:definedName>
    <x:definedName name="IQ_MONTH">15000</x:definedName>
    <x:definedName name="IQ_NTM">6000</x:definedName>
    <x:definedName name="IQ_TODAY">0</x:definedName>
    <x:definedName name="IQ_WEEK">50000</x:definedName>
    <x:definedName name="IQ_YTD">3000</x:definedName>
    <x:definedName name="IQ_YTDMONTH">130000</x:definedName>
    <x:definedName name="Tax">[1]DCF!$D$44</x:definedName>
    <x:definedName name="Discount_Rate" localSheetId="2">'Integrated DCF Model'!$E$10</x:definedName>
  </x:definedNames>
</x:workbook>
</file>

<file path=xl/comments1.xml><?xml version="1.0" encoding="utf-8"?>
<x:comments xmlns:x="http://schemas.openxmlformats.org/spreadsheetml/2006/main">
  <x:authors>
    <x:author>tc={20A58482-26ED-54D1-CD1C-ACF6B0A12FF2}</x:author>
    <x:author>tc={CACAB3E7-0CDB-38A5-0519-DBF02308C055}</x:author>
    <x:author>tc={5919CDC8-7521-008E-D8D6-9038B94066B8}</x:author>
  </x:authors>
  <x:commentList>
    <x:comment ref="C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S001: Revenue Build &amp; Growth Drivers For Keysight Technologies, Inc.
Machine ID: keysight:revenue-build-growth-drivers:section:1
Component: C2:K15
Base cells: 126
Historical cells: 8
Projected cells: 15</x:t>
        </x:r>
      </x:text>
    </x:comment>
    <x:comment ref="C1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S002: Segmental Revenue Schedule
Machine ID: keysight:revenue-build-growth-drivers:section:2
Component: C17:K31
Base cells: 135
Historical cells: 25
Projected cells: 45</x:t>
        </x:r>
      </x:text>
    </x:comment>
    <x:comment ref="C3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S003: Growth Driver Assumptions
Machine ID: keysight:revenue-build-growth-drivers:section:3
Component: C33:K49
Base cells: 153
Historical cells: 26
Projected cells: 50</x:t>
        </x:r>
      </x:text>
    </x:comment>
  </x:commentList>
</x:comments>
</file>

<file path=xl/comments2.xml><?xml version="1.0" encoding="utf-8"?>
<x:comments xmlns:x="http://schemas.openxmlformats.org/spreadsheetml/2006/main">
  <x:authors>
    <x:author>tc={35F0B9F4-3CEA-C769-8385-84180357A34D}</x:author>
    <x:author>tc={0C5C6BAC-B371-C73E-8B5E-267D2638B60A}</x:author>
    <x:author>tc={5F54D7C2-272C-8AAA-A404-0D0BC473E679}</x:author>
    <x:author>tc={3AC593A1-8476-6567-20C5-FBC474A9E71E}</x:author>
    <x:author>tc={104F7CB9-E09F-10DA-47C1-64F6646648B7}</x:author>
    <x:author>tc={2284787D-FB9C-1920-E13B-D07899849E71}</x:author>
    <x:author>tc={A9ABDAD3-25EB-5AA0-2480-B0FDBD162A9B}</x:author>
    <x:author>tc={CF07F1CC-5B44-8591-98AE-0B585D624A9E}</x:author>
    <x:author>tc={4749475A-49CC-95B7-A836-F489F3D96E6B}</x:author>
    <x:author>tc={1531A192-6A23-8623-82C6-BF3D68FF4E24}</x:author>
    <x:author>tc={18385EA9-B726-7429-AD26-F38B21519199}</x:author>
  </x:authors>
  <x:commentList>
    <x:comment ref="C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S004: Financial Statement Model For Keysight Technologies, Inc.
Machine ID: keysight:financial-statement-model:section:1
Component: C2:M9
Base cells: 88
Historical cells: 0
Projected cells: 0</x:t>
        </x:r>
      </x:text>
    </x:comment>
    <x:comment ref="C1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S005: Income Statement
Machine ID: keysight:financial-statement-model:section:2
Component: C11:M41
Base cells: 341
Historical cells: 73
Projected cells: 131</x:t>
        </x:r>
      </x:text>
    </x:comment>
    <x:comment ref="C4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S006: Balance Sheet
Machine ID: keysight:financial-statement-model:section:3
Component: C43:M75
Base cells: 363
Historical cells: 78
Projected cells: 131</x:t>
        </x:r>
      </x:text>
    </x:comment>
    <x:comment ref="C77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S007: Cash Flow Statement
Machine ID: keysight:financial-statement-model:section:4
Component: C77:K103
Base cells: 243
Historical cells: 63
Projected cells: 105</x:t>
        </x:r>
      </x:text>
    </x:comment>
    <x:comment ref="C107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S008: Current Assets Schedule
Machine ID: keysight:financial-statement-model:section:5
Component: C107:K132
Base cells: 234
Historical cells: 37
Projected cells: 70</x:t>
        </x:r>
      </x:text>
    </x:comment>
    <x:comment ref="C134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S009: Intangibles Schedule
Machine ID: keysight:financial-statement-model:section:6
Component: C134:K147
Base cells: 126
Historical cells: 27
Projected cells: 45</x:t>
        </x:r>
      </x:text>
    </x:comment>
    <x:comment ref="C149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S010: PP&amp;E Schedule
Machine ID: keysight:financial-statement-model:section:7
Component: C149:M158
Base cells: 110
Historical cells: 14
Projected cells: 31</x:t>
        </x:r>
      </x:text>
    </x:comment>
    <x:comment ref="C160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S011: Retained Earnings Schedule
Machine ID: keysight:financial-statement-model:section:8
Component: C160:K169
Base cells: 90
Historical cells: 21
Projected cells: 35</x:t>
        </x:r>
      </x:text>
    </x:comment>
    <x:comment ref="C17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S012: Non-controlling Interest Schedule
Machine ID: keysight:financial-statement-model:section:9
Component: C171:K179
Base cells: 81
Historical cells: 18
Projected cells: 30</x:t>
        </x:r>
      </x:text>
    </x:comment>
    <x:comment ref="C18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S013: Debt &amp; Interest Schedule (ex. Operating leases)
Machine ID: keysight:financial-statement-model:section:10
Component: C181:K209
Base cells: 261
Historical cells: 29
Projected cells: 85</x:t>
        </x:r>
      </x:text>
    </x:comment>
    <x:comment ref="C21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S014: Operating Lease Schedule
Machine ID: keysight:financial-statement-model:section:11
Component: C211:K237
Base cells: 243
Historical cells: 33
Projected cells: 95</x:t>
        </x:r>
      </x:text>
    </x:comment>
  </x:commentList>
</x:comments>
</file>

<file path=xl/comments3.xml><?xml version="1.0" encoding="utf-8"?>
<x:comments xmlns:x="http://schemas.openxmlformats.org/spreadsheetml/2006/main">
  <x:authors>
    <x:author>tc={06246CC0-D955-54EA-A3B9-8DFFDD427E98}</x:author>
    <x:author>tc={A48B772D-8746-381F-9B00-2BF4C5D76523}</x:author>
    <x:author>tc={12E70437-A58C-3045-52EE-091B1B45DFEC}</x:author>
    <x:author>tc={B863A337-B7EF-1E24-D1C7-7952046DE435}</x:author>
    <x:author>tc={B57CB396-8C60-3626-7B90-AC843D2F41AF}</x:author>
    <x:author>tc={7B0F5080-2D16-747C-2640-4FE9F1882F43}</x:author>
    <x:author>tc={E1DF630E-D0F1-EC9F-D5B6-43F911CDA4AF}</x:author>
  </x:authors>
  <x:commentList>
    <x:comment ref="C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S015: Discounted Cash Flow Model For Keysight Technologies, Inc.
Machine ID: keysight:integrated-dcf-model:section:1
Component: C2:N9
Base cells: 96
Historical cells: 0
Projected cells: 0</x:t>
        </x:r>
      </x:text>
    </x:comment>
    <x:comment ref="C1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S016: Unlevered Free Cash Flow
Machine ID: keysight:integrated-dcf-model:section:2
Component: C11:N36
Base cells: 312
Historical cells: 45
Projected cells: 87</x:t>
        </x:r>
      </x:text>
    </x:comment>
    <x:comment ref="C3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S017: Net Working Capital Schedule
Machine ID: keysight:integrated-dcf-model:section:3
Component: C38:L52
Base cells: 150
Historical cells: 29
Projected cells: 50</x:t>
        </x:r>
      </x:text>
    </x:comment>
    <x:comment ref="C54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S018: Present Value of UFCFs as of Apr 12, 2024
Machine ID: keysight:integrated-dcf-model:section:4
Component: C54:L61
Base cells: 80
Historical cells: 0
Projected cells: 0</x:t>
        </x:r>
      </x:text>
    </x:comment>
    <x:comment ref="C6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S019: Basic to Fully Diluted Shares Bridge (in 000s)
Machine ID: keysight:integrated-dcf-model:section:5
Component: C63:D71
Base cells: 18
Historical cells: 0
Projected cells: 0</x:t>
        </x:r>
      </x:text>
    </x:comment>
    <x:comment ref="C73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S020: Terminal Value and Equity Value Bridge
Machine ID: keysight:integrated-dcf-model:section:6
Component: C73:L101
Base cells: 290
Historical cells: 0
Projected cells: 0</x:t>
        </x:r>
      </x:text>
    </x:comment>
    <x:comment ref="C103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S021: Data Tables and Football Field
Machine ID: keysight:integrated-dcf-model:section:7
Component: C103:L124
Base cells: 220
Historical cells: 0
Projected cells: 0</x:t>
        </x:r>
      </x:text>
    </x:comment>
  </x:commentList>
</x:comments>
</file>

<file path=xl/comments4.xml><?xml version="1.0" encoding="utf-8"?>
<x:comments xmlns:x="http://schemas.openxmlformats.org/spreadsheetml/2006/main">
  <x:authors>
    <x:author>tc={A2DFBD0A-0EC3-768B-7504-C1A2629D93EA}</x:author>
    <x:author>tc={B4428851-348A-C0F5-58AD-1A8A52FA5D1D}</x:author>
    <x:author>tc={E9A978B8-D383-58E6-1E65-CD0EC251868B}</x:author>
    <x:author>tc={320FBF8B-07E3-5E34-F71D-0F08D4374723}</x:author>
    <x:author>tc={0064B0BC-0463-25C8-9FFD-85A4997527C0}</x:author>
  </x:authors>
  <x:commentList>
    <x:comment ref="C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S022: WACC Build For Keysight Technologies, Inc.
Machine ID: keysight:wacc-build:section:1
Component: C2:L9
Base cells: 80
Historical cells: 0
Projected cells: 0</x:t>
        </x:r>
      </x:text>
    </x:comment>
    <x:comment ref="C1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S023: Cost of Debt Calculation
Machine ID: keysight:wacc-build:section:2
Component: C11:D26
Base cells: 32
Historical cells: 0
Projected cells: 0</x:t>
        </x:r>
      </x:text>
    </x:comment>
    <x:comment ref="F1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S024: Beta (β) Calculator
Machine ID: keysight:wacc-build:section:3
Component: F11:L52
Base cells: 294
Historical cells: 0
Projected cells: 0</x:t>
        </x:r>
      </x:text>
    </x:comment>
    <x:comment ref="C2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S025: Cost of Equity Calculation
Machine ID: keysight:wacc-build:section:4
Component: C28:D35
Base cells: 16
Historical cells: 0
Projected cells: 0</x:t>
        </x:r>
      </x:text>
    </x:comment>
    <x:comment ref="C37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S026: Capital Structure and WACC
Machine ID: keysight:wacc-build:section:5
Component: C37:D45
Base cells: 18
Historical cells: 0
Projected cells: 0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<x:sst xmlns:x="http://schemas.openxmlformats.org/spreadsheetml/2006/main">
  <x:si>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$ in thousands except per unit</x:t>
  </x:si>
  <x:si>
    <x:t xml:space="preserve">Company Name</x:t>
  </x:si>
  <x:si>
    <x:t xml:space="preserve">Keysight Technologies, Inc.</x:t>
  </x:si>
  <x:si>
    <x:t xml:space="preserve">Ticker</x:t>
  </x:si>
  <x:si>
    <x:t xml:space="preserve">KEYS</x:t>
  </x:si>
  <x:si>
    <x:t xml:space="preserve">Valuation Date</x:t>
  </x:si>
  <x:si>
    <x:t xml:space="preserve">Latest Adj. Closing Share Price Date</x:t>
  </x:si>
  <x:si>
    <x:t xml:space="preserve">Latest Adj. Closing Share Price</x:t>
  </x:si>
  <x:si>
    <x:t xml:space="preserve">Revenue Projection</x:t>
  </x:si>
  <x:si>
    <x:t xml:space="preserve">Historical</x:t>
  </x:si>
  <x:si>
    <x:t xml:space="preserve">Projected</x:t>
  </x:si>
  <x:si>
    <x:t xml:space="preserve">Total Revenues</x:t>
  </x:si>
  <x:si>
    <x:t xml:space="preserve">% growth</x:t>
  </x:si>
  <x:si>
    <x:t xml:space="preserve">Segmental Revenue Schedule</x:t>
  </x:si>
  <x:si>
    <x:t xml:space="preserve">Communications Solutions Group (CSG)</x:t>
  </x:si>
  <x:si>
    <x:t xml:space="preserve">Aerospace, Defense &amp; Government</x:t>
  </x:si>
  <x:si>
    <x:t xml:space="preserve">Commercial Communications</x:t>
  </x:si>
  <x:si>
    <x:t xml:space="preserve">Total CSG Revenue</x:t>
  </x:si>
  <x:si>
    <x:t xml:space="preserve">% of CSG Revenue</x:t>
  </x:si>
  <x:si>
    <x:t xml:space="preserve">Electronic Industrial Solutions Group (EISG)</x:t>
  </x:si>
  <x:si>
    <x:t xml:space="preserve">Growth Driver Assumptions</x:t>
  </x:si>
  <x:si>
    <x:t xml:space="preserve">Segment Revenue Growth Drivers</x:t>
  </x:si>
  <x:si>
    <x:t xml:space="preserve">Revenue Growth Rate by Segment</x:t>
  </x:si>
  <x:si>
    <x:t xml:space="preserve"> </x:t>
  </x:si>
  <x:si>
    <x:t xml:space="preserve">General Growth Drivers</x:t>
  </x:si>
  <x:si>
    <x:t xml:space="preserve">Operating Expenses</x:t>
  </x:si>
  <x:si>
    <x:t xml:space="preserve">Gross Profit Margin</x:t>
  </x:si>
  <x:si>
    <x:t xml:space="preserve">SG&amp;A % Revenue</x:t>
  </x:si>
  <x:si>
    <x:t xml:space="preserve">Other Operating Expense % of Revenue</x:t>
  </x:si>
  <x:si>
    <x:t xml:space="preserve">Days Sales Outstanding</x:t>
  </x:si>
  <x:si>
    <x:t xml:space="preserve">Inventory Turnover</x:t>
  </x:si>
  <x:si>
    <x:t xml:space="preserve">$ in thousands except per share</x:t>
  </x:si>
  <x:si>
    <x:t xml:space="preserve">Circ toggle (1=on, 0=off)</x:t>
  </x:si>
  <x:si>
    <x:t xml:space="preserve">                                                                                      </x:t>
  </x:si>
  <x:si>
    <x:t xml:space="preserve">Income Statement</x:t>
  </x:si>
  <x:si>
    <x:t xml:space="preserve">5 Year</x:t>
  </x:si>
  <x:si>
    <x:t xml:space="preserve">CAGR</x:t>
  </x:si>
  <x:si>
    <x:t xml:space="preserve">Less: Cost of Sales</x:t>
  </x:si>
  <x:si>
    <x:t xml:space="preserve">Gross Profit</x:t>
  </x:si>
  <x:si>
    <x:t xml:space="preserve">SG&amp;A Expense</x:t>
  </x:si>
  <x:si>
    <x:t xml:space="preserve">Other Operating Expense</x:t>
  </x:si>
  <x:si>
    <x:t xml:space="preserve">Operating Profit (EBIT)</x:t>
  </x:si>
  <x:si>
    <x:t xml:space="preserve">Nonoperating Income</x:t>
  </x:si>
  <x:si>
    <x:t xml:space="preserve">Interest Expense</x:t>
  </x:si>
  <x:si>
    <x:t xml:space="preserve">Unusual Expenses</x:t>
  </x:si>
  <x:si>
    <x:t xml:space="preserve">Pre-tax Profit</x:t>
  </x:si>
  <x:si>
    <x:t xml:space="preserve">Income Taxes</x:t>
  </x:si>
  <x:si>
    <x:t xml:space="preserve">Minority interest</x:t>
  </x:si>
  <x:si>
    <x:t xml:space="preserve">Net Income</x:t>
  </x:si>
  <x:si>
    <x:t xml:space="preserve">Depreciation and Amortization</x:t>
  </x:si>
  <x:si>
    <x:t xml:space="preserve">EBITDA</x:t>
  </x:si>
  <x:si>
    <x:t xml:space="preserve">Stock Compensation and Exercise of Options</x:t>
  </x:si>
  <x:si>
    <x:t xml:space="preserve">Growth Rates and Margins</x:t>
  </x:si>
  <x:si>
    <x:t xml:space="preserve">Revenue Growth</x:t>
  </x:si>
  <x:si>
    <x:t xml:space="preserve">SG&amp;A % of Revenue</x:t>
  </x:si>
  <x:si>
    <x:t xml:space="preserve">EBIT Margin</x:t>
  </x:si>
  <x:si>
    <x:t xml:space="preserve">EBITDA Margin</x:t>
  </x:si>
  <x:si>
    <x:t xml:space="preserve">Profit Margin</x:t>
  </x:si>
  <x:si>
    <x:t xml:space="preserve">Effective Tax Rate</x:t>
  </x:si>
  <x:si>
    <x:t xml:space="preserve">Balance Sheet</x:t>
  </x:si>
  <x:si>
    <x:t xml:space="preserve">Cash &amp; Short-Term Investments</x:t>
  </x:si>
  <x:si>
    <x:t xml:space="preserve">Short-Term Receivables</x:t>
  </x:si>
  <x:si>
    <x:t xml:space="preserve">Inventories</x:t>
  </x:si>
  <x:si>
    <x:t xml:space="preserve">Other Current Assets</x:t>
  </x:si>
  <x:si>
    <x:t xml:space="preserve">Total Current Assets</x:t>
  </x:si>
  <x:si>
    <x:t xml:space="preserve">Net Property, Plant &amp; Equipment</x:t>
  </x:si>
  <x:si>
    <x:t xml:space="preserve">Total Long-Term Investments</x:t>
  </x:si>
  <x:si>
    <x:t xml:space="preserve">Intangible Assets</x:t>
  </x:si>
  <x:si>
    <x:t xml:space="preserve">Deferred Tax Assets</x:t>
  </x:si>
  <x:si>
    <x:t xml:space="preserve">Other Assets</x:t>
  </x:si>
  <x:si>
    <x:t xml:space="preserve">Total Assets</x:t>
  </x:si>
  <x:si>
    <x:t xml:space="preserve">ST Debt &amp; Curr. Portion LT Debt</x:t>
  </x:si>
  <x:si>
    <x:t xml:space="preserve">Accounts Payable</x:t>
  </x:si>
  <x:si>
    <x:t xml:space="preserve">Income Tax Payable</x:t>
  </x:si>
  <x:si>
    <x:t xml:space="preserve">Other Current Liabilities</x:t>
  </x:si>
  <x:si>
    <x:t xml:space="preserve">Total Current Liabilities</x:t>
  </x:si>
  <x:si>
    <x:t xml:space="preserve">Long-Term Debt</x:t>
  </x:si>
  <x:si>
    <x:t xml:space="preserve">Provision for Risks &amp; Charges</x:t>
  </x:si>
  <x:si>
    <x:t xml:space="preserve">Deferred Tax Liabilities</x:t>
  </x:si>
  <x:si>
    <x:t xml:space="preserve">Other Liabilities</x:t>
  </x:si>
  <x:si>
    <x:t xml:space="preserve">Total Liabilities</x:t>
  </x:si>
  <x:si>
    <x:t xml:space="preserve">Total Shareholder's Equity</x:t>
  </x:si>
  <x:si>
    <x:t xml:space="preserve">Total Equity</x:t>
  </x:si>
  <x:si>
    <x:t xml:space="preserve">Total Liabilities and Equity</x:t>
  </x:si>
  <x:si>
    <x:t xml:space="preserve">Balance Check</x:t>
  </x:si>
  <x:si>
    <x:t xml:space="preserve">Cash Flow Statement</x:t>
  </x:si>
  <x:si>
    <x:t xml:space="preserve">Depreciation, Depletion &amp; Amortization</x:t>
  </x:si>
  <x:si>
    <x:t xml:space="preserve">Deferred Taxes &amp; Investment Tax Credit</x:t>
  </x:si>
  <x:si>
    <x:t xml:space="preserve">Other Funds</x:t>
  </x:si>
  <x:si>
    <x:t xml:space="preserve">Funds from Operations</x:t>
  </x:si>
  <x:si>
    <x:t xml:space="preserve">Changes in Working Capital</x:t>
  </x:si>
  <x:si>
    <x:t xml:space="preserve">Cash Flow From Operating Activities</x:t>
  </x:si>
  <x:si>
    <x:t xml:space="preserve">Capital Expenditures</x:t>
  </x:si>
  <x:si>
    <x:t xml:space="preserve">Net Assets from Acquisitions</x:t>
  </x:si>
  <x:si>
    <x:t xml:space="preserve">Sale of Fixed Assets &amp; Businesses</x:t>
  </x:si>
  <x:si>
    <x:t xml:space="preserve">Purchase/Sale of Investments</x:t>
  </x:si>
  <x:si>
    <x:t xml:space="preserve">Cash Flow From Investing Activities</x:t>
  </x:si>
  <x:si>
    <x:t xml:space="preserve">Change in Capital Stock</x:t>
  </x:si>
  <x:si>
    <x:t xml:space="preserve">Issuance/Reduction of Debt, Net</x:t>
  </x:si>
  <x:si>
    <x:t xml:space="preserve">Dividends</x:t>
  </x:si>
  <x:si>
    <x:t xml:space="preserve">Cash Flow From Financing Activities</x:t>
  </x:si>
  <x:si>
    <x:t xml:space="preserve">Effect of Exchange Rate on Cash and Equivalents</x:t>
  </x:si>
  <x:si>
    <x:t xml:space="preserve">Net Change in Cash During Period</x:t>
  </x:si>
  <x:si>
    <x:t xml:space="preserve">Line Item Schedules</x:t>
  </x:si>
  <x:si>
    <x:t xml:space="preserve">Current Assets Schedule</x:t>
  </x:si>
  <x:si>
    <x:t xml:space="preserve">Accounts Receivable</x:t>
  </x:si>
  <x:si>
    <x:t xml:space="preserve">Beginning of Period</x:t>
  </x:si>
  <x:si>
    <x:t xml:space="preserve">Increase (Decrease)</x:t>
  </x:si>
  <x:si>
    <x:t xml:space="preserve">End of Period</x:t>
  </x:si>
  <x:si>
    <x:t xml:space="preserve">A/R Forecasting Approach (1=Rev Growth, 2=DSO)</x:t>
  </x:si>
  <x:si>
    <x:t xml:space="preserve">Revenue Growth Rate (Approach 1)</x:t>
  </x:si>
  <x:si>
    <x:t xml:space="preserve">Days Sales Outstanding (Approach 2)</x:t>
  </x:si>
  <x:si>
    <x:t xml:space="preserve">Revenue</x:t>
  </x:si>
  <x:si>
    <x:t xml:space="preserve">Inventory Forecasting Approach (1=Cost of Sales Growth, 2=Turnover)</x:t>
  </x:si>
  <x:si>
    <x:t xml:space="preserve">Cost of Sales Growth Rate (Approach 1)</x:t>
  </x:si>
  <x:si>
    <x:t xml:space="preserve">Inventory Turnover (Approach 2)</x:t>
  </x:si>
  <x:si>
    <x:t xml:space="preserve">Cost of Sales</x:t>
  </x:si>
  <x:si>
    <x:t xml:space="preserve">Current Assets (Ex. Cash and Other current assets)</x:t>
  </x:si>
  <x:si>
    <x:t xml:space="preserve">Intangibles Schedule</x:t>
  </x:si>
  <x:si>
    <x:t xml:space="preserve">Goodwill</x:t>
  </x:si>
  <x:si>
    <x:t xml:space="preserve">Plus: Acquisitions, sale and related adjustments</x:t>
  </x:si>
  <x:si>
    <x:t xml:space="preserve">Less: Effect of foreign currency translation</x:t>
  </x:si>
  <x:si>
    <x:t xml:space="preserve">Intangibles</x:t>
  </x:si>
  <x:si>
    <x:t xml:space="preserve">Plus: Additional changes to Intangibles</x:t>
  </x:si>
  <x:si>
    <x:t xml:space="preserve">Less: Amortization</x:t>
  </x:si>
  <x:si>
    <x:t xml:space="preserve">PP&amp;E Schedule</x:t>
  </x:si>
  <x:si>
    <x:t xml:space="preserve">Property, Plant and Equipment</x:t>
  </x:si>
  <x:si>
    <x:t xml:space="preserve">Plus: Capital Expenditures</x:t>
  </x:si>
  <x:si>
    <x:t xml:space="preserve">Less: Depreciation</x:t>
  </x:si>
  <x:si>
    <x:t xml:space="preserve">D&amp;A Related to PP&amp;E as % of CapEx</x:t>
  </x:si>
  <x:si>
    <x:t xml:space="preserve">Retained Earnings Schedule</x:t>
  </x:si>
  <x:si>
    <x:t xml:space="preserve">Plus: Net Income</x:t>
  </x:si>
  <x:si>
    <x:t xml:space="preserve">Less: Dividends Paid and Declared</x:t>
  </x:si>
  <x:si>
    <x:t xml:space="preserve">Less: Other Adjustments</x:t>
  </x:si>
  <x:si>
    <x:t xml:space="preserve">Dividend Payout Ratio</x:t>
  </x:si>
  <x:si>
    <x:t xml:space="preserve">Non-controlling Interest Schedule</x:t>
  </x:si>
  <x:si>
    <x:t xml:space="preserve">Plus: Net Income attributable to NCI</x:t>
  </x:si>
  <x:si>
    <x:t xml:space="preserve">Net income attributable to NCI as % of total Net Income</x:t>
  </x:si>
  <x:si>
    <x:t xml:space="preserve">Debt &amp; Interest Schedule (ex. Operating leases)</x:t>
  </x:si>
  <x:si>
    <x:t xml:space="preserve">Needs Analysis</x:t>
  </x:si>
  <x:si>
    <x:t xml:space="preserve">Pre-revolver Cash Balance</x:t>
  </x:si>
  <x:si>
    <x:t xml:space="preserve">Target Minimum Cash</x:t>
  </x:si>
  <x:si>
    <x:t xml:space="preserve">Target Minimum Cash as a % of Revenue</x:t>
  </x:si>
  <x:si>
    <x:t xml:space="preserve">Short-term Bank Credit/Revolver</x:t>
  </x:si>
  <x:si>
    <x:t xml:space="preserve">Beginning of Period (BOP)</x:t>
  </x:si>
  <x:si>
    <x:t xml:space="preserve">Draw (Paydown)</x:t>
  </x:si>
  <x:si>
    <x:t xml:space="preserve">Weighted Average Interest Rate</x:t>
  </x:si>
  <x:si>
    <x:t xml:space="preserve">Long-term Debt</x:t>
  </x:si>
  <x:si>
    <x:t xml:space="preserve">End of Period Balance (from B/S):</x:t>
  </x:si>
  <x:si>
    <x:t xml:space="preserve">Current portion</x:t>
  </x:si>
  <x:si>
    <x:t xml:space="preserve">Non-current portion</x:t>
  </x:si>
  <x:si>
    <x:t xml:space="preserve">Total Interest Expense</x:t>
  </x:si>
  <x:si>
    <x:t xml:space="preserve">Cash and Equivalents</x:t>
  </x:si>
  <x:si>
    <x:t xml:space="preserve">End of Period Balance (from B/S)</x:t>
  </x:si>
  <x:si>
    <x:t xml:space="preserve">Interest Income</x:t>
  </x:si>
  <x:si>
    <x:t xml:space="preserve">Operating Lease Schedule</x:t>
  </x:si>
  <x:si>
    <x:t xml:space="preserve">Total lease cost</x:t>
  </x:si>
  <x:si>
    <x:t xml:space="preserve">Lease cost as % of revenue</x:t>
  </x:si>
  <x:si>
    <x:t xml:space="preserve">Cash payment for operating leases</x:t>
  </x:si>
  <x:si>
    <x:t xml:space="preserve">Cash payment as % of total lease cost</x:t>
  </x:si>
  <x:si>
    <x:t xml:space="preserve">Operating lease discount rate</x:t>
  </x:si>
  <x:si>
    <x:t xml:space="preserve">Operating lease liabilities BOP</x:t>
  </x:si>
  <x:si>
    <x:t xml:space="preserve">  Plus: New lease additions</x:t>
  </x:si>
  <x:si>
    <x:t xml:space="preserve">  Plus: Interest accretion</x:t>
  </x:si>
  <x:si>
    <x:t xml:space="preserve">  Less: Cash lease payments</x:t>
  </x:si>
  <x:si>
    <x:t xml:space="preserve">Operating lease liabilities EOP</x:t>
  </x:si>
  <x:si>
    <x:t xml:space="preserve">Operating lease liabilities EOP as % of revenue</x:t>
  </x:si>
  <x:si>
    <x:t xml:space="preserve">Current portion of lease liabilities</x:t>
  </x:si>
  <x:si>
    <x:t xml:space="preserve">Current lease liabilities as a % of total</x:t>
  </x:si>
  <x:si>
    <x:t xml:space="preserve">Non-current portion of lease liabilities</x:t>
  </x:si>
  <x:si>
    <x:t xml:space="preserve">Total ROU assets BOP</x:t>
  </x:si>
  <x:si>
    <x:t xml:space="preserve">  Less: ROU amortization</x:t>
  </x:si>
  <x:si>
    <x:t xml:space="preserve">Total ROU assets EOP</x:t>
  </x:si>
  <x:si>
    <x:t xml:space="preserve">Values</x:t>
  </x:si>
  <x:si>
    <x:t xml:space="preserve">Basic Shares Outstanding</x:t>
  </x:si>
  <x:si>
    <x:t xml:space="preserve">Fully Diluted Shares Outstanding</x:t>
  </x:si>
  <x:si>
    <x:t xml:space="preserve">Discount Rate (WACC)</x:t>
  </x:si>
  <x:si>
    <x:t xml:space="preserve">Midyear Adjustment (1=on, 0=off)</x:t>
  </x:si>
  <x:si>
    <x:t xml:space="preserve">Unlevered Free Cash Flow</x:t>
  </x:si>
  <x:si>
    <x:t xml:space="preserve">YoY Growth Rate (%)</x:t>
  </x:si>
  <x:si>
    <x:t xml:space="preserve">Gross Margin (%)</x:t>
  </x:si>
  <x:si>
    <x:t xml:space="preserve">EBITDA Margin (%)</x:t>
  </x:si>
  <x:si>
    <x:t xml:space="preserve">EBIT Margin (%)</x:t>
  </x:si>
  <x:si>
    <x:t xml:space="preserve">Tax on EBIT</x:t>
  </x:si>
  <x:si>
    <x:t xml:space="preserve">Tax Rate (%)</x:t>
  </x:si>
  <x:si>
    <x:t xml:space="preserve">NOPAT/EBIAT</x:t>
  </x:si>
  <x:si>
    <x:t xml:space="preserve">Plus: Depreciation and Amortization</x:t>
  </x:si>
  <x:si>
    <x:t xml:space="preserve">Plus: Stock Compensation</x:t>
  </x:si>
  <x:si>
    <x:t xml:space="preserve">Less: Change in Net Working Capital</x:t>
  </x:si>
  <x:si>
    <x:t xml:space="preserve">Less: Capital Expenditures</x:t>
  </x:si>
  <x:si>
    <x:t xml:space="preserve">Unlevered Free Cash Flow (UFCF)</x:t>
  </x:si>
  <x:si>
    <x:t xml:space="preserve">Net Working Capital Schedule</x:t>
  </x:si>
  <x:si>
    <x:t xml:space="preserve">Current Assets (Ex. Cash)</x:t>
  </x:si>
  <x:si>
    <x:t xml:space="preserve">Current Liabilities</x:t>
  </x:si>
  <x:si>
    <x:t xml:space="preserve">Net Working Capital</x:t>
  </x:si>
  <x:si>
    <x:t xml:space="preserve">Change in Net Working Capital</x:t>
  </x:si>
  <x:si>
    <x:t xml:space="preserve">Stub %</x:t>
  </x:si>
  <x:si>
    <x:t xml:space="preserve">Stub Year</x:t>
  </x:si>
  <x:si>
    <x:t xml:space="preserve">Year 2</x:t>
  </x:si>
  <x:si>
    <x:t xml:space="preserve">Year 3</x:t>
  </x:si>
  <x:si>
    <x:t xml:space="preserve">Year 4</x:t>
  </x:si>
  <x:si>
    <x:t xml:space="preserve">Year 5</x:t>
  </x:si>
  <x:si>
    <x:t xml:space="preserve">Dates for Discounting UFCF</x:t>
  </x:si>
  <x:si>
    <x:t xml:space="preserve">Periods for Discounting UFCF</x:t>
  </x:si>
  <x:si>
    <x:t xml:space="preserve">Stub-adjusted Unlevered Free Cash Flow (UFCF)</x:t>
  </x:si>
  <x:si>
    <x:t xml:space="preserve">PV of Stub-adjusted UFCFs</x:t>
  </x:si>
  <x:si>
    <x:t xml:space="preserve">Basic to Fully Diluted Shares Bridge (in 000s)</x:t>
  </x:si>
  <x:si>
    <x:t xml:space="preserve">Basic Shares</x:t>
  </x:si>
  <x:si>
    <x:t xml:space="preserve">Restricted Stock</x:t>
  </x:si>
  <x:si>
    <x:t xml:space="preserve">Options/Warrants</x:t>
  </x:si>
  <x:si>
    <x:t xml:space="preserve">Convertible Debt</x:t>
  </x:si>
  <x:si>
    <x:t xml:space="preserve">Convertible Preferred Stock</x:t>
  </x:si>
  <x:si>
    <x:t xml:space="preserve">Terminal Value and Equity Value Bridge</x:t>
  </x:si>
  <x:si>
    <x:t xml:space="preserve">Terminal Value - Multiples Method</x:t>
  </x:si>
  <x:si>
    <x:t xml:space="preserve">Terminal Value - Perpetual Growth Method</x:t>
  </x:si>
  <x:si>
    <x:t xml:space="preserve">EV/EBITDA</x:t>
  </x:si>
  <x:si>
    <x:t xml:space="preserve">Terminal UFCF Growth Rate</x:t>
  </x:si>
  <x:si>
    <x:t xml:space="preserve">Implied Terminal Value</x:t>
  </x:si>
  <x:si>
    <x:t xml:space="preserve">Implied Terminal UFCF Growth Rate</x:t>
  </x:si>
  <x:si>
    <x:t xml:space="preserve">Implied Terminal EV/EBITDA</x:t>
  </x:si>
  <x:si>
    <x:t xml:space="preserve">Plus: PV of Terminal Value</x:t>
  </x:si>
  <x:si>
    <x:t xml:space="preserve">Plus: Sum of PV of Stub-adjusted UFCFs</x:t>
  </x:si>
  <x:si>
    <x:t xml:space="preserve">Implied Enterprise Value</x:t>
  </x:si>
  <x:si>
    <x:t xml:space="preserve">% of Implied EV from Terminal Value</x:t>
  </x:si>
  <x:si>
    <x:t xml:space="preserve">Plus: Cash and Cash Equivalents</x:t>
  </x:si>
  <x:si>
    <x:t xml:space="preserve">Less: Debt &amp; Capital Leases (excl. Operating Leases)</x:t>
  </x:si>
  <x:si>
    <x:t xml:space="preserve">Less: Preferred Stock</x:t>
  </x:si>
  <x:si>
    <x:t xml:space="preserve">Less: Non-controlling Interest</x:t>
  </x:si>
  <x:si>
    <x:t xml:space="preserve">Implied Equity Value</x:t>
  </x:si>
  <x:si>
    <x:t xml:space="preserve">Implied Share Price</x:t>
  </x:si>
  <x:si>
    <x:t xml:space="preserve">Premium (Discount) to Current Price</x:t>
  </x:si>
  <x:si>
    <x:t xml:space="preserve">Implied Y1 Multiples</x:t>
  </x:si>
  <x:si>
    <x:t xml:space="preserve">EV / Revenue</x:t>
  </x:si>
  <x:si>
    <x:t xml:space="preserve">EV / EBITDA </x:t>
  </x:si>
  <x:si>
    <x:t xml:space="preserve">EV / EBIT</x:t>
  </x:si>
  <x:si>
    <x:t xml:space="preserve">Data Tables and Football Field</x:t>
  </x:si>
  <x:si>
    <x:t xml:space="preserve">EV/EBITDA Multiple</x:t>
  </x:si>
  <x:si>
    <x:t xml:space="preserve">Cost of Debt Calculation</x:t>
  </x:si>
  <x:si>
    <x:t xml:space="preserve">Beta (β) Calculator</x:t>
  </x:si>
  <x:si>
    <x:t xml:space="preserve">Interest on Short-term Bank Credit</x:t>
  </x:si>
  <x:si>
    <x:t xml:space="preserve">S&amp;P 500 Index</x:t>
  </x:si>
  <x:si>
    <x:t xml:space="preserve">Interest on Long-term Debt</x:t>
  </x:si>
  <x:si>
    <x:t xml:space="preserve">Date</x:t>
  </x:si>
  <x:si>
    <x:t xml:space="preserve">Adj. Close Price</x:t>
  </x:si>
  <x:si>
    <x:t xml:space="preserve">Return (%)</x:t>
  </x:si>
  <x:si>
    <x:t xml:space="preserve">Total Interest Expenses</x:t>
  </x:si>
  <x:si>
    <x:t xml:space="preserve">Current Portion of LT Debt &amp; Finance leases</x:t>
  </x:si>
  <x:si>
    <x:t xml:space="preserve">LT Debt &amp; Finance leases (Ex. Current Portion)</x:t>
  </x:si>
  <x:si>
    <x:t xml:space="preserve">Total Debt</x:t>
  </x:si>
  <x:si>
    <x:t xml:space="preserve">Pre-tax Cost of Debt</x:t>
  </x:si>
  <x:si>
    <x:t xml:space="preserve">Effective Cost of Debt</x:t>
  </x:si>
  <x:si>
    <x:t xml:space="preserve">Cost of Equity Calculation</x:t>
  </x:si>
  <x:si>
    <x:t xml:space="preserve">Equity Risk Premium</x:t>
  </x:si>
  <x:si>
    <x:t xml:space="preserve">Risk-free Rate</x:t>
  </x:si>
  <x:si>
    <x:t xml:space="preserve">Company Beta</x:t>
  </x:si>
  <x:si>
    <x:t xml:space="preserve">Cost of Equity</x:t>
  </x:si>
  <x:si>
    <x:t xml:space="preserve">Capital Structure and WACC</x:t>
  </x:si>
  <x:si>
    <x:t xml:space="preserve">% of Total Capital</x:t>
  </x:si>
  <x:si>
    <x:t xml:space="preserve">Equity Value</x:t>
  </x:si>
  <x:si>
    <x:t xml:space="preserve">Weighted Average Cost of Capital (WACC)</x:t>
  </x:si>
  <x:si>
    <x:t xml:space="preserve">Company Beta (3Y Monthly) &gt;&gt;</x:t>
  </x:si>
</x:sst>
</file>

<file path=xl/styles.xml><?xml version="1.0" encoding="utf-8"?>
<x:styleSheet xmlns:x="http://schemas.openxmlformats.org/spreadsheetml/2006/main">
  <x:numFmts count="18">
    <x:numFmt numFmtId="43" formatCode="_ * #,##0.00_ ;_ * \-#,##0.00_ ;_ * &quot;-&quot;??_ ;_ @_ "/>
    <x:numFmt numFmtId="164" formatCode="&quot;$&quot;#,##0.00_);[Red]\(&quot;$&quot;#,##0.00\)"/>
    <x:numFmt numFmtId="165" formatCode="_(* #,##0_);_(* \(#,##0\);_(* &quot;-&quot;_);_(@_)"/>
    <x:numFmt numFmtId="166" formatCode="&quot;FY&quot;\ yyyy"/>
    <x:numFmt numFmtId="167" formatCode="0.0%_);\(0.0%\);@_)"/>
    <x:numFmt numFmtId="168" formatCode="#,##0.0_);\(#,##0.0\)"/>
    <x:numFmt numFmtId="169" formatCode="0\ &quot;days&quot;"/>
    <x:numFmt numFmtId="170" formatCode="0.0%"/>
    <x:numFmt numFmtId="171" formatCode="#,##0\ &quot;days&quot;_);\(#,##0\ &quot;days&quot;\)"/>
    <x:numFmt numFmtId="172" formatCode="_(* #,##0.000_);_(* \(#,##0.000\);_(* &quot;-&quot;_);_(@_)"/>
    <x:numFmt numFmtId="173" formatCode="_([$$-409]* #,##0.00_);_([$$-409]* \(#,##0.00\);_([$$-409]* &quot;-&quot;??_);_(@_)"/>
    <x:numFmt numFmtId="174" formatCode="0.0%_);\(0.0%\)"/>
    <x:numFmt numFmtId="175" formatCode="#,##0_);\(#,##0\);\-\ "/>
    <x:numFmt numFmtId="176" formatCode="0.0\x_);\(0.0\x\);\-\ "/>
    <x:numFmt numFmtId="177" formatCode="0.00\x_);\(0.00\x\);\-\ "/>
    <x:numFmt numFmtId="178" formatCode="#,##0.00_);\(#,##0.00\);\-\ "/>
    <x:numFmt numFmtId="179" formatCode="0.00%_);\(0.00%\)"/>
    <x:numFmt numFmtId="200" formatCode="#,##0"/>
  </x:numFmts>
  <x:fonts count="40"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b/>
      <x:sz val="14"/>
      <x:color theme="1"/>
      <x:name val="Calibri"/>
    </x:font>
    <x:font>
      <x:sz val="11"/>
      <x:color theme="1"/>
      <x:name val="Calibri"/>
    </x:font>
    <x:font>
      <x:i/>
      <x:sz val="11"/>
      <x:color theme="1"/>
      <x:name val="Calibri"/>
    </x:font>
    <x:font>
      <x:sz val="11"/>
      <x:color rgb="FF0070C0"/>
      <x:name val="Calibri"/>
    </x:font>
    <x:font>
      <x:sz val="11"/>
      <x:color theme="1"/>
      <x:name val="Calibri"/>
    </x:font>
    <x:font>
      <x:sz val="11"/>
      <x:color theme="9"/>
      <x:name val="Calibri"/>
    </x:font>
    <x:font>
      <x:b/>
      <x:sz val="11"/>
      <x:color theme="0"/>
      <x:name val="Calibri"/>
    </x:font>
    <x:font>
      <x:sz val="11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sz val="11"/>
      <x:color rgb="FF000000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i/>
      <x:sz val="11"/>
      <x:color theme="1"/>
      <x:name val="Calibri"/>
    </x:font>
    <x:font>
      <x:sz val="12"/>
      <x:color rgb="FF000000"/>
      <x:name val="Courier New"/>
    </x:font>
    <x:font>
      <x:sz val="11"/>
      <x:color theme="0"/>
      <x:name val="Calibri (Body)"/>
    </x:font>
    <x:font>
      <x:b/>
      <x:sz val="11"/>
      <x:color theme="0"/>
      <x:name val="Calibri (Body)"/>
    </x:font>
    <x:font>
      <x:b/>
      <x:sz val="11"/>
      <x:color theme="1"/>
      <x:name val="Calibri"/>
    </x:font>
    <x:font>
      <x:i/>
      <x:sz val="11"/>
      <x:color rgb="FF000000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rgb="FFFF0000"/>
      <x:name val="Calibri"/>
    </x:font>
    <x:font>
      <x:b/>
      <x:sz val="11"/>
      <x:color rgb="FF000000"/>
      <x:name val="Calibri"/>
    </x:font>
    <x:font>
      <x:sz val="11"/>
      <x:color theme="8"/>
      <x:name val="Calibri"/>
    </x:font>
    <x:font>
      <x:b/>
      <x:sz val="10"/>
      <x:color theme="1"/>
      <x:name val="Calibri"/>
    </x:font>
    <x:font>
      <x:sz val="11"/>
      <x:color rgb="FF000000"/>
      <x:name val="Calibri"/>
    </x:font>
    <x:font>
      <x:sz val="11"/>
      <x:color rgb="FF0000FF"/>
      <x:name val="Calibri"/>
    </x:font>
    <x:font>
      <x:sz val="11"/>
      <x:color rgb="FF0000FF"/>
      <x:name val="Calibri"/>
    </x:font>
    <x:font>
      <x:sz val="11"/>
      <x:color rgb="FF196B24"/>
      <x:name val="Calibri"/>
    </x:font>
    <x:font>
      <x:b/>
      <x:sz val="11"/>
      <x:color rgb="FF0000FF"/>
      <x:name val="Calibri"/>
    </x:font>
    <x:font>
      <x:sz val="11"/>
      <x:color rgb="FF196B24"/>
      <x:name val="Calibri"/>
    </x:font>
    <x:font>
      <x:i/>
      <x:sz val="11"/>
      <x:color rgb="FF196B24"/>
      <x:name val="Calibri"/>
    </x:font>
    <x:font>
      <x:b/>
      <x:sz val="16"/>
      <x:color rgb="FFFFFFFF"/>
      <x:name val="Calibri"/>
    </x:font>
    <x:font>
      <x:i/>
      <x:sz val="11"/>
      <x:color rgb="FF4B5563"/>
      <x:name val="Calibri"/>
    </x:font>
    <x:font>
      <x:b/>
      <x:sz val="11"/>
      <x:color rgb="FF17365D"/>
      <x:name val="Calibri"/>
    </x:font>
    <x:font>
      <x:b/>
      <x:sz val="11"/>
      <x:color rgb="FFFFFFFF"/>
      <x:name val="Calibri"/>
    </x:font>
    <x:font>
      <x:b/>
      <x:sz val="11"/>
      <x:color rgb="FF1F4E78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theme="8"/>
      </x:patternFill>
    </x:fill>
    <x:fill>
      <x:patternFill patternType="solid">
        <x:fgColor rgb="FFFEF2CB"/>
      </x:patternFill>
    </x:fill>
    <x:fill>
      <x:patternFill patternType="solid">
        <x:fgColor rgb="FFF7CAAC"/>
      </x:patternFill>
    </x:fill>
    <x:fill>
      <x:patternFill patternType="solid">
        <x:fgColor rgb="FFD9E2F3"/>
      </x:patternFill>
    </x:fill>
    <x:fill>
      <x:patternFill patternType="solid">
        <x:fgColor theme="2" tint="-0.04999"/>
      </x:patternFill>
    </x:fill>
    <x:fill>
      <x:patternFill patternType="solid">
        <x:fgColor rgb="FFD8D8D8"/>
      </x:patternFill>
    </x:fill>
    <x:fill>
      <x:patternFill patternType="solid">
        <x:fgColor rgb="FF1F3864"/>
      </x:patternFill>
    </x:fill>
    <x:fill>
      <x:patternFill patternType="solid">
        <x:fgColor rgb="FFD8D8D8"/>
      </x:patternFill>
    </x:fill>
    <x:fill>
      <x:patternFill patternType="solid">
        <x:fgColor rgb="FFFEF2CB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5F8FC"/>
      </x:patternFill>
    </x:fill>
  </x:fills>
  <x:borders count="60">
    <x:border/>
    <x:border>
      <x:top style="medium">
        <x:color rgb="FF000000"/>
      </x:top>
    </x:border>
    <x:border>
      <x:bottom style="medium">
        <x:color rgb="FF000000"/>
      </x:bottom>
    </x:border>
    <x:border>
      <x:right style="thin">
        <x:color theme="0"/>
      </x:right>
    </x:border>
    <x:border>
      <x:top style="thin">
        <x:color theme="0"/>
      </x:top>
    </x:border>
    <x:border>
      <x:right style="thin">
        <x:color theme="0"/>
      </x:right>
      <x:top style="thin">
        <x:color theme="0"/>
      </x:top>
    </x:border>
    <x:border>
      <x:right style="dotted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/>
    <x:border>
      <x:right style="dotted">
        <x:color rgb="FF000000"/>
      </x:right>
    </x:border>
    <x:border>
      <x:top style="thin">
        <x:color rgb="FF000000"/>
      </x:top>
    </x:border>
    <x:border>
      <x:bottom style="thin">
        <x:color indexed="64"/>
      </x:bottom>
    </x:border>
    <x:border>
      <x:right style="dotted">
        <x:color rgb="FF000000"/>
      </x:right>
      <x:bottom style="thin">
        <x:color indexed="64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dotted">
        <x:color indexed="64"/>
      </x:right>
      <x:bottom style="thin">
        <x:color indexed="64"/>
      </x:bottom>
    </x:border>
    <x:border>
      <x:right style="dotted">
        <x:color indexed="64"/>
      </x:right>
    </x:border>
    <x:border>
      <x:right style="dotted">
        <x:color auto="1"/>
      </x:right>
      <x:bottom style="thin">
        <x:color rgb="FF00000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rgb="FF1F4E78"/>
      </x:left>
      <x:top style="medium">
        <x:color rgb="FF1F4E78"/>
      </x:top>
    </x:border>
    <x:border>
      <x:top style="medium">
        <x:color rgb="FF1F4E78"/>
      </x:top>
    </x:border>
    <x:border>
      <x:right style="medium">
        <x:color rgb="FF1F4E78"/>
      </x:right>
      <x:top style="medium">
        <x:color rgb="FF1F4E78"/>
      </x:top>
    </x:border>
    <x:border>
      <x:left style="medium">
        <x:color rgb="FF1F4E78"/>
      </x:left>
      <x:bottom style="medium">
        <x:color rgb="FF000000"/>
      </x:bottom>
    </x:border>
    <x:border>
      <x:right style="medium">
        <x:color rgb="FF1F4E78"/>
      </x:right>
      <x:bottom style="medium">
        <x:color rgb="FF000000"/>
      </x:bottom>
    </x:border>
    <x:border>
      <x:left style="medium">
        <x:color rgb="FF1F4E78"/>
      </x:left>
    </x:border>
    <x:border>
      <x:right style="medium">
        <x:color rgb="FF1F4E78"/>
      </x:right>
    </x:border>
    <x:border>
      <x:right style="medium">
        <x:color rgb="FF1F4E78"/>
      </x:right>
      <x:top style="thin">
        <x:color theme="0"/>
      </x:top>
    </x:border>
    <x:border>
      <x:left style="medium">
        <x:color rgb="FF1F4E78"/>
      </x:left>
      <x:bottom style="medium">
        <x:color rgb="FF1F4E78"/>
      </x:bottom>
    </x:border>
    <x:border>
      <x:bottom style="medium">
        <x:color rgb="FF1F4E78"/>
      </x:bottom>
    </x:border>
    <x:border>
      <x:right style="dotted">
        <x:color rgb="FF000000"/>
      </x:right>
      <x:bottom style="medium">
        <x:color rgb="FF1F4E78"/>
      </x:bottom>
    </x:border>
    <x:border>
      <x:right style="medium">
        <x:color rgb="FF1F4E78"/>
      </x:right>
      <x:bottom style="medium">
        <x:color rgb="FF1F4E78"/>
      </x:bottom>
    </x:border>
    <x:border>
      <x:top style="thin">
        <x:color theme="0"/>
      </x:top>
      <x:bottom style="medium">
        <x:color rgb="FF2F75B5"/>
      </x:bottom>
    </x:border>
    <x:border>
      <x:bottom style="medium">
        <x:color rgb="FF2F75B5"/>
      </x:bottom>
    </x:border>
    <x:border>
      <x:top style="thin">
        <x:color theme="0"/>
      </x:top>
      <x:bottom style="medium">
        <x:color rgb="FFED7D31"/>
      </x:bottom>
    </x:border>
    <x:border>
      <x:bottom style="medium">
        <x:color rgb="FFED7D31"/>
      </x:bottom>
    </x:border>
    <x:border>
      <x:right style="thin">
        <x:color theme="0"/>
      </x:right>
      <x:top style="medium">
        <x:color rgb="FF1F4E78"/>
      </x:top>
    </x:border>
    <x:border>
      <x:left style="medium">
        <x:color rgb="FF1F4E78"/>
      </x:left>
      <x:top style="medium">
        <x:color rgb="FF1F4E78"/>
      </x:top>
      <x:bottom style="medium">
        <x:color rgb="FF000000"/>
      </x:bottom>
    </x:border>
    <x:border>
      <x:top style="medium">
        <x:color rgb="FF1F4E78"/>
      </x:top>
      <x:bottom style="medium">
        <x:color rgb="FF000000"/>
      </x:bottom>
    </x:border>
    <x:border>
      <x:right style="medium">
        <x:color rgb="FF1F4E78"/>
      </x:right>
      <x:top style="medium">
        <x:color rgb="FF1F4E78"/>
      </x:top>
      <x:bottom style="medium">
        <x:color rgb="FF000000"/>
      </x:bottom>
    </x:border>
    <x:border>
      <x:left style="medium">
        <x:color rgb="FF1F4E78"/>
      </x:left>
      <x:bottom style="thin">
        <x:color rgb="FF000000"/>
      </x:bottom>
    </x:border>
    <x:border>
      <x:right style="medium">
        <x:color rgb="FF1F4E78"/>
      </x:right>
      <x:bottom style="thin">
        <x:color rgb="FF000000"/>
      </x:bottom>
    </x:border>
    <x:border>
      <x:right style="medium">
        <x:color rgb="FF1F4E78"/>
      </x:right>
      <x:bottom style="medium">
        <x:color rgb="FFED7D31"/>
      </x:bottom>
    </x:border>
    <x:border>
      <x:right style="dotted">
        <x:color indexed="64"/>
      </x:right>
      <x:bottom style="medium">
        <x:color rgb="FF1F4E78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2F75B5"/>
      </x:bottom>
    </x:border>
    <x:border>
      <x:left style="thin">
        <x:color rgb="FF000000"/>
      </x:left>
      <x:right style="medium">
        <x:color rgb="FF1F4E78"/>
      </x:right>
      <x:top style="thin">
        <x:color rgb="FF000000"/>
      </x:top>
      <x:bottom style="thin">
        <x:color rgb="FF000000"/>
      </x:bottom>
    </x:border>
    <x:border>
      <x:left style="medium">
        <x:color rgb="FF1F4E78"/>
      </x:left>
      <x:top style="thin">
        <x:color rgb="FF000000"/>
      </x:top>
    </x:border>
    <x:border>
      <x:right style="medium">
        <x:color rgb="FF1F4E78"/>
      </x:right>
      <x:top style="thin">
        <x:color rgb="FF000000"/>
      </x:top>
    </x:border>
    <x:border>
      <x:right style="medium">
        <x:color rgb="FF1F4E78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1F4E78"/>
      </x:bottom>
    </x:border>
    <x:border>
      <x:left style="thin">
        <x:color indexed="64"/>
      </x:left>
      <x:right style="medium">
        <x:color rgb="FF1F4E78"/>
      </x:right>
      <x:top style="thin">
        <x:color indexed="64"/>
      </x:top>
      <x:bottom style="thin">
        <x:color indexed="64"/>
      </x:bottom>
    </x:border>
    <x:border>
      <x:bottom style="thin">
        <x:color rgb="FFD6DEE8"/>
      </x:bottom>
    </x:border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bottom style="medium">
        <x:color rgb="FF17365D"/>
      </x:bottom>
    </x:border>
    <x:border>
      <x:right style="medium">
        <x:color rgb="FF1F4E78"/>
      </x:right>
      <x:top style="thin">
        <x:color theme="0"/>
      </x:top>
      <x:bottom style="medium">
        <x:color rgb="FFED7D31"/>
      </x:bottom>
    </x:border>
  </x:borders>
  <x:cellStyleXfs count="7">
    <x:xf numFmtId="0" fontId="0" fillId="0" borderId="0"/>
    <x:xf numFmtId="0" fontId="12" fillId="0" borderId="9"/>
    <x:xf numFmtId="9" fontId="14" fillId="0" borderId="0" applyFont="0" applyFill="0" applyBorder="0" applyAlignment="0" applyProtection="0"/>
    <x:xf numFmtId="43" fontId="15" fillId="0" borderId="0" applyFont="0" applyFill="0" applyBorder="0" applyAlignment="0" applyProtection="0"/>
    <x:xf numFmtId="0" fontId="2" fillId="0" borderId="9"/>
    <x:xf numFmtId="43" fontId="2" fillId="0" borderId="9" applyFont="0" applyFill="0" applyBorder="0" applyAlignment="0" applyProtection="0"/>
    <x:xf numFmtId="0" fontId="2" fillId="0" borderId="9"/>
  </x:cellStyleXfs>
  <x:cellXfs count="764">
    <x:xf numFmtId="0" fontId="0" fillId="0" borderId="0" xfId="0"/>
    <x:xf numFmtId="0" fontId="3" fillId="0" borderId="1" xfId="0" applyFont="1" applyBorder="1"/>
    <x:xf numFmtId="0" fontId="4" fillId="0" borderId="1" xfId="0" applyFont="1" applyBorder="1"/>
    <x:xf numFmtId="0" fontId="5" fillId="0" borderId="2" xfId="0" applyFont="1" applyBorder="1" applyAlignment="1">
      <x:alignment horizontal="left"/>
    </x:xf>
    <x:xf numFmtId="0" fontId="4" fillId="0" borderId="2" xfId="0" applyFont="1" applyBorder="1"/>
    <x:xf numFmtId="0" fontId="5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7" fillId="0" borderId="0" xfId="0" applyFont="1"/>
    <x:xf numFmtId="0" fontId="8" fillId="0" borderId="0" xfId="0" applyFont="1" applyAlignment="1">
      <x:alignment horizontal="left"/>
    </x:xf>
    <x:xf numFmtId="37" fontId="6" fillId="0" borderId="0" xfId="0" applyNumberFormat="1" applyFont="1" applyAlignment="1">
      <x:alignment horizontal="left"/>
    </x:xf>
    <x:xf numFmtId="166" fontId="9" fillId="2" borderId="4" xfId="0" applyNumberFormat="1" applyFont="1" applyFill="1" applyBorder="1" applyAlignment="1">
      <x:alignment horizontal="center"/>
    </x:xf>
    <x:xf numFmtId="166" fontId="9" fillId="2" borderId="5" xfId="0" applyNumberFormat="1" applyFont="1" applyFill="1" applyBorder="1" applyAlignment="1">
      <x:alignment horizontal="center"/>
    </x:xf>
    <x:xf numFmtId="0" fontId="11" fillId="0" borderId="0" xfId="0" applyFont="1"/>
    <x:xf numFmtId="0" fontId="5" fillId="0" borderId="0" xfId="0" applyFont="1"/>
    <x:xf numFmtId="37" fontId="4" fillId="0" borderId="0" xfId="0" applyNumberFormat="1" applyFont="1"/>
    <x:xf numFmtId="167" fontId="4" fillId="0" borderId="0" xfId="0" applyNumberFormat="1" applyFont="1"/>
    <x:xf numFmtId="0" fontId="4" fillId="4" borderId="8" xfId="0" applyFont="1" applyFill="1" applyBorder="1" applyAlignment="1">
      <x:alignment horizontal="center" vertical="center"/>
    </x:xf>
    <x:xf numFmtId="3" fontId="4" fillId="0" borderId="0" xfId="0" applyNumberFormat="1" applyFont="1"/>
    <x:xf numFmtId="168" fontId="11" fillId="0" borderId="0" xfId="0" applyNumberFormat="1" applyFont="1"/>
    <x:xf numFmtId="0" fontId="4" fillId="0" borderId="0" xfId="0" applyFont="1"/>
    <x:xf numFmtId="37" fontId="0" fillId="0" borderId="0" xfId="0" applyNumberFormat="1"/>
    <x:xf numFmtId="0" fontId="17" fillId="0" borderId="0" xfId="0" applyFont="1"/>
    <x:xf numFmtId="0" fontId="18" fillId="0" borderId="9" xfId="0" applyFont="1" applyBorder="1"/>
    <x:xf numFmtId="0" fontId="11" fillId="0" borderId="9" xfId="0" applyFont="1" applyBorder="1"/>
    <x:xf numFmtId="37" fontId="11" fillId="0" borderId="9" xfId="0" applyNumberFormat="1" applyFont="1" applyBorder="1"/>
    <x:xf numFmtId="0" fontId="0" fillId="0" borderId="9" xfId="0" applyBorder="1"/>
    <x:xf numFmtId="170" fontId="16" fillId="0" borderId="0" xfId="0" applyNumberFormat="1" applyFont="1"/>
    <x:xf numFmtId="0" fontId="20" fillId="0" borderId="0" xfId="0" applyFont="1"/>
    <x:xf numFmtId="170" fontId="5" fillId="0" borderId="9" xfId="0" applyNumberFormat="1" applyFont="1" applyBorder="1"/>
    <x:xf numFmtId="168" fontId="11" fillId="0" borderId="9" xfId="0" applyNumberFormat="1" applyFont="1" applyBorder="1"/>
    <x:xf numFmtId="0" fontId="2" fillId="0" borderId="9" xfId="4"/>
    <x:xf numFmtId="0" fontId="3" fillId="0" borderId="1" xfId="4" applyFont="1" applyBorder="1"/>
    <x:xf numFmtId="0" fontId="4" fillId="0" borderId="1" xfId="4" applyFont="1" applyBorder="1"/>
    <x:xf numFmtId="0" fontId="5" fillId="0" borderId="2" xfId="4" applyFont="1" applyBorder="1" applyAlignment="1">
      <x:alignment horizontal="left"/>
    </x:xf>
    <x:xf numFmtId="0" fontId="4" fillId="0" borderId="2" xfId="4" applyFont="1" applyBorder="1"/>
    <x:xf numFmtId="0" fontId="5" fillId="0" borderId="9" xfId="4" applyFont="1" applyAlignment="1">
      <x:alignment horizontal="left"/>
    </x:xf>
    <x:xf numFmtId="0" fontId="4" fillId="0" borderId="9" xfId="4" applyFont="1" applyAlignment="1">
      <x:alignment horizontal="left"/>
    </x:xf>
    <x:xf numFmtId="0" fontId="7" fillId="0" borderId="9" xfId="4" applyFont="1"/>
    <x:xf numFmtId="37" fontId="6" fillId="0" borderId="9" xfId="4" applyNumberFormat="1" applyFont="1" applyAlignment="1">
      <x:alignment horizontal="left"/>
    </x:xf>
    <x:xf numFmtId="0" fontId="8" fillId="0" borderId="9" xfId="4" applyFont="1" applyAlignment="1">
      <x:alignment horizontal="left"/>
    </x:xf>
    <x:xf numFmtId="0" fontId="9" fillId="2" borderId="9" xfId="4" applyFont="1" applyFill="1"/>
    <x:xf numFmtId="166" fontId="9" fillId="2" borderId="4" xfId="4" applyNumberFormat="1" applyFont="1" applyFill="1" applyBorder="1" applyAlignment="1">
      <x:alignment horizontal="center"/>
    </x:xf>
    <x:xf numFmtId="166" fontId="9" fillId="2" borderId="5" xfId="4" applyNumberFormat="1" applyFont="1" applyFill="1" applyBorder="1" applyAlignment="1">
      <x:alignment horizontal="center"/>
    </x:xf>
    <x:xf numFmtId="0" fontId="11" fillId="0" borderId="9" xfId="4" applyFont="1"/>
    <x:xf numFmtId="0" fontId="4" fillId="0" borderId="7" xfId="4" applyFont="1" applyBorder="1"/>
    <x:xf numFmtId="167" fontId="21" fillId="0" borderId="9" xfId="4" applyNumberFormat="1" applyFont="1"/>
    <x:xf numFmtId="0" fontId="4" fillId="0" borderId="10" xfId="4" applyFont="1" applyBorder="1"/>
    <x:xf numFmtId="167" fontId="21" fillId="0" borderId="10" xfId="4" applyNumberFormat="1" applyFont="1" applyBorder="1"/>
    <x:xf numFmtId="0" fontId="4" fillId="0" borderId="7" xfId="4" applyFont="1" applyBorder="1" applyAlignment="1">
      <x:alignment horizontal="left"/>
    </x:xf>
    <x:xf numFmtId="0" fontId="3" fillId="0" borderId="2" xfId="4" applyFont="1" applyBorder="1"/>
    <x:xf numFmtId="0" fontId="9" fillId="2" borderId="9" xfId="4" applyFont="1" applyFill="1" applyAlignment="1">
      <x:alignment vertical="top"/>
    </x:xf>
    <x:xf numFmtId="167" fontId="4" fillId="0" borderId="9" xfId="4" applyNumberFormat="1" applyFont="1" applyAlignment="1">
      <x:alignment horizontal="center"/>
    </x:xf>
    <x:xf numFmtId="0" fontId="9" fillId="2" borderId="9" xfId="0" applyFont="1" applyFill="1" applyBorder="1" applyAlignment="1">
      <x:alignment horizontal="center"/>
    </x:xf>
    <x:xf numFmtId="167" fontId="13" fillId="5" borderId="9" xfId="0" applyNumberFormat="1" applyFont="1" applyFill="1" applyBorder="1" applyAlignment="1">
      <x:alignment horizontal="center"/>
    </x:xf>
    <x:xf numFmtId="0" fontId="3" fillId="0" borderId="2" xfId="0" applyFont="1" applyBorder="1"/>
    <x:xf numFmtId="0" fontId="9" fillId="2" borderId="9" xfId="0" applyFont="1" applyFill="1" applyBorder="1"/>
    <x:xf numFmtId="0" fontId="4" fillId="0" borderId="10" xfId="0" applyFont="1" applyBorder="1"/>
    <x:xf numFmtId="37" fontId="4" fillId="0" borderId="10" xfId="0" applyNumberFormat="1" applyFont="1" applyBorder="1"/>
    <x:xf numFmtId="0" fontId="11" fillId="0" borderId="0" xfId="0" applyFont="1" applyAlignment="1">
      <x:alignment horizontal="left"/>
    </x:xf>
    <x:xf numFmtId="169" fontId="4" fillId="0" borderId="0" xfId="0" applyNumberFormat="1" applyFont="1"/>
    <x:xf numFmtId="169" fontId="4" fillId="0" borderId="10" xfId="0" applyNumberFormat="1" applyFont="1" applyBorder="1"/>
    <x:xf numFmtId="0" fontId="7" fillId="0" borderId="0" xfId="0" applyFont="1" applyAlignment="1">
      <x:alignment horizontal="left"/>
    </x:xf>
    <x:xf numFmtId="167" fontId="13" fillId="0" borderId="0" xfId="0" applyNumberFormat="1" applyFont="1"/>
    <x:xf numFmtId="0" fontId="11" fillId="0" borderId="7" xfId="0" applyFont="1" applyBorder="1" applyAlignment="1">
      <x:alignment horizontal="left"/>
    </x:xf>
    <x:xf numFmtId="0" fontId="11" fillId="0" borderId="12" xfId="0" applyFont="1" applyBorder="1" applyAlignment="1">
      <x:alignment horizontal="left"/>
    </x:xf>
    <x:xf numFmtId="0" fontId="0" fillId="6" borderId="0" xfId="0" applyFill="1"/>
    <x:xf numFmtId="37" fontId="11" fillId="6" borderId="0" xfId="0" applyNumberFormat="1" applyFont="1" applyFill="1"/>
    <x:xf numFmtId="0" fontId="4" fillId="0" borderId="0" xfId="0" applyFont="1" applyAlignment="1">
      <x:alignment horizontal="left"/>
    </x:xf>
    <x:xf numFmtId="0" fontId="0" fillId="0" borderId="9" xfId="0" applyBorder="1" applyAlignment="1">
      <x:alignment wrapText="1"/>
    </x:xf>
    <x:xf numFmtId="14" fontId="2" fillId="0" borderId="9" xfId="4" applyNumberFormat="1" applyAlignment="1">
      <x:alignment horizontal="right"/>
    </x:xf>
    <x:xf numFmtId="0" fontId="5" fillId="0" borderId="9" xfId="4" applyFont="1"/>
    <x:xf numFmtId="0" fontId="9" fillId="2" borderId="9" xfId="4" applyFont="1" applyFill="1" applyAlignment="1">
      <x:alignment horizontal="left"/>
    </x:xf>
    <x:xf numFmtId="0" fontId="11" fillId="7" borderId="7" xfId="4" applyFont="1" applyFill="1" applyBorder="1"/>
    <x:xf numFmtId="0" fontId="4" fillId="7" borderId="7" xfId="4" applyFont="1" applyFill="1" applyBorder="1"/>
    <x:xf numFmtId="43" fontId="4" fillId="0" borderId="9" xfId="5" applyFont="1"/>
    <x:xf numFmtId="0" fontId="11" fillId="0" borderId="12" xfId="0" applyFont="1" applyBorder="1"/>
    <x:xf numFmtId="170" fontId="5" fillId="0" borderId="10" xfId="0" applyNumberFormat="1" applyFont="1" applyBorder="1"/>
    <x:xf numFmtId="168" fontId="11" fillId="0" borderId="10" xfId="0" applyNumberFormat="1" applyFont="1" applyBorder="1"/>
    <x:xf numFmtId="0" fontId="27" fillId="0" borderId="9" xfId="4" applyFont="1" applyAlignment="1">
      <x:alignment horizontal="center"/>
    </x:xf>
    <x:xf numFmtId="0" fontId="11" fillId="0" borderId="7" xfId="4" applyFont="1" applyBorder="1" applyAlignment="1">
      <x:alignment horizontal="left"/>
    </x:xf>
    <x:xf numFmtId="0" fontId="28" fillId="0" borderId="9" xfId="4" applyFont="1" applyAlignment="1">
      <x:alignment horizontal="left"/>
    </x:xf>
    <x:xf numFmtId="0" fontId="28" fillId="0" borderId="9" xfId="4" applyFont="1" applyAlignment="1">
      <x:alignment horizontal="right"/>
    </x:xf>
    <x:xf numFmtId="14" fontId="28" fillId="0" borderId="9" xfId="4" applyNumberFormat="1" applyFont="1" applyAlignment="1">
      <x:alignment horizontal="right"/>
    </x:xf>
    <x:xf numFmtId="0" fontId="2" fillId="0" borderId="9" xfId="6"/>
    <x:xf numFmtId="0" fontId="11" fillId="9" borderId="12" xfId="4" applyFont="1" applyFill="1" applyBorder="1"/>
    <x:xf numFmtId="0" fontId="11" fillId="9" borderId="12" xfId="4" applyFont="1" applyFill="1" applyBorder="1" applyAlignment="1">
      <x:alignment horizontal="right"/>
    </x:xf>
    <x:xf numFmtId="0" fontId="4" fillId="0" borderId="2" xfId="4" applyFont="1" applyBorder="1" applyAlignment="1">
      <x:alignment horizontal="center"/>
    </x:xf>
    <x:xf numFmtId="0" fontId="2" fillId="0" borderId="9" xfId="4" applyAlignment="1">
      <x:alignment horizontal="center"/>
    </x:xf>
    <x:xf numFmtId="0" fontId="3" fillId="0" borderId="1" xfId="6" applyFont="1" applyBorder="1"/>
    <x:xf numFmtId="0" fontId="4" fillId="0" borderId="1" xfId="6" applyFont="1" applyBorder="1"/>
    <x:xf numFmtId="0" fontId="5" fillId="0" borderId="2" xfId="6" applyFont="1" applyBorder="1" applyAlignment="1">
      <x:alignment horizontal="left"/>
    </x:xf>
    <x:xf numFmtId="0" fontId="4" fillId="0" borderId="2" xfId="6" applyFont="1" applyBorder="1"/>
    <x:xf numFmtId="0" fontId="5" fillId="0" borderId="9" xfId="6" applyFont="1" applyAlignment="1">
      <x:alignment horizontal="left"/>
    </x:xf>
    <x:xf numFmtId="0" fontId="4" fillId="0" borderId="9" xfId="6" applyFont="1" applyAlignment="1">
      <x:alignment horizontal="left"/>
    </x:xf>
    <x:xf numFmtId="0" fontId="2" fillId="0" borderId="9" xfId="6" applyAlignment="1">
      <x:alignment horizontal="left"/>
    </x:xf>
    <x:xf numFmtId="0" fontId="4" fillId="4" borderId="8" xfId="6" applyFont="1" applyFill="1" applyBorder="1" applyAlignment="1">
      <x:alignment horizontal="center" vertical="center"/>
    </x:xf>
    <x:xf numFmtId="15" fontId="2" fillId="0" borderId="9" xfId="6" applyNumberFormat="1"/>
    <x:xf numFmtId="0" fontId="9" fillId="2" borderId="9" xfId="6" applyFont="1" applyFill="1"/>
    <x:xf numFmtId="0" fontId="9" fillId="2" borderId="9" xfId="6" applyFont="1" applyFill="1" applyAlignment="1">
      <x:alignment horizontal="center"/>
    </x:xf>
    <x:xf numFmtId="166" fontId="9" fillId="2" borderId="4" xfId="6" applyNumberFormat="1" applyFont="1" applyFill="1" applyBorder="1" applyAlignment="1">
      <x:alignment horizontal="center"/>
    </x:xf>
    <x:xf numFmtId="166" fontId="9" fillId="2" borderId="5" xfId="6" applyNumberFormat="1" applyFont="1" applyFill="1" applyBorder="1" applyAlignment="1">
      <x:alignment horizontal="center"/>
    </x:xf>
    <x:xf numFmtId="0" fontId="5" fillId="0" borderId="9" xfId="6" applyFont="1"/>
    <x:xf numFmtId="37" fontId="4" fillId="0" borderId="10" xfId="6" applyNumberFormat="1" applyFont="1" applyBorder="1"/>
    <x:xf numFmtId="0" fontId="11" fillId="0" borderId="9" xfId="6" applyFont="1"/>
    <x:xf numFmtId="37" fontId="11" fillId="0" borderId="9" xfId="6" applyNumberFormat="1" applyFont="1"/>
    <x:xf numFmtId="0" fontId="11" fillId="0" borderId="7" xfId="6" applyFont="1" applyBorder="1"/>
    <x:xf numFmtId="165" fontId="4" fillId="0" borderId="9" xfId="6" applyNumberFormat="1" applyFont="1"/>
    <x:xf numFmtId="0" fontId="9" fillId="2" borderId="9" xfId="6" applyFont="1" applyFill="1" applyAlignment="1">
      <x:alignment horizontal="left"/>
    </x:xf>
    <x:xf numFmtId="170" fontId="9" fillId="2" borderId="9" xfId="6" applyNumberFormat="1" applyFont="1" applyFill="1" applyAlignment="1">
      <x:alignment horizontal="center"/>
    </x:xf>
    <x:xf numFmtId="170" fontId="9" fillId="2" borderId="4" xfId="6" applyNumberFormat="1" applyFont="1" applyFill="1" applyBorder="1" applyAlignment="1">
      <x:alignment horizontal="center"/>
    </x:xf>
    <x:xf numFmtId="166" fontId="9" fillId="2" borderId="9" xfId="6" applyNumberFormat="1" applyFont="1" applyFill="1" applyAlignment="1">
      <x:alignment horizontal="center"/>
    </x:xf>
    <x:xf numFmtId="15" fontId="9" fillId="2" borderId="4" xfId="6" applyNumberFormat="1" applyFont="1" applyFill="1" applyBorder="1" applyAlignment="1">
      <x:alignment horizontal="center"/>
    </x:xf>
    <x:xf numFmtId="14" fontId="4" fillId="0" borderId="9" xfId="6" applyNumberFormat="1" applyFont="1"/>
    <x:xf numFmtId="4" fontId="5" fillId="0" borderId="9" xfId="6" applyNumberFormat="1" applyFont="1"/>
    <x:xf numFmtId="39" fontId="5" fillId="0" borderId="9" xfId="6" applyNumberFormat="1" applyFont="1"/>
    <x:xf numFmtId="39" fontId="11" fillId="0" borderId="9" xfId="6" applyNumberFormat="1" applyFont="1"/>
    <x:xf numFmtId="164" fontId="4" fillId="0" borderId="9" xfId="6" applyNumberFormat="1" applyFont="1"/>
    <x:xf numFmtId="0" fontId="11" fillId="7" borderId="7" xfId="6" applyFont="1" applyFill="1" applyBorder="1"/>
    <x:xf numFmtId="0" fontId="4" fillId="7" borderId="7" xfId="6" applyFont="1" applyFill="1" applyBorder="1"/>
    <x:xf numFmtId="0" fontId="4" fillId="0" borderId="9" xfId="6" applyFont="1"/>
    <x:xf numFmtId="0" fontId="13" fillId="0" borderId="9" xfId="6" applyFont="1"/>
    <x:xf numFmtId="0" fontId="24" fillId="0" borderId="9" xfId="6" applyFont="1"/>
    <x:xf numFmtId="172" fontId="4" fillId="0" borderId="9" xfId="6" applyNumberFormat="1" applyFont="1"/>
    <x:xf numFmtId="0" fontId="13" fillId="0" borderId="9" xfId="6" applyFont="1" applyAlignment="1">
      <x:alignment horizontal="left"/>
    </x:xf>
    <x:xf numFmtId="0" fontId="13" fillId="0" borderId="7" xfId="6" applyFont="1" applyBorder="1" applyAlignment="1">
      <x:alignment horizontal="left"/>
    </x:xf>
    <x:xf numFmtId="0" fontId="24" fillId="0" borderId="7" xfId="6" applyFont="1" applyBorder="1"/>
    <x:xf numFmtId="0" fontId="4" fillId="0" borderId="7" xfId="6" applyFont="1" applyBorder="1"/>
    <x:xf numFmtId="0" fontId="11" fillId="7" borderId="9" xfId="6" applyFont="1" applyFill="1"/>
    <x:xf numFmtId="0" fontId="24" fillId="7" borderId="9" xfId="6" applyFont="1" applyFill="1"/>
    <x:xf numFmtId="165" fontId="11" fillId="0" borderId="9" xfId="6" applyNumberFormat="1" applyFont="1"/>
    <x:xf numFmtId="0" fontId="4" fillId="7" borderId="9" xfId="6" applyFont="1" applyFill="1"/>
    <x:xf numFmtId="0" fontId="21" fillId="0" borderId="9" xfId="6" applyFont="1"/>
    <x:xf numFmtId="0" fontId="11" fillId="7" borderId="11" xfId="6" applyFont="1" applyFill="1" applyBorder="1" applyAlignment="1">
      <x:alignment horizontal="left"/>
    </x:xf>
    <x:xf numFmtId="0" fontId="24" fillId="7" borderId="11" xfId="6" applyFont="1" applyFill="1" applyBorder="1"/>
    <x:xf numFmtId="0" fontId="4" fillId="7" borderId="11" xfId="6" applyFont="1" applyFill="1" applyBorder="1"/>
    <x:xf numFmtId="0" fontId="11" fillId="3" borderId="14" xfId="6" applyFont="1" applyFill="1" applyBorder="1"/>
    <x:xf numFmtId="0" fontId="11" fillId="3" borderId="11" xfId="6" applyFont="1" applyFill="1" applyBorder="1"/>
    <x:xf numFmtId="173" fontId="11" fillId="3" borderId="15" xfId="6" applyNumberFormat="1" applyFont="1" applyFill="1" applyBorder="1"/>
    <x:xf numFmtId="0" fontId="11" fillId="3" borderId="16" xfId="6" applyFont="1" applyFill="1" applyBorder="1"/>
    <x:xf numFmtId="0" fontId="11" fillId="3" borderId="7" xfId="6" applyFont="1" applyFill="1" applyBorder="1"/>
    <x:xf numFmtId="0" fontId="9" fillId="8" borderId="9" xfId="6" applyFont="1" applyFill="1" applyAlignment="1">
      <x:alignment horizontal="left"/>
    </x:xf>
    <x:xf numFmtId="173" fontId="26" fillId="2" borderId="14" xfId="6" applyNumberFormat="1" applyFont="1" applyFill="1" applyBorder="1"/>
    <x:xf numFmtId="37" fontId="11" fillId="6" borderId="7" xfId="6" applyNumberFormat="1" applyFont="1" applyFill="1" applyBorder="1"/>
    <x:xf numFmtId="0" fontId="2" fillId="6" borderId="9" xfId="6" applyFill="1"/>
    <x:xf numFmtId="37" fontId="4" fillId="6" borderId="10" xfId="6" applyNumberFormat="1" applyFont="1" applyFill="1" applyBorder="1"/>
    <x:xf numFmtId="37" fontId="11" fillId="6" borderId="9" xfId="6" applyNumberFormat="1" applyFont="1" applyFill="1"/>
    <x:xf numFmtId="37" fontId="11" fillId="6" borderId="10" xfId="6" applyNumberFormat="1" applyFont="1" applyFill="1" applyBorder="1"/>
    <x:xf numFmtId="37" fontId="11" fillId="6" borderId="6" xfId="6" applyNumberFormat="1" applyFont="1" applyFill="1" applyBorder="1"/>
    <x:xf numFmtId="0" fontId="2" fillId="0" borderId="9" xfId="6" applyAlignment="1">
      <x:alignment wrapText="1"/>
    </x:xf>
    <x:xf numFmtId="37" fontId="0" fillId="0" borderId="9" xfId="0" applyNumberFormat="1" applyBorder="1"/>
    <x:xf numFmtId="174" fontId="0" fillId="0" borderId="0" xfId="0" applyNumberFormat="1"/>
    <x:xf numFmtId="167" fontId="4" fillId="0" borderId="21" xfId="0" applyNumberFormat="1" applyFont="1" applyBorder="1"/>
    <x:xf numFmtId="175" fontId="22" fillId="0" borderId="9" xfId="0" applyNumberFormat="1" applyFont="1" applyBorder="1"/>
    <x:xf numFmtId="175" fontId="22" fillId="0" borderId="10" xfId="0" applyNumberFormat="1" applyFont="1" applyBorder="1"/>
    <x:xf numFmtId="175" fontId="4" fillId="0" borderId="0" xfId="0" applyNumberFormat="1" applyFont="1"/>
    <x:xf numFmtId="175" fontId="23" fillId="0" borderId="9" xfId="3" applyNumberFormat="1" applyFont="1" applyFill="1" applyBorder="1"/>
    <x:xf numFmtId="175" fontId="23" fillId="0" borderId="10" xfId="3" applyNumberFormat="1" applyFont="1" applyFill="1" applyBorder="1"/>
    <x:xf numFmtId="175" fontId="11" fillId="0" borderId="0" xfId="0" applyNumberFormat="1" applyFont="1"/>
    <x:xf numFmtId="175" fontId="23" fillId="0" borderId="9" xfId="0" applyNumberFormat="1" applyFont="1" applyBorder="1"/>
    <x:xf numFmtId="175" fontId="23" fillId="0" borderId="10" xfId="0" applyNumberFormat="1" applyFont="1" applyBorder="1"/>
    <x:xf numFmtId="175" fontId="0" fillId="0" borderId="0" xfId="0" applyNumberFormat="1"/>
    <x:xf numFmtId="174" fontId="4" fillId="6" borderId="9" xfId="0" applyNumberFormat="1" applyFont="1" applyFill="1" applyBorder="1"/>
    <x:xf numFmtId="174" fontId="13" fillId="0" borderId="9" xfId="0" applyNumberFormat="1" applyFont="1" applyBorder="1" applyAlignment="1">
      <x:alignment horizontal="right"/>
    </x:xf>
    <x:xf numFmtId="174" fontId="13" fillId="0" borderId="10" xfId="0" applyNumberFormat="1" applyFont="1" applyBorder="1" applyAlignment="1">
      <x:alignment horizontal="right"/>
    </x:xf>
    <x:xf numFmtId="174" fontId="13" fillId="0" borderId="7" xfId="0" applyNumberFormat="1" applyFont="1" applyBorder="1" applyAlignment="1">
      <x:alignment horizontal="right"/>
    </x:xf>
    <x:xf numFmtId="174" fontId="13" fillId="0" borderId="6" xfId="0" applyNumberFormat="1" applyFont="1" applyBorder="1" applyAlignment="1">
      <x:alignment horizontal="right"/>
    </x:xf>
    <x:xf numFmtId="175" fontId="4" fillId="0" borderId="9" xfId="0" applyNumberFormat="1" applyFont="1" applyBorder="1"/>
    <x:xf numFmtId="175" fontId="4" fillId="0" borderId="21" xfId="0" applyNumberFormat="1" applyFont="1" applyBorder="1"/>
    <x:xf numFmtId="175" fontId="11" fillId="0" borderId="7" xfId="0" applyNumberFormat="1" applyFont="1" applyBorder="1"/>
    <x:xf numFmtId="175" fontId="0" fillId="0" borderId="9" xfId="0" applyNumberFormat="1" applyBorder="1"/>
    <x:xf numFmtId="175" fontId="11" fillId="0" borderId="9" xfId="0" applyNumberFormat="1" applyFont="1" applyBorder="1"/>
    <x:xf numFmtId="175" fontId="11" fillId="0" borderId="21" xfId="0" applyNumberFormat="1" applyFont="1" applyBorder="1"/>
    <x:xf numFmtId="175" fontId="11" fillId="0" borderId="22" xfId="0" applyNumberFormat="1" applyFont="1" applyBorder="1"/>
    <x:xf numFmtId="175" fontId="20" fillId="0" borderId="9" xfId="3" applyNumberFormat="1" applyFont="1" applyFill="1" applyBorder="1"/>
    <x:xf numFmtId="175" fontId="20" fillId="0" borderId="21" xfId="3" applyNumberFormat="1" applyFont="1" applyFill="1" applyBorder="1"/>
    <x:xf numFmtId="175" fontId="18" fillId="0" borderId="9" xfId="0" applyNumberFormat="1" applyFont="1" applyBorder="1"/>
    <x:xf numFmtId="175" fontId="6" fillId="0" borderId="21" xfId="0" applyNumberFormat="1" applyFont="1" applyBorder="1"/>
    <x:xf numFmtId="175" fontId="19" fillId="0" borderId="0" xfId="0" applyNumberFormat="1" applyFont="1"/>
    <x:xf numFmtId="175" fontId="18" fillId="0" borderId="0" xfId="0" applyNumberFormat="1" applyFont="1"/>
    <x:xf numFmtId="175" fontId="11" fillId="0" borderId="12" xfId="0" applyNumberFormat="1" applyFont="1" applyBorder="1"/>
    <x:xf numFmtId="175" fontId="11" fillId="0" borderId="20" xfId="0" applyNumberFormat="1" applyFont="1" applyBorder="1"/>
    <x:xf numFmtId="175" fontId="4" fillId="6" borderId="0" xfId="0" applyNumberFormat="1" applyFont="1" applyFill="1"/>
    <x:xf numFmtId="175" fontId="4" fillId="0" borderId="10" xfId="0" applyNumberFormat="1" applyFont="1" applyBorder="1"/>
    <x:xf numFmtId="175" fontId="11" fillId="0" borderId="10" xfId="0" applyNumberFormat="1" applyFont="1" applyBorder="1"/>
    <x:xf numFmtId="174" fontId="0" fillId="6" borderId="0" xfId="0" applyNumberFormat="1" applyFill="1"/>
    <x:xf numFmtId="174" fontId="4" fillId="0" borderId="10" xfId="0" applyNumberFormat="1" applyFont="1" applyBorder="1"/>
    <x:xf numFmtId="174" fontId="4" fillId="0" borderId="0" xfId="0" applyNumberFormat="1" applyFont="1"/>
    <x:xf numFmtId="174" fontId="13" fillId="0" borderId="0" xfId="0" applyNumberFormat="1" applyFont="1"/>
    <x:xf numFmtId="174" fontId="13" fillId="0" borderId="10" xfId="0" applyNumberFormat="1" applyFont="1" applyBorder="1"/>
    <x:xf numFmtId="177" fontId="0" fillId="6" borderId="0" xfId="0" applyNumberFormat="1" applyFill="1"/>
    <x:xf numFmtId="177" fontId="4" fillId="0" borderId="0" xfId="0" applyNumberFormat="1" applyFont="1"/>
    <x:xf numFmtId="177" fontId="4" fillId="0" borderId="10" xfId="0" applyNumberFormat="1" applyFont="1" applyBorder="1"/>
    <x:xf numFmtId="175" fontId="11" fillId="0" borderId="6" xfId="0" applyNumberFormat="1" applyFont="1" applyBorder="1"/>
    <x:xf numFmtId="175" fontId="11" fillId="0" borderId="0" xfId="0" applyNumberFormat="1" applyFont="1" applyAlignment="1">
      <x:alignment horizontal="right"/>
    </x:xf>
    <x:xf numFmtId="175" fontId="11" fillId="0" borderId="13" xfId="0" applyNumberFormat="1" applyFont="1" applyBorder="1"/>
    <x:xf numFmtId="175" fontId="11" fillId="0" borderId="12" xfId="0" applyNumberFormat="1" applyFont="1" applyBorder="1" applyAlignment="1">
      <x:alignment horizontal="right"/>
    </x:xf>
    <x:xf numFmtId="175" fontId="0" fillId="6" borderId="0" xfId="0" applyNumberFormat="1" applyFill="1"/>
    <x:xf numFmtId="175" fontId="4" fillId="6" borderId="10" xfId="0" applyNumberFormat="1" applyFont="1" applyFill="1" applyBorder="1"/>
    <x:xf numFmtId="174" fontId="13" fillId="6" borderId="12" xfId="0" applyNumberFormat="1" applyFont="1" applyFill="1" applyBorder="1"/>
    <x:xf numFmtId="174" fontId="13" fillId="0" borderId="12" xfId="0" applyNumberFormat="1" applyFont="1" applyBorder="1"/>
    <x:xf numFmtId="174" fontId="13" fillId="0" borderId="13" xfId="0" applyNumberFormat="1" applyFont="1" applyBorder="1"/>
    <x:xf numFmtId="174" fontId="13" fillId="0" borderId="7" xfId="0" applyNumberFormat="1" applyFont="1" applyBorder="1"/>
    <x:xf numFmtId="175" fontId="11" fillId="6" borderId="0" xfId="0" applyNumberFormat="1" applyFont="1" applyFill="1"/>
    <x:xf numFmtId="175" fontId="11" fillId="6" borderId="7" xfId="0" applyNumberFormat="1" applyFont="1" applyFill="1" applyBorder="1"/>
    <x:xf numFmtId="174" fontId="4" fillId="0" borderId="21" xfId="0" applyNumberFormat="1" applyFont="1" applyBorder="1"/>
    <x:xf numFmtId="174" fontId="4" fillId="0" borderId="9" xfId="4" applyNumberFormat="1" applyFont="1"/>
    <x:xf numFmtId="174" fontId="13" fillId="0" borderId="9" xfId="4" applyNumberFormat="1" applyFont="1"/>
    <x:xf numFmtId="174" fontId="13" fillId="0" borderId="10" xfId="4" applyNumberFormat="1" applyFont="1" applyBorder="1"/>
    <x:xf numFmtId="174" fontId="13" fillId="0" borderId="7" xfId="4" applyNumberFormat="1" applyFont="1" applyBorder="1"/>
    <x:xf numFmtId="174" fontId="13" fillId="0" borderId="6" xfId="4" applyNumberFormat="1" applyFont="1" applyBorder="1"/>
    <x:xf numFmtId="175" fontId="4" fillId="0" borderId="9" xfId="4" applyNumberFormat="1" applyFont="1"/>
    <x:xf numFmtId="175" fontId="11" fillId="0" borderId="9" xfId="4" applyNumberFormat="1" applyFont="1"/>
    <x:xf numFmtId="174" fontId="21" fillId="0" borderId="9" xfId="4" applyNumberFormat="1" applyFont="1"/>
    <x:xf numFmtId="174" fontId="21" fillId="0" borderId="10" xfId="4" applyNumberFormat="1" applyFont="1" applyBorder="1"/>
    <x:xf numFmtId="174" fontId="4" fillId="6" borderId="9" xfId="4" applyNumberFormat="1" applyFont="1" applyFill="1"/>
    <x:xf numFmtId="174" fontId="4" fillId="6" borderId="7" xfId="4" applyNumberFormat="1" applyFont="1" applyFill="1" applyBorder="1"/>
    <x:xf numFmtId="174" fontId="21" fillId="0" borderId="7" xfId="4" applyNumberFormat="1" applyFont="1" applyBorder="1"/>
    <x:xf numFmtId="174" fontId="21" fillId="0" borderId="6" xfId="4" applyNumberFormat="1" applyFont="1" applyBorder="1"/>
    <x:xf numFmtId="175" fontId="32" fillId="0" borderId="9" xfId="4" applyNumberFormat="1" applyFont="1"/>
    <x:xf numFmtId="175" fontId="32" fillId="0" borderId="10" xfId="4" applyNumberFormat="1" applyFont="1" applyBorder="1"/>
    <x:xf numFmtId="174" fontId="30" fillId="3" borderId="9" xfId="4" applyNumberFormat="1" applyFont="1" applyFill="1"/>
    <x:xf numFmtId="174" fontId="30" fillId="3" borderId="7" xfId="4" applyNumberFormat="1" applyFont="1" applyFill="1" applyBorder="1"/>
    <x:xf numFmtId="171" fontId="30" fillId="3" borderId="9" xfId="4" applyNumberFormat="1" applyFont="1" applyFill="1"/>
    <x:xf numFmtId="177" fontId="30" fillId="3" borderId="7" xfId="4" applyNumberFormat="1" applyFont="1" applyFill="1" applyBorder="1"/>
    <x:xf numFmtId="174" fontId="31" fillId="0" borderId="0" xfId="0" applyNumberFormat="1" applyFont="1"/>
    <x:xf numFmtId="169" fontId="31" fillId="0" borderId="0" xfId="0" applyNumberFormat="1" applyFont="1"/>
    <x:xf numFmtId="177" fontId="31" fillId="0" borderId="0" xfId="0" applyNumberFormat="1" applyFont="1"/>
    <x:xf numFmtId="175" fontId="30" fillId="0" borderId="9" xfId="0" applyNumberFormat="1" applyFont="1" applyBorder="1"/>
    <x:xf numFmtId="175" fontId="30" fillId="0" borderId="10" xfId="0" applyNumberFormat="1" applyFont="1" applyBorder="1"/>
    <x:xf numFmtId="175" fontId="32" fillId="0" borderId="9" xfId="0" applyNumberFormat="1" applyFont="1" applyBorder="1"/>
    <x:xf numFmtId="175" fontId="32" fillId="0" borderId="10" xfId="0" applyNumberFormat="1" applyFont="1" applyBorder="1"/>
    <x:xf numFmtId="175" fontId="4" fillId="0" borderId="9" xfId="6" applyNumberFormat="1" applyFont="1"/>
    <x:xf numFmtId="175" fontId="4" fillId="0" borderId="10" xfId="6" applyNumberFormat="1" applyFont="1" applyBorder="1"/>
    <x:xf numFmtId="174" fontId="21" fillId="6" borderId="9" xfId="6" applyNumberFormat="1" applyFont="1" applyFill="1"/>
    <x:xf numFmtId="174" fontId="21" fillId="0" borderId="9" xfId="6" applyNumberFormat="1" applyFont="1"/>
    <x:xf numFmtId="174" fontId="21" fillId="0" borderId="10" xfId="6" applyNumberFormat="1" applyFont="1" applyBorder="1"/>
    <x:xf numFmtId="175" fontId="11" fillId="0" borderId="9" xfId="6" applyNumberFormat="1" applyFont="1"/>
    <x:xf numFmtId="175" fontId="11" fillId="0" borderId="10" xfId="6" applyNumberFormat="1" applyFont="1" applyBorder="1"/>
    <x:xf numFmtId="175" fontId="4" fillId="6" borderId="9" xfId="6" applyNumberFormat="1" applyFont="1" applyFill="1"/>
    <x:xf numFmtId="175" fontId="2" fillId="0" borderId="9" xfId="6" applyNumberFormat="1"/>
    <x:xf numFmtId="175" fontId="11" fillId="6" borderId="7" xfId="6" applyNumberFormat="1" applyFont="1" applyFill="1" applyBorder="1"/>
    <x:xf numFmtId="175" fontId="11" fillId="0" borderId="7" xfId="6" applyNumberFormat="1" applyFont="1" applyBorder="1"/>
    <x:xf numFmtId="175" fontId="11" fillId="0" borderId="6" xfId="6" applyNumberFormat="1" applyFont="1" applyBorder="1"/>
    <x:xf numFmtId="178" fontId="5" fillId="0" borderId="9" xfId="6" applyNumberFormat="1" applyFont="1"/>
    <x:xf numFmtId="174" fontId="13" fillId="0" borderId="9" xfId="6" applyNumberFormat="1" applyFont="1"/>
    <x:xf numFmtId="175" fontId="13" fillId="0" borderId="9" xfId="6" applyNumberFormat="1" applyFont="1"/>
    <x:xf numFmtId="175" fontId="13" fillId="0" borderId="7" xfId="6" applyNumberFormat="1" applyFont="1" applyBorder="1"/>
    <x:xf numFmtId="175" fontId="25" fillId="7" borderId="9" xfId="6" applyNumberFormat="1" applyFont="1" applyFill="1"/>
    <x:xf numFmtId="175" fontId="25" fillId="7" borderId="11" xfId="6" applyNumberFormat="1" applyFont="1" applyFill="1" applyBorder="1"/>
    <x:xf numFmtId="174" fontId="11" fillId="3" borderId="17" xfId="6" applyNumberFormat="1" applyFont="1" applyFill="1" applyBorder="1"/>
    <x:xf numFmtId="176" fontId="4" fillId="0" borderId="9" xfId="6" applyNumberFormat="1" applyFont="1"/>
    <x:xf numFmtId="174" fontId="9" fillId="2" borderId="19" xfId="6" applyNumberFormat="1" applyFont="1" applyFill="1" applyBorder="1"/>
    <x:xf numFmtId="174" fontId="9" fillId="2" borderId="18" xfId="6" applyNumberFormat="1" applyFont="1" applyFill="1" applyBorder="1"/>
    <x:xf numFmtId="176" fontId="9" fillId="2" borderId="18" xfId="6" applyNumberFormat="1" applyFont="1" applyFill="1" applyBorder="1"/>
    <x:xf numFmtId="178" fontId="4" fillId="0" borderId="9" xfId="6" applyNumberFormat="1" applyFont="1"/>
    <x:xf numFmtId="175" fontId="30" fillId="0" borderId="9" xfId="6" applyNumberFormat="1" applyFont="1"/>
    <x:xf numFmtId="175" fontId="31" fillId="0" borderId="9" xfId="6" applyNumberFormat="1" applyFont="1"/>
    <x:xf numFmtId="175" fontId="31" fillId="0" borderId="10" xfId="6" applyNumberFormat="1" applyFont="1" applyBorder="1"/>
    <x:xf numFmtId="174" fontId="13" fillId="5" borderId="9" xfId="6" applyNumberFormat="1" applyFont="1" applyFill="1" applyAlignment="1">
      <x:alignment horizontal="center"/>
    </x:xf>
    <x:xf numFmtId="164" fontId="33" fillId="0" borderId="9" xfId="6" applyNumberFormat="1" applyFont="1" applyAlignment="1">
      <x:alignment horizontal="right"/>
    </x:xf>
    <x:xf numFmtId="164" fontId="33" fillId="0" borderId="9" xfId="4" applyNumberFormat="1" applyFont="1" applyAlignment="1">
      <x:alignment horizontal="right"/>
    </x:xf>
    <x:xf numFmtId="174" fontId="34" fillId="0" borderId="9" xfId="6" applyNumberFormat="1" applyFont="1"/>
    <x:xf numFmtId="174" fontId="34" fillId="0" borderId="10" xfId="6" applyNumberFormat="1" applyFont="1" applyBorder="1"/>
    <x:xf numFmtId="176" fontId="30" fillId="3" borderId="8" xfId="6" applyNumberFormat="1" applyFont="1" applyFill="1" applyBorder="1" applyAlignment="1">
      <x:alignment horizontal="center"/>
    </x:xf>
    <x:xf numFmtId="174" fontId="30" fillId="3" borderId="8" xfId="6" applyNumberFormat="1" applyFont="1" applyFill="1" applyBorder="1" applyAlignment="1">
      <x:alignment horizontal="center"/>
    </x:xf>
    <x:xf numFmtId="14" fontId="30" fillId="0" borderId="9" xfId="4" applyNumberFormat="1" applyFont="1"/>
    <x:xf numFmtId="178" fontId="30" fillId="0" borderId="9" xfId="4" applyNumberFormat="1" applyFont="1"/>
    <x:xf numFmtId="179" fontId="4" fillId="0" borderId="9" xfId="4" applyNumberFormat="1" applyFont="1"/>
    <x:xf numFmtId="178" fontId="11" fillId="9" borderId="12" xfId="4" applyNumberFormat="1" applyFont="1" applyFill="1" applyBorder="1"/>
    <x:xf numFmtId="175" fontId="31" fillId="0" borderId="9" xfId="4" applyNumberFormat="1" applyFont="1"/>
    <x:xf numFmtId="175" fontId="2" fillId="0" borderId="9" xfId="4" applyNumberFormat="1"/>
    <x:xf numFmtId="179" fontId="4" fillId="0" borderId="9" xfId="4" applyNumberFormat="1" applyFont="1" applyAlignment="1">
      <x:alignment horizontal="right"/>
    </x:xf>
    <x:xf numFmtId="179" fontId="13" fillId="0" borderId="9" xfId="4" applyNumberFormat="1" applyFont="1" applyAlignment="1">
      <x:alignment horizontal="right"/>
    </x:xf>
    <x:xf numFmtId="179" fontId="11" fillId="0" borderId="7" xfId="4" applyNumberFormat="1" applyFont="1" applyBorder="1" applyAlignment="1">
      <x:alignment horizontal="right"/>
    </x:xf>
    <x:xf numFmtId="178" fontId="13" fillId="0" borderId="9" xfId="4" applyNumberFormat="1" applyFont="1"/>
    <x:xf numFmtId="10" fontId="4" fillId="6" borderId="9" xfId="4" applyNumberFormat="1" applyFont="1" applyFill="1"/>
    <x:xf numFmtId="174" fontId="30" fillId="3" borderId="9" xfId="2" applyNumberFormat="1" applyFont="1" applyFill="1" applyBorder="1"/>
    <x:xf numFmtId="174" fontId="30" fillId="3" borderId="9" xfId="0" applyNumberFormat="1" applyFont="1" applyFill="1" applyBorder="1"/>
    <x:xf numFmtId="174" fontId="30" fillId="3" borderId="10" xfId="0" applyNumberFormat="1" applyFont="1" applyFill="1" applyBorder="1"/>
    <x:xf numFmtId="175" fontId="30" fillId="0" borderId="0" xfId="0" applyNumberFormat="1" applyFont="1"/>
    <x:xf numFmtId="175" fontId="32" fillId="0" borderId="12" xfId="0" applyNumberFormat="1" applyFont="1" applyBorder="1"/>
    <x:xf numFmtId="175" fontId="32" fillId="0" borderId="13" xfId="0" applyNumberFormat="1" applyFont="1" applyBorder="1"/>
    <x:xf numFmtId="0" fontId="25" fillId="0" borderId="9" xfId="4" applyFont="1"/>
    <x:xf numFmtId="175" fontId="25" fillId="0" borderId="9" xfId="4" applyNumberFormat="1" applyFont="1"/>
    <x:xf numFmtId="175" fontId="25" fillId="0" borderId="10" xfId="4" applyNumberFormat="1" applyFont="1" applyBorder="1"/>
    <x:xf numFmtId="0" fontId="21" fillId="0" borderId="7" xfId="4" applyFont="1" applyBorder="1" applyAlignment="1">
      <x:alignment horizontal="left"/>
    </x:xf>
    <x:xf numFmtId="174" fontId="2" fillId="6" borderId="9" xfId="4" applyNumberFormat="1" applyFill="1"/>
    <x:xf numFmtId="0" fontId="13" fillId="6" borderId="7" xfId="4" applyFont="1" applyFill="1" applyBorder="1"/>
    <x:xf numFmtId="0" fontId="5" fillId="0" borderId="12" xfId="4" applyFont="1" applyBorder="1" applyAlignment="1">
      <x:alignment horizontal="left"/>
    </x:xf>
    <x:xf numFmtId="174" fontId="2" fillId="6" borderId="12" xfId="4" applyNumberFormat="1" applyFill="1" applyBorder="1"/>
    <x:xf numFmtId="174" fontId="21" fillId="0" borderId="12" xfId="4" applyNumberFormat="1" applyFont="1" applyBorder="1"/>
    <x:xf numFmtId="174" fontId="21" fillId="0" borderId="13" xfId="4" applyNumberFormat="1" applyFont="1" applyBorder="1"/>
    <x:xf numFmtId="0" fontId="13" fillId="0" borderId="9" xfId="4" applyFont="1" applyAlignment="1">
      <x:alignment horizontal="left"/>
    </x:xf>
    <x:xf numFmtId="0" fontId="25" fillId="0" borderId="9" xfId="4" applyFont="1" applyAlignment="1">
      <x:alignment horizontal="left"/>
    </x:xf>
    <x:xf numFmtId="179" fontId="30" fillId="10" borderId="23" xfId="4" applyNumberFormat="1" applyFont="1" applyFill="1" applyBorder="1" applyAlignment="1">
      <x:alignment horizontal="right"/>
    </x:xf>
    <x:xf numFmtId="175" fontId="13" fillId="0" borderId="9" xfId="4" applyNumberFormat="1" applyFont="1" applyAlignment="1">
      <x:alignment horizontal="right"/>
    </x:xf>
    <x:xf numFmtId="179" fontId="31" fillId="0" borderId="9" xfId="6" applyNumberFormat="1" applyFont="1" applyAlignment="1">
      <x:alignment horizontal="right"/>
    </x:xf>
    <x:xf numFmtId="175" fontId="31" fillId="0" borderId="9" xfId="4" applyNumberFormat="1" applyFont="1" applyAlignment="1">
      <x:alignment horizontal="right"/>
    </x:xf>
    <x:xf numFmtId="174" fontId="31" fillId="0" borderId="9" xfId="4" applyNumberFormat="1" applyFont="1" applyAlignment="1">
      <x:alignment horizontal="right"/>
    </x:xf>
    <x:xf numFmtId="174" fontId="31" fillId="0" borderId="10" xfId="4" applyNumberFormat="1" applyFont="1" applyBorder="1" applyAlignment="1">
      <x:alignment horizontal="right"/>
    </x:xf>
    <x:xf numFmtId="171" fontId="31" fillId="0" borderId="9" xfId="4" applyNumberFormat="1" applyFont="1" applyAlignment="1">
      <x:alignment horizontal="right"/>
    </x:xf>
    <x:xf numFmtId="171" fontId="31" fillId="0" borderId="10" xfId="4" applyNumberFormat="1" applyFont="1" applyBorder="1" applyAlignment="1">
      <x:alignment horizontal="right"/>
    </x:xf>
    <x:xf numFmtId="177" fontId="31" fillId="6" borderId="7" xfId="4" applyNumberFormat="1" applyFont="1" applyFill="1" applyBorder="1" applyAlignment="1">
      <x:alignment horizontal="right"/>
    </x:xf>
    <x:xf numFmtId="177" fontId="31" fillId="0" borderId="7" xfId="4" applyNumberFormat="1" applyFont="1" applyBorder="1" applyAlignment="1">
      <x:alignment horizontal="right"/>
    </x:xf>
    <x:xf numFmtId="177" fontId="31" fillId="0" borderId="6" xfId="4" applyNumberFormat="1" applyFont="1" applyBorder="1" applyAlignment="1">
      <x:alignment horizontal="right"/>
    </x:xf>
    <x:xf numFmtId="164" fontId="29" fillId="0" borderId="9" xfId="4" applyNumberFormat="1" applyFont="1" applyAlignment="1">
      <x:alignment horizontal="right"/>
    </x:xf>
    <x:xf numFmtId="175" fontId="0" fillId="0" borderId="21" xfId="0" applyNumberFormat="1" applyBorder="1"/>
    <x:xf numFmtId="175" fontId="13" fillId="0" borderId="0" xfId="0" applyNumberFormat="1" applyFont="1"/>
    <x:xf numFmtId="175" fontId="30" fillId="0" borderId="9" xfId="4" applyNumberFormat="1" applyFont="1"/>
    <x:xf numFmtId="175" fontId="30" fillId="0" borderId="10" xfId="4" applyNumberFormat="1" applyFont="1" applyBorder="1"/>
    <x:xf numFmtId="0" fontId="4" fillId="0" borderId="9" xfId="0" applyFont="1" applyBorder="1" applyAlignment="1">
      <x:alignment horizontal="left"/>
    </x:xf>
    <x:xf numFmtId="174" fontId="13" fillId="0" borderId="9" xfId="0" applyNumberFormat="1" applyFont="1" applyBorder="1"/>
    <x:xf numFmtId="0" fontId="4" fillId="0" borderId="7" xfId="0" applyFont="1" applyBorder="1" applyAlignment="1">
      <x:alignment horizontal="left"/>
    </x:xf>
    <x:xf numFmtId="0" fontId="11" fillId="0" borderId="7" xfId="0" applyFont="1" applyBorder="1"/>
    <x:xf numFmtId="175" fontId="13" fillId="0" borderId="10" xfId="6" applyNumberFormat="1" applyFont="1" applyBorder="1"/>
    <x:xf numFmtId="175" fontId="30" fillId="0" borderId="21" xfId="0" applyNumberFormat="1" applyFont="1" applyBorder="1"/>
    <x:xf numFmtId="174" fontId="13" fillId="0" borderId="21" xfId="0" applyNumberFormat="1" applyFont="1" applyBorder="1"/>
    <x:xf numFmtId="174" fontId="4" fillId="6" borderId="0" xfId="0" applyNumberFormat="1" applyFont="1" applyFill="1"/>
    <x:xf numFmtId="174" fontId="4" fillId="6" borderId="21" xfId="0" applyNumberFormat="1" applyFont="1" applyFill="1" applyBorder="1"/>
    <x:xf numFmtId="175" fontId="4" fillId="6" borderId="21" xfId="0" applyNumberFormat="1" applyFont="1" applyFill="1" applyBorder="1"/>
    <x:xf numFmtId="0" fontId="22" fillId="0" borderId="0" xfId="0" applyFont="1"/>
    <x:xf numFmtId="0" fontId="1" fillId="0" borderId="0" xfId="0" applyFont="1"/>
    <x:xf numFmtId="0" fontId="1" fillId="0" borderId="9" xfId="4" applyFont="1" applyAlignment="1">
      <x:alignment horizontal="left"/>
    </x:xf>
    <x:xf numFmtId="0" fontId="1" fillId="0" borderId="9" xfId="4" applyFont="1" applyAlignment="1">
      <x:alignment horizontal="right"/>
    </x:xf>
    <x:xf numFmtId="0" fontId="1" fillId="0" borderId="12" xfId="0" applyFont="1" applyBorder="1"/>
    <x:xf numFmtId="0" fontId="1" fillId="0" borderId="0" xfId="0" applyFont="1" applyAlignment="1">
      <x:alignment wrapText="1"/>
    </x:xf>
    <x:xf numFmtId="0" fontId="1" fillId="0" borderId="9" xfId="0" applyFont="1" applyBorder="1"/>
    <x:xf numFmtId="0" fontId="1" fillId="0" borderId="9" xfId="6" applyFont="1" applyAlignment="1">
      <x:alignment horizontal="right"/>
    </x:xf>
    <x:xf numFmtId="0" fontId="1" fillId="0" borderId="9" xfId="6" applyFont="1"/>
    <x:xf numFmtId="0" fontId="1" fillId="0" borderId="9" xfId="4" applyFont="1"/>
    <x:xf numFmtId="175" fontId="4" fillId="0" borderId="12" xfId="0" applyNumberFormat="1" applyFont="1" applyBorder="1"/>
    <x:xf numFmtId="175" fontId="4" fillId="0" borderId="20" xfId="0" applyNumberFormat="1" applyFont="1" applyBorder="1"/>
    <x:xf numFmtId="0" fontId="9" fillId="2" borderId="9" xfId="4" applyFont="1" applyFill="1" applyAlignment="1">
      <x:alignment horizontal="center"/>
    </x:xf>
    <x:xf numFmtId="0" fontId="10" fillId="0" borderId="9" xfId="4" applyFont="1"/>
    <x:xf numFmtId="0" fontId="10" fillId="0" borderId="3" xfId="4" applyFont="1" applyBorder="1"/>
    <x:xf numFmtId="0" fontId="9" fillId="2" borderId="9" xfId="0" applyFont="1" applyFill="1" applyBorder="1" applyAlignment="1">
      <x:alignment horizontal="center"/>
    </x:xf>
    <x:xf numFmtId="0" fontId="10" fillId="0" borderId="9" xfId="0" applyFont="1" applyBorder="1"/>
    <x:xf numFmtId="0" fontId="10" fillId="0" borderId="3" xfId="0" applyFont="1" applyBorder="1"/>
    <x:xf numFmtId="0" fontId="1" fillId="0" borderId="0" xfId="0" applyFont="1" applyAlignment="1">
      <x:alignment horizontal="left" vertical="center" wrapText="1"/>
    </x:xf>
    <x:xf numFmtId="0" fontId="1" fillId="0" borderId="0" xfId="0" applyFont="1" applyAlignment="1">
      <x:alignment horizontal="center" vertical="center" wrapText="1"/>
    </x:xf>
    <x:xf numFmtId="0" fontId="1" fillId="0" borderId="9" xfId="6" applyFont="1" applyAlignment="1">
      <x:alignment horizontal="center" vertical="center" wrapText="1"/>
    </x:xf>
    <x:xf numFmtId="0" fontId="9" fillId="8" borderId="9" xfId="6" applyFont="1" applyFill="1" applyAlignment="1">
      <x:alignment horizontal="center"/>
    </x:xf>
    <x:xf numFmtId="0" fontId="10" fillId="0" borderId="9" xfId="6" applyFont="1"/>
    <x:xf numFmtId="0" fontId="9" fillId="8" borderId="9" xfId="6" applyFont="1" applyFill="1" applyAlignment="1">
      <x:alignment horizontal="center" vertical="center" wrapText="1"/>
    </x:xf>
    <x:xf numFmtId="0" fontId="9" fillId="2" borderId="9" xfId="6" applyFont="1" applyFill="1" applyAlignment="1">
      <x:alignment horizontal="center"/>
    </x:xf>
    <x:xf numFmtId="0" fontId="10" fillId="0" borderId="3" xfId="6" applyFont="1" applyBorder="1"/>
    <x:xf numFmtId="0" fontId="3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5" fillId="0" borderId="27" xfId="0" applyNumberFormat="1" applyFont="1" applyFill="1" applyBorder="1" applyAlignment="1">
      <x:alignment horizontal="left"/>
    </x:xf>
    <x:xf numFmtId="0" fontId="0" fillId="0" borderId="2" xfId="0" applyNumberFormat="1" applyFont="1" applyFill="1" applyBorder="1"/>
    <x:xf numFmtId="0" fontId="0" fillId="0" borderId="28" xfId="0" applyNumberFormat="1" applyFont="1" applyFill="1" applyBorder="1"/>
    <x:xf numFmtId="0" fontId="5" fillId="0" borderId="29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/>
    <x:xf numFmtId="0" fontId="0" fillId="0" borderId="30" xfId="0" applyNumberFormat="1" applyFont="1" applyFill="1" applyBorder="1"/>
    <x:xf numFmtId="0" fontId="0" fillId="0" borderId="29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right"/>
    </x:xf>
    <x:xf numFmtId="14" fontId="0" fillId="0" borderId="0" xfId="0" applyNumberFormat="1" applyFont="1" applyFill="1" applyBorder="1" applyAlignment="1">
      <x:alignment horizontal="right"/>
    </x:xf>
    <x:xf numFmtId="37" fontId="6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 applyAlignment="1">
      <x:alignment horizontal="left"/>
    </x:xf>
    <x:xf numFmtId="164" fontId="29" fillId="0" borderId="0" xfId="0" applyNumberFormat="1" applyFont="1" applyFill="1" applyBorder="1" applyAlignment="1">
      <x:alignment horizontal="right"/>
    </x:xf>
    <x:xf numFmtId="0" fontId="0" fillId="0" borderId="29" xfId="0" applyNumberFormat="1" applyFont="1" applyFill="1" applyBorder="1"/>
    <x:xf numFmtId="0" fontId="9" fillId="2" borderId="29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/>
    <x:xf numFmtId="0" fontId="10" fillId="0" borderId="3" xfId="0" applyNumberFormat="1" applyFont="1" applyFill="1" applyBorder="1"/>
    <x:xf numFmtId="0" fontId="10" fillId="0" borderId="30" xfId="0" applyNumberFormat="1" applyFont="1" applyFill="1" applyBorder="1"/>
    <x:xf numFmtId="166" fontId="9" fillId="2" borderId="31" xfId="0" applyNumberFormat="1" applyFont="1" applyFill="1" applyBorder="1" applyAlignment="1">
      <x:alignment horizontal="center"/>
    </x:xf>
    <x:xf numFmtId="0" fontId="25" fillId="0" borderId="29" xfId="0" applyNumberFormat="1" applyFont="1" applyFill="1" applyBorder="1"/>
    <x:xf numFmtId="175" fontId="25" fillId="0" borderId="0" xfId="0" applyNumberFormat="1" applyFont="1" applyFill="1" applyBorder="1"/>
    <x:xf numFmtId="175" fontId="25" fillId="0" borderId="10" xfId="0" applyNumberFormat="1" applyFont="1" applyFill="1" applyBorder="1"/>
    <x:xf numFmtId="175" fontId="25" fillId="0" borderId="30" xfId="0" applyNumberFormat="1" applyFont="1" applyFill="1" applyBorder="1"/>
    <x:xf numFmtId="0" fontId="21" fillId="0" borderId="32" xfId="0" applyNumberFormat="1" applyFont="1" applyFill="1" applyBorder="1" applyAlignment="1">
      <x:alignment horizontal="left"/>
    </x:xf>
    <x:xf numFmtId="0" fontId="13" fillId="6" borderId="33" xfId="0" applyNumberFormat="1" applyFont="1" applyFill="1" applyBorder="1"/>
    <x:xf numFmtId="174" fontId="21" fillId="0" borderId="33" xfId="0" applyNumberFormat="1" applyFont="1" applyFill="1" applyBorder="1"/>
    <x:xf numFmtId="174" fontId="21" fillId="0" borderId="34" xfId="0" applyNumberFormat="1" applyFont="1" applyFill="1" applyBorder="1"/>
    <x:xf numFmtId="174" fontId="21" fillId="0" borderId="35" xfId="0" applyNumberFormat="1" applyFont="1" applyFill="1" applyBorder="1"/>
    <x:xf numFmtId="166" fontId="9" fillId="2" borderId="36" xfId="0" applyNumberFormat="1" applyFont="1" applyFill="1" applyBorder="1" applyAlignment="1">
      <x:alignment horizontal="center"/>
    </x:xf>
    <x:xf numFmtId="175" fontId="25" fillId="0" borderId="37" xfId="0" applyNumberFormat="1" applyFont="1" applyFill="1" applyBorder="1"/>
    <x:xf numFmtId="174" fontId="21" fillId="0" borderId="37" xfId="0" applyNumberFormat="1" applyFont="1" applyFill="1" applyBorder="1"/>
    <x:xf numFmtId="166" fontId="9" fillId="2" borderId="38" xfId="0" applyNumberFormat="1" applyFont="1" applyFill="1" applyBorder="1" applyAlignment="1">
      <x:alignment horizontal="center"/>
    </x:xf>
    <x:xf numFmtId="175" fontId="25" fillId="0" borderId="39" xfId="0" applyNumberFormat="1" applyFont="1" applyFill="1" applyBorder="1"/>
    <x:xf numFmtId="174" fontId="21" fillId="0" borderId="39" xfId="0" applyNumberFormat="1" applyFont="1" applyFill="1" applyBorder="1"/>
    <x:xf numFmtId="0" fontId="9" fillId="2" borderId="24" xfId="0" applyNumberFormat="1" applyFont="1" applyFill="1" applyBorder="1"/>
    <x:xf numFmtId="0" fontId="9" fillId="2" borderId="25" xfId="0" applyNumberFormat="1" applyFont="1" applyFill="1" applyBorder="1" applyAlignment="1">
      <x:alignment horizontal="center"/>
    </x:xf>
    <x:xf numFmtId="0" fontId="10" fillId="0" borderId="25" xfId="0" applyNumberFormat="1" applyFont="1" applyFill="1" applyBorder="1"/>
    <x:xf numFmtId="0" fontId="10" fillId="0" borderId="40" xfId="0" applyNumberFormat="1" applyFont="1" applyFill="1" applyBorder="1"/>
    <x:xf numFmtId="0" fontId="10" fillId="0" borderId="26" xfId="0" applyNumberFormat="1" applyFont="1" applyFill="1" applyBorder="1"/>
    <x:xf numFmtId="0" fontId="11" fillId="0" borderId="29" xfId="0" applyNumberFormat="1" applyFont="1" applyFill="1" applyBorder="1"/>
    <x:xf numFmtId="0" fontId="0" fillId="0" borderId="10" xfId="0" applyNumberFormat="1" applyFont="1" applyFill="1" applyBorder="1"/>
    <x:xf numFmtId="0" fontId="13" fillId="0" borderId="29" xfId="0" applyNumberFormat="1" applyFont="1" applyFill="1" applyBorder="1" applyAlignment="1">
      <x:alignment horizontal="left"/>
    </x:xf>
    <x:xf numFmtId="175" fontId="29" fillId="0" borderId="0" xfId="0" applyNumberFormat="1" applyFont="1" applyFill="1" applyBorder="1"/>
    <x:xf numFmtId="175" fontId="29" fillId="0" borderId="10" xfId="0" applyNumberFormat="1" applyFont="1" applyFill="1" applyBorder="1"/>
    <x:xf numFmtId="175" fontId="0" fillId="0" borderId="0" xfId="0" applyNumberFormat="1" applyFont="1" applyFill="1" applyBorder="1"/>
    <x:xf numFmtId="175" fontId="0" fillId="0" borderId="30" xfId="0" applyNumberFormat="1" applyFont="1" applyFill="1" applyBorder="1"/>
    <x:xf numFmtId="175" fontId="11" fillId="0" borderId="0" xfId="0" applyNumberFormat="1" applyFont="1" applyFill="1" applyBorder="1"/>
    <x:xf numFmtId="175" fontId="11" fillId="0" borderId="30" xfId="0" applyNumberFormat="1" applyFont="1" applyFill="1" applyBorder="1"/>
    <x:xf numFmtId="174" fontId="0" fillId="6" borderId="0" xfId="0" applyNumberFormat="1" applyFont="1" applyFill="1" applyBorder="1"/>
    <x:xf numFmtId="174" fontId="21" fillId="0" borderId="0" xfId="0" applyNumberFormat="1" applyFont="1" applyFill="1" applyBorder="1"/>
    <x:xf numFmtId="174" fontId="21" fillId="0" borderId="10" xfId="0" applyNumberFormat="1" applyFont="1" applyFill="1" applyBorder="1"/>
    <x:xf numFmtId="174" fontId="21" fillId="0" borderId="30" xfId="0" applyNumberFormat="1" applyFont="1" applyFill="1" applyBorder="1"/>
    <x:xf numFmtId="167" fontId="21" fillId="0" borderId="0" xfId="0" applyNumberFormat="1" applyFont="1" applyFill="1" applyBorder="1"/>
    <x:xf numFmtId="167" fontId="21" fillId="0" borderId="10" xfId="0" applyNumberFormat="1" applyFont="1" applyFill="1" applyBorder="1"/>
    <x:xf numFmtId="167" fontId="21" fillId="0" borderId="30" xfId="0" applyNumberFormat="1" applyFont="1" applyFill="1" applyBorder="1"/>
    <x:xf numFmtId="174" fontId="13" fillId="0" borderId="0" xfId="0" applyNumberFormat="1" applyFont="1" applyFill="1" applyBorder="1"/>
    <x:xf numFmtId="174" fontId="13" fillId="0" borderId="10" xfId="0" applyNumberFormat="1" applyFont="1" applyFill="1" applyBorder="1"/>
    <x:xf numFmtId="174" fontId="0" fillId="0" borderId="0" xfId="0" applyNumberFormat="1" applyFont="1" applyFill="1" applyBorder="1"/>
    <x:xf numFmtId="174" fontId="0" fillId="0" borderId="30" xfId="0" applyNumberFormat="1" applyFont="1" applyFill="1" applyBorder="1"/>
    <x:xf numFmtId="0" fontId="25" fillId="0" borderId="29" xfId="0" applyNumberFormat="1" applyFont="1" applyFill="1" applyBorder="1" applyAlignment="1">
      <x:alignment horizontal="left"/>
    </x:xf>
    <x:xf numFmtId="175" fontId="32" fillId="0" borderId="0" xfId="0" applyNumberFormat="1" applyFont="1" applyFill="1" applyBorder="1"/>
    <x:xf numFmtId="175" fontId="32" fillId="0" borderId="10" xfId="0" applyNumberFormat="1" applyFont="1" applyFill="1" applyBorder="1"/>
    <x:xf numFmtId="0" fontId="5" fillId="0" borderId="32" xfId="0" applyNumberFormat="1" applyFont="1" applyFill="1" applyBorder="1" applyAlignment="1">
      <x:alignment horizontal="left"/>
    </x:xf>
    <x:xf numFmtId="174" fontId="0" fillId="6" borderId="33" xfId="0" applyNumberFormat="1" applyFont="1" applyFill="1" applyBorder="1"/>
    <x:xf numFmtId="175" fontId="29" fillId="0" borderId="37" xfId="0" applyNumberFormat="1" applyFont="1" applyFill="1" applyBorder="1"/>
    <x:xf numFmtId="174" fontId="13" fillId="0" borderId="37" xfId="0" applyNumberFormat="1" applyFont="1" applyFill="1" applyBorder="1"/>
    <x:xf numFmtId="175" fontId="32" fillId="0" borderId="37" xfId="0" applyNumberFormat="1" applyFont="1" applyFill="1" applyBorder="1"/>
    <x:xf numFmtId="175" fontId="0" fillId="0" borderId="39" xfId="0" applyNumberFormat="1" applyFont="1" applyFill="1" applyBorder="1"/>
    <x:xf numFmtId="175" fontId="11" fillId="0" borderId="39" xfId="0" applyNumberFormat="1" applyFont="1" applyFill="1" applyBorder="1"/>
    <x:xf numFmtId="174" fontId="0" fillId="0" borderId="39" xfId="0" applyNumberFormat="1" applyFont="1" applyFill="1" applyBorder="1"/>
    <x:xf numFmtId="0" fontId="3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9" fillId="2" borderId="29" xfId="0" applyNumberFormat="1" applyFont="1" applyFill="1" applyBorder="1" applyAlignment="1">
      <x:alignment vertical="top"/>
    </x:xf>
    <x:xf numFmtId="174" fontId="29" fillId="3" borderId="0" xfId="0" applyNumberFormat="1" applyFont="1" applyFill="1" applyBorder="1"/>
    <x:xf numFmtId="174" fontId="29" fillId="3" borderId="30" xfId="0" applyNumberFormat="1" applyFont="1" applyFill="1" applyBorder="1"/>
    <x:xf numFmtId="0" fontId="0" fillId="0" borderId="44" xfId="0" applyNumberFormat="1" applyFont="1" applyFill="1" applyBorder="1" applyAlignment="1">
      <x:alignment horizontal="left"/>
    </x:xf>
    <x:xf numFmtId="174" fontId="0" fillId="6" borderId="7" xfId="0" applyNumberFormat="1" applyFont="1" applyFill="1" applyBorder="1"/>
    <x:xf numFmtId="174" fontId="13" fillId="0" borderId="7" xfId="0" applyNumberFormat="1" applyFont="1" applyFill="1" applyBorder="1"/>
    <x:xf numFmtId="174" fontId="13" fillId="0" borderId="6" xfId="0" applyNumberFormat="1" applyFont="1" applyFill="1" applyBorder="1"/>
    <x:xf numFmtId="174" fontId="29" fillId="3" borderId="7" xfId="0" applyNumberFormat="1" applyFont="1" applyFill="1" applyBorder="1"/>
    <x:xf numFmtId="174" fontId="29" fillId="3" borderId="45" xfId="0" applyNumberFormat="1" applyFont="1" applyFill="1" applyBorder="1"/>
    <x:xf numFmtId="174" fontId="31" fillId="0" borderId="0" xfId="0" applyNumberFormat="1" applyFont="1" applyFill="1" applyBorder="1" applyAlignment="1">
      <x:alignment horizontal="right"/>
    </x:xf>
    <x:xf numFmtId="174" fontId="31" fillId="0" borderId="10" xfId="0" applyNumberFormat="1" applyFont="1" applyFill="1" applyBorder="1" applyAlignment="1">
      <x:alignment horizontal="right"/>
    </x:xf>
    <x:xf numFmtId="171" fontId="31" fillId="0" borderId="0" xfId="0" applyNumberFormat="1" applyFont="1" applyFill="1" applyBorder="1" applyAlignment="1">
      <x:alignment horizontal="right"/>
    </x:xf>
    <x:xf numFmtId="171" fontId="31" fillId="0" borderId="10" xfId="0" applyNumberFormat="1" applyFont="1" applyFill="1" applyBorder="1" applyAlignment="1">
      <x:alignment horizontal="right"/>
    </x:xf>
    <x:xf numFmtId="171" fontId="29" fillId="3" borderId="0" xfId="0" applyNumberFormat="1" applyFont="1" applyFill="1" applyBorder="1"/>
    <x:xf numFmtId="171" fontId="29" fillId="3" borderId="30" xfId="0" applyNumberFormat="1" applyFont="1" applyFill="1" applyBorder="1"/>
    <x:xf numFmtId="0" fontId="0" fillId="0" borderId="32" xfId="0" applyNumberFormat="1" applyFont="1" applyFill="1" applyBorder="1"/>
    <x:xf numFmtId="177" fontId="31" fillId="6" borderId="33" xfId="0" applyNumberFormat="1" applyFont="1" applyFill="1" applyBorder="1" applyAlignment="1">
      <x:alignment horizontal="right"/>
    </x:xf>
    <x:xf numFmtId="177" fontId="31" fillId="0" borderId="33" xfId="0" applyNumberFormat="1" applyFont="1" applyFill="1" applyBorder="1" applyAlignment="1">
      <x:alignment horizontal="right"/>
    </x:xf>
    <x:xf numFmtId="177" fontId="31" fillId="0" borderId="34" xfId="0" applyNumberFormat="1" applyFont="1" applyFill="1" applyBorder="1" applyAlignment="1">
      <x:alignment horizontal="right"/>
    </x:xf>
    <x:xf numFmtId="177" fontId="29" fillId="3" borderId="33" xfId="0" applyNumberFormat="1" applyFont="1" applyFill="1" applyBorder="1"/>
    <x:xf numFmtId="177" fontId="29" fillId="3" borderId="35" xfId="0" applyNumberFormat="1" applyFont="1" applyFill="1" applyBorder="1"/>
    <x:xf numFmtId="174" fontId="31" fillId="0" borderId="37" xfId="0" applyNumberFormat="1" applyFont="1" applyFill="1" applyBorder="1" applyAlignment="1">
      <x:alignment horizontal="right"/>
    </x:xf>
    <x:xf numFmtId="171" fontId="31" fillId="0" borderId="37" xfId="0" applyNumberFormat="1" applyFont="1" applyFill="1" applyBorder="1" applyAlignment="1">
      <x:alignment horizontal="right"/>
    </x:xf>
    <x:xf numFmtId="177" fontId="31" fillId="0" borderId="37" xfId="0" applyNumberFormat="1" applyFont="1" applyFill="1" applyBorder="1" applyAlignment="1">
      <x:alignment horizontal="right"/>
    </x:xf>
    <x:xf numFmtId="174" fontId="29" fillId="3" borderId="39" xfId="0" applyNumberFormat="1" applyFont="1" applyFill="1" applyBorder="1"/>
    <x:xf numFmtId="171" fontId="29" fillId="3" borderId="39" xfId="0" applyNumberFormat="1" applyFont="1" applyFill="1" applyBorder="1"/>
    <x:xf numFmtId="177" fontId="29" fillId="3" borderId="39" xfId="0" applyNumberFormat="1" applyFont="1" applyFill="1" applyBorder="1"/>
    <x:xf numFmtId="0" fontId="13" fillId="0" borderId="0" xfId="0" applyNumberFormat="1" applyFont="1" applyFill="1" applyBorder="1" applyAlignment="1">
      <x:alignment horizontal="left"/>
    </x:xf>
    <x:xf numFmtId="0" fontId="0" fillId="4" borderId="8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 applyAlignment="1">
      <x:alignment horizontal="right"/>
    </x:xf>
    <x:xf numFmtId="14" fontId="13" fillId="0" borderId="0" xfId="0" applyNumberFormat="1" applyFont="1" applyFill="1" applyBorder="1" applyAlignment="1">
      <x:alignment horizontal="right"/>
    </x:xf>
    <x:xf numFmtId="0" fontId="17" fillId="0" borderId="0" xfId="0" applyNumberFormat="1" applyFont="1" applyFill="1" applyBorder="1"/>
    <x:xf numFmtId="0" fontId="0" fillId="0" borderId="32" xfId="0" applyNumberFormat="1" applyFont="1" applyFill="1" applyBorder="1" applyAlignment="1">
      <x:alignment horizontal="left"/>
    </x:xf>
    <x:xf numFmtId="164" fontId="31" fillId="0" borderId="33" xfId="0" applyNumberFormat="1" applyFont="1" applyFill="1" applyBorder="1" applyAlignment="1">
      <x:alignment horizontal="right"/>
    </x:xf>
    <x:xf numFmtId="0" fontId="0" fillId="0" borderId="33" xfId="0" applyNumberFormat="1" applyFont="1" applyFill="1" applyBorder="1"/>
    <x:xf numFmtId="37" fontId="6" fillId="0" borderId="33" xfId="0" applyNumberFormat="1" applyFont="1" applyFill="1" applyBorder="1" applyAlignment="1">
      <x:alignment horizontal="left"/>
    </x:xf>
    <x:xf numFmtId="0" fontId="0" fillId="0" borderId="35" xfId="0" applyNumberFormat="1" applyFont="1" applyFill="1" applyBorder="1"/>
    <x:xf numFmtId="0" fontId="9" fillId="2" borderId="26" xfId="0" applyNumberFormat="1" applyFont="1" applyFill="1" applyBorder="1" applyAlignment="1">
      <x:alignment horizontal="center"/>
    </x:xf>
    <x:xf numFmtId="37" fontId="0" fillId="0" borderId="0" xfId="0" applyNumberFormat="1" applyFont="1" applyFill="1" applyBorder="1"/>
    <x:xf numFmtId="175" fontId="0" fillId="0" borderId="10" xfId="0" applyNumberFormat="1" applyFont="1" applyFill="1" applyBorder="1"/>
    <x:xf numFmtId="167" fontId="13" fillId="5" borderId="30" xfId="0" applyNumberFormat="1" applyFont="1" applyFill="1" applyBorder="1" applyAlignment="1">
      <x:alignment horizontal="center"/>
    </x:xf>
    <x:xf numFmtId="175" fontId="11" fillId="0" borderId="10" xfId="0" applyNumberFormat="1" applyFont="1" applyFill="1" applyBorder="1"/>
    <x:xf numFmtId="3" fontId="0" fillId="0" borderId="0" xfId="0" applyNumberFormat="1" applyFont="1" applyFill="1" applyBorder="1"/>
    <x:xf numFmtId="170" fontId="5" fillId="0" borderId="0" xfId="0" applyNumberFormat="1" applyFont="1" applyFill="1" applyBorder="1"/>
    <x:xf numFmtId="170" fontId="5" fillId="0" borderId="10" xfId="0" applyNumberFormat="1" applyFont="1" applyFill="1" applyBorder="1"/>
    <x:xf numFmtId="168" fontId="11" fillId="0" borderId="0" xfId="0" applyNumberFormat="1" applyFont="1" applyFill="1" applyBorder="1"/>
    <x:xf numFmtId="168" fontId="11" fillId="0" borderId="10" xfId="0" applyNumberFormat="1" applyFont="1" applyFill="1" applyBorder="1"/>
    <x:xf numFmtId="174" fontId="13" fillId="0" borderId="0" xfId="0" applyNumberFormat="1" applyFont="1" applyFill="1" applyBorder="1" applyAlignment="1">
      <x:alignment horizontal="right"/>
    </x:xf>
    <x:xf numFmtId="174" fontId="13" fillId="0" borderId="10" xfId="0" applyNumberFormat="1" applyFont="1" applyFill="1" applyBorder="1" applyAlignment="1">
      <x:alignment horizontal="right"/>
    </x:xf>
    <x:xf numFmtId="174" fontId="31" fillId="0" borderId="0" xfId="0" applyNumberFormat="1" applyFont="1" applyFill="1" applyBorder="1"/>
    <x:xf numFmtId="174" fontId="13" fillId="0" borderId="33" xfId="0" applyNumberFormat="1" applyFont="1" applyFill="1" applyBorder="1" applyAlignment="1">
      <x:alignment horizontal="right"/>
    </x:xf>
    <x:xf numFmtId="174" fontId="13" fillId="0" borderId="34" xfId="0" applyNumberFormat="1" applyFont="1" applyFill="1" applyBorder="1" applyAlignment="1">
      <x:alignment horizontal="right"/>
    </x:xf>
    <x:xf numFmtId="174" fontId="13" fillId="0" borderId="33" xfId="0" applyNumberFormat="1" applyFont="1" applyFill="1" applyBorder="1"/>
    <x:xf numFmtId="175" fontId="0" fillId="0" borderId="37" xfId="0" applyNumberFormat="1" applyFont="1" applyFill="1" applyBorder="1"/>
    <x:xf numFmtId="175" fontId="11" fillId="0" borderId="37" xfId="0" applyNumberFormat="1" applyFont="1" applyFill="1" applyBorder="1"/>
    <x:xf numFmtId="174" fontId="13" fillId="0" borderId="37" xfId="0" applyNumberFormat="1" applyFont="1" applyFill="1" applyBorder="1" applyAlignment="1">
      <x:alignment horizontal="right"/>
    </x:xf>
    <x:xf numFmtId="167" fontId="13" fillId="5" borderId="46" xfId="0" applyNumberFormat="1" applyFont="1" applyFill="1" applyBorder="1" applyAlignment="1">
      <x:alignment horizontal="center"/>
    </x:xf>
    <x:xf numFmtId="175" fontId="29" fillId="0" borderId="39" xfId="0" applyNumberFormat="1" applyFont="1" applyFill="1" applyBorder="1"/>
    <x:xf numFmtId="174" fontId="31" fillId="0" borderId="39" xfId="0" applyNumberFormat="1" applyFont="1" applyFill="1" applyBorder="1"/>
    <x:xf numFmtId="174" fontId="13" fillId="0" borderId="39" xfId="0" applyNumberFormat="1" applyFont="1" applyFill="1" applyBorder="1" applyAlignment="1">
      <x:alignment horizontal="right"/>
    </x:xf>
    <x:xf numFmtId="174" fontId="13" fillId="0" borderId="39" xfId="0" applyNumberFormat="1" applyFont="1" applyFill="1" applyBorder="1"/>
    <x:xf numFmtId="175" fontId="0" fillId="0" borderId="21" xfId="0" applyNumberFormat="1" applyFont="1" applyFill="1" applyBorder="1"/>
    <x:xf numFmtId="37" fontId="0" fillId="0" borderId="30" xfId="0" applyNumberFormat="1" applyFont="1" applyFill="1" applyBorder="1"/>
    <x:xf numFmtId="0" fontId="11" fillId="0" borderId="44" xfId="0" applyNumberFormat="1" applyFont="1" applyFill="1" applyBorder="1"/>
    <x:xf numFmtId="175" fontId="11" fillId="0" borderId="7" xfId="0" applyNumberFormat="1" applyFont="1" applyFill="1" applyBorder="1"/>
    <x:xf numFmtId="175" fontId="11" fillId="0" borderId="22" xfId="0" applyNumberFormat="1" applyFont="1" applyFill="1" applyBorder="1"/>
    <x:xf numFmtId="175" fontId="11" fillId="0" borderId="21" xfId="0" applyNumberFormat="1" applyFont="1" applyFill="1" applyBorder="1"/>
    <x:xf numFmtId="0" fontId="5" fillId="0" borderId="32" xfId="0" applyNumberFormat="1" applyFont="1" applyFill="1" applyBorder="1"/>
    <x:xf numFmtId="175" fontId="0" fillId="0" borderId="33" xfId="0" applyNumberFormat="1" applyFont="1" applyFill="1" applyBorder="1"/>
    <x:xf numFmtId="175" fontId="0" fillId="0" borderId="47" xfId="0" applyNumberFormat="1" applyFont="1" applyFill="1" applyBorder="1"/>
    <x:xf numFmtId="175" fontId="29" fillId="0" borderId="30" xfId="0" applyNumberFormat="1" applyFont="1" applyFill="1" applyBorder="1"/>
    <x:xf numFmtId="175" fontId="18" fillId="0" borderId="0" xfId="0" applyNumberFormat="1" applyFont="1" applyFill="1" applyBorder="1"/>
    <x:xf numFmtId="175" fontId="6" fillId="0" borderId="21" xfId="0" applyNumberFormat="1" applyFont="1" applyFill="1" applyBorder="1"/>
    <x:xf numFmtId="175" fontId="19" fillId="0" borderId="0" xfId="0" applyNumberFormat="1" applyFont="1" applyFill="1" applyBorder="1"/>
    <x:xf numFmtId="0" fontId="11" fillId="0" borderId="32" xfId="0" applyNumberFormat="1" applyFont="1" applyFill="1" applyBorder="1"/>
    <x:xf numFmtId="175" fontId="11" fillId="0" borderId="33" xfId="0" applyNumberFormat="1" applyFont="1" applyFill="1" applyBorder="1"/>
    <x:xf numFmtId="175" fontId="11" fillId="0" borderId="47" xfId="0" applyNumberFormat="1" applyFont="1" applyFill="1" applyBorder="1"/>
    <x:xf numFmtId="175" fontId="11" fillId="0" borderId="35" xfId="0" applyNumberFormat="1" applyFont="1" applyFill="1" applyBorder="1"/>
    <x:xf numFmtId="175" fontId="0" fillId="6" borderId="0" xfId="0" applyNumberFormat="1" applyFont="1" applyFill="1" applyBorder="1"/>
    <x:xf numFmtId="0" fontId="11" fillId="0" borderId="29" xfId="0" applyNumberFormat="1" applyFont="1" applyFill="1" applyBorder="1" applyAlignment="1">
      <x:alignment horizontal="left"/>
    </x:xf>
    <x:xf numFmtId="174" fontId="0" fillId="0" borderId="10" xfId="0" applyNumberFormat="1" applyFont="1" applyFill="1" applyBorder="1"/>
    <x:xf numFmtId="169" fontId="0" fillId="0" borderId="0" xfId="0" applyNumberFormat="1" applyFont="1" applyFill="1" applyBorder="1"/>
    <x:xf numFmtId="169" fontId="0" fillId="0" borderId="10" xfId="0" applyNumberFormat="1" applyFont="1" applyFill="1" applyBorder="1"/>
    <x:xf numFmtId="169" fontId="31" fillId="0" borderId="0" xfId="0" applyNumberFormat="1" applyFont="1" applyFill="1" applyBorder="1"/>
    <x:xf numFmtId="169" fontId="31" fillId="0" borderId="30" xfId="0" applyNumberFormat="1" applyFont="1" applyFill="1" applyBorder="1"/>
    <x:xf numFmtId="37" fontId="0" fillId="0" borderId="10" xfId="0" applyNumberFormat="1" applyFont="1" applyFill="1" applyBorder="1"/>
    <x:xf numFmtId="174" fontId="13" fillId="0" borderId="30" xfId="0" applyNumberFormat="1" applyFont="1" applyFill="1" applyBorder="1"/>
    <x:xf numFmtId="177" fontId="0" fillId="6" borderId="0" xfId="0" applyNumberFormat="1" applyFont="1" applyFill="1" applyBorder="1"/>
    <x:xf numFmtId="177" fontId="0" fillId="0" borderId="0" xfId="0" applyNumberFormat="1" applyFont="1" applyFill="1" applyBorder="1"/>
    <x:xf numFmtId="177" fontId="0" fillId="0" borderId="10" xfId="0" applyNumberFormat="1" applyFont="1" applyFill="1" applyBorder="1"/>
    <x:xf numFmtId="177" fontId="31" fillId="0" borderId="0" xfId="0" applyNumberFormat="1" applyFont="1" applyFill="1" applyBorder="1"/>
    <x:xf numFmtId="177" fontId="31" fillId="0" borderId="30" xfId="0" applyNumberFormat="1" applyFont="1" applyFill="1" applyBorder="1"/>
    <x:xf numFmtId="0" fontId="11" fillId="0" borderId="32" xfId="0" applyNumberFormat="1" applyFont="1" applyFill="1" applyBorder="1" applyAlignment="1">
      <x:alignment horizontal="left"/>
    </x:xf>
    <x:xf numFmtId="175" fontId="11" fillId="0" borderId="34" xfId="0" applyNumberFormat="1" applyFont="1" applyFill="1" applyBorder="1"/>
    <x:xf numFmtId="0" fontId="0" fillId="4" borderId="48" xfId="0" applyNumberFormat="1" applyFont="1" applyFill="1" applyBorder="1" applyAlignment="1">
      <x:alignment horizontal="center" vertical="center"/>
    </x:xf>
    <x:xf numFmtId="174" fontId="0" fillId="0" borderId="37" xfId="0" applyNumberFormat="1" applyFont="1" applyFill="1" applyBorder="1"/>
    <x:xf numFmtId="169" fontId="0" fillId="0" borderId="37" xfId="0" applyNumberFormat="1" applyFont="1" applyFill="1" applyBorder="1"/>
    <x:xf numFmtId="177" fontId="0" fillId="0" borderId="37" xfId="0" applyNumberFormat="1" applyFont="1" applyFill="1" applyBorder="1"/>
    <x:xf numFmtId="169" fontId="31" fillId="0" borderId="39" xfId="0" applyNumberFormat="1" applyFont="1" applyFill="1" applyBorder="1"/>
    <x:xf numFmtId="177" fontId="31" fillId="0" borderId="39" xfId="0" applyNumberFormat="1" applyFont="1" applyFill="1" applyBorder="1"/>
    <x:xf numFmtId="175" fontId="11" fillId="0" borderId="0" xfId="0" applyNumberFormat="1" applyFont="1" applyFill="1" applyBorder="1" applyAlignment="1">
      <x:alignment horizontal="right"/>
    </x:xf>
    <x:xf numFmtId="175" fontId="11" fillId="0" borderId="30" xfId="0" applyNumberFormat="1" applyFont="1" applyFill="1" applyBorder="1" applyAlignment="1">
      <x:alignment horizontal="right"/>
    </x:xf>
    <x:xf numFmtId="175" fontId="11" fillId="0" borderId="33" xfId="0" applyNumberFormat="1" applyFont="1" applyFill="1" applyBorder="1" applyAlignment="1">
      <x:alignment horizontal="right"/>
    </x:xf>
    <x:xf numFmtId="175" fontId="11" fillId="0" borderId="35" xfId="0" applyNumberFormat="1" applyFont="1" applyFill="1" applyBorder="1" applyAlignment="1">
      <x:alignment horizontal="right"/>
    </x:xf>
    <x:xf numFmtId="175" fontId="11" fillId="0" borderId="39" xfId="0" applyNumberFormat="1" applyFont="1" applyFill="1" applyBorder="1" applyAlignment="1">
      <x:alignment horizontal="right"/>
    </x:xf>
    <x:xf numFmtId="0" fontId="18" fillId="0" borderId="25" xfId="0" applyNumberFormat="1" applyFont="1" applyFill="1" applyBorder="1"/>
    <x:xf numFmtId="0" fontId="18" fillId="0" borderId="0" xfId="0" applyNumberFormat="1" applyFont="1" applyFill="1" applyBorder="1"/>
    <x:xf numFmtId="0" fontId="18" fillId="0" borderId="30" xfId="0" applyNumberFormat="1" applyFont="1" applyFill="1" applyBorder="1"/>
    <x:xf numFmtId="175" fontId="0" fillId="6" borderId="10" xfId="0" applyNumberFormat="1" applyFont="1" applyFill="1" applyBorder="1"/>
    <x:xf numFmtId="174" fontId="13" fillId="6" borderId="33" xfId="0" applyNumberFormat="1" applyFont="1" applyFill="1" applyBorder="1"/>
    <x:xf numFmtId="174" fontId="13" fillId="0" borderId="34" xfId="0" applyNumberFormat="1" applyFont="1" applyFill="1" applyBorder="1"/>
    <x:xf numFmtId="0" fontId="18" fillId="0" borderId="33" xfId="0" applyNumberFormat="1" applyFont="1" applyFill="1" applyBorder="1"/>
    <x:xf numFmtId="174" fontId="13" fillId="0" borderId="35" xfId="0" applyNumberFormat="1" applyFont="1" applyFill="1" applyBorder="1"/>
    <x:xf numFmtId="175" fontId="11" fillId="6" borderId="0" xfId="0" applyNumberFormat="1" applyFont="1" applyFill="1" applyBorder="1"/>
    <x:xf numFmtId="0" fontId="0" fillId="6" borderId="0" xfId="0" applyNumberFormat="1" applyFont="1" applyFill="1" applyBorder="1"/>
    <x:xf numFmtId="174" fontId="29" fillId="3" borderId="10" xfId="0" applyNumberFormat="1" applyFont="1" applyFill="1" applyBorder="1"/>
    <x:xf numFmtId="37" fontId="11" fillId="6" borderId="0" xfId="0" applyNumberFormat="1" applyFont="1" applyFill="1" applyBorder="1"/>
    <x:xf numFmtId="175" fontId="13" fillId="0" borderId="0" xfId="0" applyNumberFormat="1" applyFont="1" applyFill="1" applyBorder="1"/>
    <x:xf numFmtId="175" fontId="13" fillId="0" borderId="30" xfId="0" applyNumberFormat="1" applyFont="1" applyFill="1" applyBorder="1"/>
    <x:xf numFmtId="175" fontId="11" fillId="6" borderId="33" xfId="0" applyNumberFormat="1" applyFont="1" applyFill="1" applyBorder="1"/>
    <x:xf numFmtId="175" fontId="32" fillId="0" borderId="33" xfId="0" applyNumberFormat="1" applyFont="1" applyFill="1" applyBorder="1"/>
    <x:xf numFmtId="175" fontId="32" fillId="0" borderId="34" xfId="0" applyNumberFormat="1" applyFont="1" applyFill="1" applyBorder="1"/>
    <x:xf numFmtId="174" fontId="29" fillId="3" borderId="37" xfId="0" applyNumberFormat="1" applyFont="1" applyFill="1" applyBorder="1"/>
    <x:xf numFmtId="175" fontId="13" fillId="0" borderId="39" xfId="0" applyNumberFormat="1" applyFont="1" applyFill="1" applyBorder="1"/>
    <x:xf numFmtId="175" fontId="29" fillId="0" borderId="21" xfId="0" applyNumberFormat="1" applyFont="1" applyFill="1" applyBorder="1"/>
    <x:xf numFmtId="174" fontId="13" fillId="0" borderId="21" xfId="0" applyNumberFormat="1" applyFont="1" applyFill="1" applyBorder="1"/>
    <x:xf numFmtId="174" fontId="0" fillId="0" borderId="21" xfId="0" applyNumberFormat="1" applyFont="1" applyFill="1" applyBorder="1"/>
    <x:xf numFmtId="174" fontId="0" fillId="6" borderId="21" xfId="0" applyNumberFormat="1" applyFont="1" applyFill="1" applyBorder="1"/>
    <x:xf numFmtId="167" fontId="0" fillId="0" borderId="0" xfId="0" applyNumberFormat="1" applyFont="1" applyFill="1" applyBorder="1"/>
    <x:xf numFmtId="167" fontId="0" fillId="0" borderId="21" xfId="0" applyNumberFormat="1" applyFont="1" applyFill="1" applyBorder="1"/>
    <x:xf numFmtId="167" fontId="13" fillId="0" borderId="0" xfId="0" applyNumberFormat="1" applyFont="1" applyFill="1" applyBorder="1"/>
    <x:xf numFmtId="167" fontId="13" fillId="0" borderId="30" xfId="0" applyNumberFormat="1" applyFont="1" applyFill="1" applyBorder="1"/>
    <x:xf numFmtId="175" fontId="0" fillId="6" borderId="21" xfId="0" applyNumberFormat="1" applyFont="1" applyFill="1" applyBorder="1"/>
    <x:xf numFmtId="175" fontId="0" fillId="0" borderId="35" xfId="0" applyNumberFormat="1" applyFont="1" applyFill="1" applyBorder="1"/>
    <x:xf numFmtId="167" fontId="0" fillId="0" borderId="37" xfId="0" applyNumberFormat="1" applyFont="1" applyFill="1" applyBorder="1"/>
    <x:xf numFmtId="167" fontId="13" fillId="0" borderId="39" xfId="0" applyNumberFormat="1" applyFont="1" applyFill="1" applyBorder="1"/>
    <x:xf numFmtId="0" fontId="3" fillId="0" borderId="25" xfId="0" applyNumberFormat="1" applyFont="1" applyFill="1" applyBorder="1"/>
    <x:xf numFmtId="0" fontId="5" fillId="0" borderId="2" xfId="0" applyNumberFormat="1" applyFont="1" applyFill="1" applyBorder="1" applyAlignment="1">
      <x:alignment horizontal="left"/>
    </x:xf>
    <x:xf numFmtId="0" fontId="0" fillId="0" borderId="2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left"/>
    </x:xf>
    <x:xf numFmtId="175" fontId="13" fillId="0" borderId="0" xfId="0" applyNumberFormat="1" applyFont="1" applyFill="1" applyBorder="1" applyAlignment="1">
      <x:alignment horizontal="right"/>
    </x:xf>
    <x:xf numFmtId="179" fontId="31" fillId="0" borderId="0" xfId="0" applyNumberFormat="1" applyFont="1" applyFill="1" applyBorder="1" applyAlignment="1">
      <x:alignment horizontal="right"/>
    </x:xf>
    <x:xf numFmtId="0" fontId="9" fillId="2" borderId="25" xfId="0" applyNumberFormat="1" applyFont="1" applyFill="1" applyBorder="1"/>
    <x:xf numFmtId="0" fontId="9" fillId="2" borderId="0" xfId="0" applyNumberFormat="1" applyFont="1" applyFill="1" applyBorder="1"/>
    <x:xf numFmtId="175" fontId="31" fillId="0" borderId="0" xfId="0" applyNumberFormat="1" applyFont="1" applyFill="1" applyBorder="1"/>
    <x:xf numFmtId="175" fontId="31" fillId="0" borderId="10" xfId="0" applyNumberFormat="1" applyFont="1" applyFill="1" applyBorder="1"/>
    <x:xf numFmtId="174" fontId="21" fillId="6" borderId="0" xfId="0" applyNumberFormat="1" applyFont="1" applyFill="1" applyBorder="1"/>
    <x:xf numFmtId="0" fontId="5" fillId="0" borderId="0" xfId="0" applyNumberFormat="1" applyFont="1" applyFill="1" applyBorder="1"/>
    <x:xf numFmtId="174" fontId="13" fillId="5" borderId="30" xfId="0" applyNumberFormat="1" applyFont="1" applyFill="1" applyBorder="1" applyAlignment="1">
      <x:alignment horizontal="center"/>
    </x:xf>
    <x:xf numFmtId="175" fontId="13" fillId="0" borderId="10" xfId="0" applyNumberFormat="1" applyFont="1" applyFill="1" applyBorder="1"/>
    <x:xf numFmtId="174" fontId="34" fillId="0" borderId="0" xfId="0" applyNumberFormat="1" applyFont="1" applyFill="1" applyBorder="1"/>
    <x:xf numFmtId="174" fontId="34" fillId="0" borderId="10" xfId="0" applyNumberFormat="1" applyFont="1" applyFill="1" applyBorder="1"/>
    <x:xf numFmtId="0" fontId="11" fillId="0" borderId="0" xfId="0" applyNumberFormat="1" applyFont="1" applyFill="1" applyBorder="1"/>
    <x:xf numFmtId="0" fontId="11" fillId="0" borderId="33" xfId="0" applyNumberFormat="1" applyFont="1" applyFill="1" applyBorder="1"/>
    <x:xf numFmtId="174" fontId="13" fillId="5" borderId="35" xfId="0" applyNumberFormat="1" applyFont="1" applyFill="1" applyBorder="1" applyAlignment="1">
      <x:alignment horizontal="center"/>
    </x:xf>
    <x:xf numFmtId="175" fontId="31" fillId="0" borderId="37" xfId="0" applyNumberFormat="1" applyFont="1" applyFill="1" applyBorder="1"/>
    <x:xf numFmtId="175" fontId="13" fillId="0" borderId="37" xfId="0" applyNumberFormat="1" applyFont="1" applyFill="1" applyBorder="1"/>
    <x:xf numFmtId="174" fontId="34" fillId="0" borderId="37" xfId="0" applyNumberFormat="1" applyFont="1" applyFill="1" applyBorder="1"/>
    <x:xf numFmtId="175" fontId="31" fillId="0" borderId="39" xfId="0" applyNumberFormat="1" applyFont="1" applyFill="1" applyBorder="1"/>
    <x:xf numFmtId="174" fontId="13" fillId="5" borderId="46" xfId="0" applyNumberFormat="1" applyFont="1" applyFill="1" applyBorder="1" applyAlignment="1">
      <x:alignment horizontal="center"/>
    </x:xf>
    <x:xf numFmtId="174" fontId="34" fillId="0" borderId="39" xfId="0" applyNumberFormat="1" applyFont="1" applyFill="1" applyBorder="1"/>
    <x:xf numFmtId="175" fontId="31" fillId="0" borderId="30" xfId="0" applyNumberFormat="1" applyFont="1" applyFill="1" applyBorder="1"/>
    <x:xf numFmtId="0" fontId="9" fillId="2" borderId="29" xfId="0" applyNumberFormat="1" applyFont="1" applyFill="1" applyBorder="1" applyAlignment="1">
      <x:alignment horizontal="left"/>
    </x:xf>
    <x:xf numFmtId="0" fontId="9" fillId="2" borderId="0" xfId="0" applyNumberFormat="1" applyFont="1" applyFill="1" applyBorder="1" applyAlignment="1">
      <x:alignment horizontal="left"/>
    </x:xf>
    <x:xf numFmtId="170" fontId="9" fillId="2" borderId="0" xfId="0" applyNumberFormat="1" applyFont="1" applyFill="1" applyBorder="1" applyAlignment="1">
      <x:alignment horizontal="center"/>
    </x:xf>
    <x:xf numFmtId="170" fontId="9" fillId="2" borderId="4" xfId="0" applyNumberFormat="1" applyFont="1" applyFill="1" applyBorder="1" applyAlignment="1">
      <x:alignment horizontal="center"/>
    </x:xf>
    <x:xf numFmtId="166" fontId="9" fillId="2" borderId="0" xfId="0" applyNumberFormat="1" applyFont="1" applyFill="1" applyBorder="1" applyAlignment="1">
      <x:alignment horizontal="center"/>
    </x:xf>
    <x:xf numFmtId="15" fontId="9" fillId="2" borderId="4" xfId="0" applyNumberFormat="1" applyFont="1" applyFill="1" applyBorder="1" applyAlignment="1">
      <x:alignment horizontal="center"/>
    </x:xf>
    <x:xf numFmtId="15" fontId="9" fillId="2" borderId="31" xfId="0" applyNumberFormat="1" applyFont="1" applyFill="1" applyBorder="1" applyAlignment="1">
      <x:alignment horizontal="center"/>
    </x:xf>
    <x:xf numFmtId="14" fontId="0" fillId="0" borderId="0" xfId="0" applyNumberFormat="1" applyFont="1" applyFill="1" applyBorder="1"/>
    <x:xf numFmtId="37" fontId="0" fillId="6" borderId="10" xfId="0" applyNumberFormat="1" applyFont="1" applyFill="1" applyBorder="1"/>
    <x:xf numFmtId="178" fontId="5" fillId="0" borderId="0" xfId="0" applyNumberFormat="1" applyFont="1" applyFill="1" applyBorder="1"/>
    <x:xf numFmtId="178" fontId="5" fillId="0" borderId="30" xfId="0" applyNumberFormat="1" applyFont="1" applyFill="1" applyBorder="1"/>
    <x:xf numFmtId="4" fontId="5" fillId="0" borderId="0" xfId="0" applyNumberFormat="1" applyFont="1" applyFill="1" applyBorder="1"/>
    <x:xf numFmtId="39" fontId="5" fillId="0" borderId="0" xfId="0" applyNumberFormat="1" applyFont="1" applyFill="1" applyBorder="1"/>
    <x:xf numFmtId="39" fontId="5" fillId="0" borderId="30" xfId="0" applyNumberFormat="1" applyFont="1" applyFill="1" applyBorder="1"/>
    <x:xf numFmtId="37" fontId="11" fillId="6" borderId="10" xfId="0" applyNumberFormat="1" applyFont="1" applyFill="1" applyBorder="1"/>
    <x:xf numFmtId="37" fontId="11" fillId="6" borderId="33" xfId="0" applyNumberFormat="1" applyFont="1" applyFill="1" applyBorder="1"/>
    <x:xf numFmtId="37" fontId="11" fillId="6" borderId="34" xfId="0" applyNumberFormat="1" applyFont="1" applyFill="1" applyBorder="1"/>
    <x:xf numFmtId="0" fontId="9" fillId="2" borderId="26" xfId="0" applyNumberFormat="1" applyFont="1" applyFill="1" applyBorder="1"/>
    <x:xf numFmtId="0" fontId="9" fillId="2" borderId="30" xfId="0" applyNumberFormat="1" applyFont="1" applyFill="1" applyBorder="1" applyAlignment="1">
      <x:alignment horizontal="left"/>
    </x:xf>
    <x:xf numFmtId="170" fontId="9" fillId="2" borderId="30" xfId="0" applyNumberFormat="1" applyFont="1" applyFill="1" applyBorder="1" applyAlignment="1">
      <x:alignment horizontal="center"/>
    </x:xf>
    <x:xf numFmtId="0" fontId="11" fillId="7" borderId="44" xfId="0" applyNumberFormat="1" applyFont="1" applyFill="1" applyBorder="1"/>
    <x:xf numFmtId="0" fontId="0" fillId="7" borderId="7" xfId="0" applyNumberFormat="1" applyFont="1" applyFill="1" applyBorder="1"/>
    <x:xf numFmtId="0" fontId="11" fillId="7" borderId="7" xfId="0" applyNumberFormat="1" applyFont="1" applyFill="1" applyBorder="1"/>
    <x:xf numFmtId="0" fontId="0" fillId="7" borderId="45" xfId="0" applyNumberFormat="1" applyFont="1" applyFill="1" applyBorder="1"/>
    <x:xf numFmtId="0" fontId="13" fillId="0" borderId="29" xfId="0" applyNumberFormat="1" applyFont="1" applyFill="1" applyBorder="1"/>
    <x:xf numFmtId="0" fontId="24" fillId="0" borderId="0" xfId="0" applyNumberFormat="1" applyFont="1" applyFill="1" applyBorder="1"/>
    <x:xf numFmtId="176" fontId="29" fillId="3" borderId="8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/>
    <x:xf numFmtId="174" fontId="29" fillId="3" borderId="49" xfId="0" applyNumberFormat="1" applyFont="1" applyFill="1" applyBorder="1" applyAlignment="1">
      <x:alignment horizontal="center"/>
    </x:xf>
    <x:xf numFmtId="0" fontId="5" fillId="0" borderId="29" xfId="0" applyNumberFormat="1" applyFont="1" applyFill="1" applyBorder="1"/>
    <x:xf numFmtId="43" fontId="0" fillId="0" borderId="0" xfId="0" applyNumberFormat="1" applyFont="1" applyFill="1" applyBorder="1"/>
    <x:xf numFmtId="176" fontId="0" fillId="0" borderId="30" xfId="0" applyNumberFormat="1" applyFont="1" applyFill="1" applyBorder="1"/>
    <x:xf numFmtId="0" fontId="24" fillId="0" borderId="29" xfId="0" applyNumberFormat="1" applyFont="1" applyFill="1" applyBorder="1"/>
    <x:xf numFmtId="0" fontId="24" fillId="0" borderId="30" xfId="0" applyNumberFormat="1" applyFont="1" applyFill="1" applyBorder="1"/>
    <x:xf numFmtId="0" fontId="13" fillId="0" borderId="44" xfId="0" applyNumberFormat="1" applyFont="1" applyFill="1" applyBorder="1" applyAlignment="1">
      <x:alignment horizontal="left"/>
    </x:xf>
    <x:xf numFmtId="0" fontId="24" fillId="0" borderId="7" xfId="0" applyNumberFormat="1" applyFont="1" applyFill="1" applyBorder="1"/>
    <x:xf numFmtId="175" fontId="13" fillId="0" borderId="7" xfId="0" applyNumberFormat="1" applyFont="1" applyFill="1" applyBorder="1"/>
    <x:xf numFmtId="0" fontId="13" fillId="0" borderId="7" xfId="0" applyNumberFormat="1" applyFont="1" applyFill="1" applyBorder="1" applyAlignment="1">
      <x:alignment horizontal="left"/>
    </x:xf>
    <x:xf numFmtId="0" fontId="0" fillId="0" borderId="7" xfId="0" applyNumberFormat="1" applyFont="1" applyFill="1" applyBorder="1"/>
    <x:xf numFmtId="175" fontId="13" fillId="0" borderId="45" xfId="0" applyNumberFormat="1" applyFont="1" applyFill="1" applyBorder="1"/>
    <x:xf numFmtId="0" fontId="11" fillId="7" borderId="29" xfId="0" applyNumberFormat="1" applyFont="1" applyFill="1" applyBorder="1"/>
    <x:xf numFmtId="0" fontId="24" fillId="7" borderId="0" xfId="0" applyNumberFormat="1" applyFont="1" applyFill="1" applyBorder="1"/>
    <x:xf numFmtId="175" fontId="25" fillId="7" borderId="0" xfId="0" applyNumberFormat="1" applyFont="1" applyFill="1" applyBorder="1"/>
    <x:xf numFmtId="165" fontId="11" fillId="0" borderId="0" xfId="0" applyNumberFormat="1" applyFont="1" applyFill="1" applyBorder="1"/>
    <x:xf numFmtId="0" fontId="11" fillId="7" borderId="0" xfId="0" applyNumberFormat="1" applyFont="1" applyFill="1" applyBorder="1"/>
    <x:xf numFmtId="0" fontId="0" fillId="7" borderId="0" xfId="0" applyNumberFormat="1" applyFont="1" applyFill="1" applyBorder="1"/>
    <x:xf numFmtId="175" fontId="25" fillId="7" borderId="30" xfId="0" applyNumberFormat="1" applyFont="1" applyFill="1" applyBorder="1"/>
    <x:xf numFmtId="0" fontId="21" fillId="0" borderId="29" xfId="0" applyNumberFormat="1" applyFont="1" applyFill="1" applyBorder="1"/>
    <x:xf numFmtId="0" fontId="21" fillId="0" borderId="0" xfId="0" applyNumberFormat="1" applyFont="1" applyFill="1" applyBorder="1"/>
    <x:xf numFmtId="0" fontId="11" fillId="7" borderId="50" xfId="0" applyNumberFormat="1" applyFont="1" applyFill="1" applyBorder="1" applyAlignment="1">
      <x:alignment horizontal="left"/>
    </x:xf>
    <x:xf numFmtId="0" fontId="24" fillId="7" borderId="11" xfId="0" applyNumberFormat="1" applyFont="1" applyFill="1" applyBorder="1"/>
    <x:xf numFmtId="175" fontId="25" fillId="7" borderId="11" xfId="0" applyNumberFormat="1" applyFont="1" applyFill="1" applyBorder="1"/>
    <x:xf numFmtId="0" fontId="11" fillId="7" borderId="11" xfId="0" applyNumberFormat="1" applyFont="1" applyFill="1" applyBorder="1" applyAlignment="1">
      <x:alignment horizontal="left"/>
    </x:xf>
    <x:xf numFmtId="0" fontId="0" fillId="7" borderId="11" xfId="0" applyNumberFormat="1" applyFont="1" applyFill="1" applyBorder="1"/>
    <x:xf numFmtId="175" fontId="25" fillId="7" borderId="51" xfId="0" applyNumberFormat="1" applyFont="1" applyFill="1" applyBorder="1"/>
    <x:xf numFmtId="0" fontId="11" fillId="3" borderId="50" xfId="0" applyNumberFormat="1" applyFont="1" applyFill="1" applyBorder="1"/>
    <x:xf numFmtId="0" fontId="11" fillId="3" borderId="11" xfId="0" applyNumberFormat="1" applyFont="1" applyFill="1" applyBorder="1"/>
    <x:xf numFmtId="173" fontId="11" fillId="3" borderId="15" xfId="0" applyNumberFormat="1" applyFont="1" applyFill="1" applyBorder="1"/>
    <x:xf numFmtId="0" fontId="11" fillId="3" borderId="14" xfId="0" applyNumberFormat="1" applyFont="1" applyFill="1" applyBorder="1"/>
    <x:xf numFmtId="173" fontId="11" fillId="3" borderId="51" xfId="0" applyNumberFormat="1" applyFont="1" applyFill="1" applyBorder="1"/>
    <x:xf numFmtId="0" fontId="11" fillId="3" borderId="44" xfId="0" applyNumberFormat="1" applyFont="1" applyFill="1" applyBorder="1"/>
    <x:xf numFmtId="0" fontId="11" fillId="3" borderId="7" xfId="0" applyNumberFormat="1" applyFont="1" applyFill="1" applyBorder="1"/>
    <x:xf numFmtId="174" fontId="11" fillId="3" borderId="17" xfId="0" applyNumberFormat="1" applyFont="1" applyFill="1" applyBorder="1"/>
    <x:xf numFmtId="164" fontId="0" fillId="0" borderId="0" xfId="0" applyNumberFormat="1" applyFont="1" applyFill="1" applyBorder="1"/>
    <x:xf numFmtId="0" fontId="11" fillId="3" borderId="16" xfId="0" applyNumberFormat="1" applyFont="1" applyFill="1" applyBorder="1"/>
    <x:xf numFmtId="174" fontId="11" fillId="3" borderId="45" xfId="0" applyNumberFormat="1" applyFont="1" applyFill="1" applyBorder="1"/>
    <x:xf numFmtId="176" fontId="0" fillId="0" borderId="0" xfId="0" applyNumberFormat="1" applyFont="1" applyFill="1" applyBorder="1"/>
    <x:xf numFmtId="176" fontId="0" fillId="0" borderId="33" xfId="0" applyNumberFormat="1" applyFont="1" applyFill="1" applyBorder="1"/>
    <x:xf numFmtId="0" fontId="0" fillId="0" borderId="33" xfId="0" applyNumberFormat="1" applyFont="1" applyFill="1" applyBorder="1" applyAlignment="1">
      <x:alignment horizontal="left"/>
    </x:xf>
    <x:xf numFmtId="176" fontId="0" fillId="0" borderId="35" xfId="0" applyNumberFormat="1" applyFont="1" applyFill="1" applyBorder="1"/>
    <x:xf numFmtId="0" fontId="9" fillId="8" borderId="0" xfId="0" applyNumberFormat="1" applyFont="1" applyFill="1" applyBorder="1" applyAlignment="1">
      <x:alignment horizontal="left"/>
    </x:xf>
    <x:xf numFmtId="0" fontId="9" fillId="8" borderId="0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 vertical="center" wrapText="1"/>
    </x:xf>
    <x:xf numFmtId="173" fontId="26" fillId="2" borderId="14" xfId="0" applyNumberFormat="1" applyFont="1" applyFill="1" applyBorder="1"/>
    <x:xf numFmtId="176" fontId="9" fillId="2" borderId="18" xfId="0" applyNumberFormat="1" applyFont="1" applyFill="1" applyBorder="1"/>
    <x:xf numFmtId="176" fontId="9" fillId="2" borderId="52" xfId="0" applyNumberFormat="1" applyFont="1" applyFill="1" applyBorder="1"/>
    <x:xf numFmtId="174" fontId="9" fillId="2" borderId="19" xfId="0" applyNumberFormat="1" applyFont="1" applyFill="1" applyBorder="1"/>
    <x:xf numFmtId="178" fontId="0" fillId="0" borderId="0" xfId="0" applyNumberFormat="1" applyFont="1" applyFill="1" applyBorder="1"/>
    <x:xf numFmtId="178" fontId="0" fillId="0" borderId="30" xfId="0" applyNumberFormat="1" applyFont="1" applyFill="1" applyBorder="1"/>
    <x:xf numFmtId="174" fontId="9" fillId="2" borderId="18" xfId="0" applyNumberFormat="1" applyFont="1" applyFill="1" applyBorder="1"/>
    <x:xf numFmtId="174" fontId="9" fillId="2" borderId="52" xfId="0" applyNumberFormat="1" applyFont="1" applyFill="1" applyBorder="1"/>
    <x:xf numFmtId="0" fontId="10" fillId="0" borderId="33" xfId="0" applyNumberFormat="1" applyFont="1" applyFill="1" applyBorder="1"/>
    <x:xf numFmtId="174" fontId="9" fillId="2" borderId="53" xfId="0" applyNumberFormat="1" applyFont="1" applyFill="1" applyBorder="1"/>
    <x:xf numFmtId="178" fontId="0" fillId="0" borderId="33" xfId="0" applyNumberFormat="1" applyFont="1" applyFill="1" applyBorder="1"/>
    <x:xf numFmtId="178" fontId="0" fillId="0" borderId="35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175" fontId="31" fillId="0" borderId="0" xfId="0" applyNumberFormat="1" applyFont="1" applyFill="1" applyBorder="1" applyAlignment="1">
      <x:alignment horizontal="right"/>
    </x:xf>
    <x:xf numFmtId="167" fontId="0" fillId="0" borderId="0" xfId="0" applyNumberFormat="1" applyFont="1" applyFill="1" applyBorder="1" applyAlignment="1">
      <x:alignment horizontal="center"/>
    </x:xf>
    <x:xf numFmtId="179" fontId="0" fillId="0" borderId="30" xfId="0" applyNumberFormat="1" applyFont="1" applyFill="1" applyBorder="1" applyAlignment="1">
      <x:alignment horizontal="right"/>
    </x:xf>
    <x:xf numFmtId="179" fontId="13" fillId="0" borderId="30" xfId="0" applyNumberFormat="1" applyFont="1" applyFill="1" applyBorder="1" applyAlignment="1">
      <x:alignment horizontal="right"/>
    </x:xf>
    <x:xf numFmtId="179" fontId="11" fillId="0" borderId="35" xfId="0" applyNumberFormat="1" applyFont="1" applyFill="1" applyBorder="1" applyAlignment="1">
      <x:alignment horizontal="right"/>
    </x:xf>
    <x:xf numFmtId="0" fontId="9" fillId="2" borderId="25" xfId="0" applyNumberFormat="1" applyFont="1" applyFill="1" applyBorder="1" applyAlignment="1">
      <x:alignment horizontal="left"/>
    </x:xf>
    <x:xf numFmtId="0" fontId="9" fillId="2" borderId="26" xfId="0" applyNumberFormat="1" applyFont="1" applyFill="1" applyBorder="1" applyAlignment="1">
      <x:alignment horizontal="left"/>
    </x:xf>
    <x:xf numFmtId="0" fontId="27" fillId="0" borderId="29" xfId="0" applyNumberFormat="1" applyFont="1" applyFill="1" applyBorder="1" applyAlignment="1">
      <x:alignment horizontal="center"/>
    </x:xf>
    <x:xf numFmtId="0" fontId="27" fillId="0" borderId="0" xfId="0" applyNumberFormat="1" applyFont="1" applyFill="1" applyBorder="1" applyAlignment="1">
      <x:alignment horizontal="center"/>
    </x:xf>
    <x:xf numFmtId="0" fontId="27" fillId="0" borderId="30" xfId="0" applyNumberFormat="1" applyFont="1" applyFill="1" applyBorder="1" applyAlignment="1">
      <x:alignment horizontal="center"/>
    </x:xf>
    <x:xf numFmtId="14" fontId="29" fillId="0" borderId="29" xfId="0" applyNumberFormat="1" applyFont="1" applyFill="1" applyBorder="1"/>
    <x:xf numFmtId="178" fontId="29" fillId="0" borderId="0" xfId="0" applyNumberFormat="1" applyFont="1" applyFill="1" applyBorder="1"/>
    <x:xf numFmtId="10" fontId="0" fillId="6" borderId="0" xfId="0" applyNumberFormat="1" applyFont="1" applyFill="1" applyBorder="1"/>
    <x:xf numFmtId="14" fontId="29" fillId="0" borderId="0" xfId="0" applyNumberFormat="1" applyFont="1" applyFill="1" applyBorder="1"/>
    <x:xf numFmtId="10" fontId="0" fillId="6" borderId="30" xfId="0" applyNumberFormat="1" applyFont="1" applyFill="1" applyBorder="1"/>
    <x:xf numFmtId="179" fontId="0" fillId="0" borderId="0" xfId="0" applyNumberFormat="1" applyFont="1" applyFill="1" applyBorder="1"/>
    <x:xf numFmtId="179" fontId="0" fillId="0" borderId="30" xfId="0" applyNumberFormat="1" applyFont="1" applyFill="1" applyBorder="1"/>
    <x:xf numFmtId="0" fontId="11" fillId="7" borderId="32" xfId="0" applyNumberFormat="1" applyFont="1" applyFill="1" applyBorder="1"/>
    <x:xf numFmtId="0" fontId="11" fillId="7" borderId="33" xfId="0" applyNumberFormat="1" applyFont="1" applyFill="1" applyBorder="1"/>
    <x:xf numFmtId="0" fontId="11" fillId="7" borderId="33" xfId="0" applyNumberFormat="1" applyFont="1" applyFill="1" applyBorder="1" applyAlignment="1">
      <x:alignment horizontal="right"/>
    </x:xf>
    <x:xf numFmtId="178" fontId="11" fillId="7" borderId="35" xfId="0" applyNumberFormat="1" applyFont="1" applyFill="1" applyBorder="1"/>
    <x:xf numFmtId="179" fontId="29" fillId="3" borderId="54" xfId="0" applyNumberFormat="1" applyFont="1" applyFill="1" applyBorder="1" applyAlignment="1">
      <x:alignment horizontal="right"/>
    </x:xf>
    <x:xf numFmtId="178" fontId="13" fillId="0" borderId="30" xfId="0" applyNumberFormat="1" applyFont="1" applyFill="1" applyBorder="1"/>
    <x:xf numFmtId="0" fontId="5" fillId="0" borderId="30" xfId="0" applyNumberFormat="1" applyFont="1" applyFill="1" applyBorder="1"/>
    <x:xf numFmtId="0" fontId="0" fillId="11" borderId="0" xfId="0" applyNumberFormat="1" applyFont="1" applyFill="1" applyBorder="1"/>
    <x:xf numFmtId="0" fontId="35" fillId="11" borderId="0" xfId="0" applyNumberFormat="1" applyFont="1" applyFill="1" applyBorder="1"/>
    <x:xf numFmtId="0" fontId="35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36" fillId="12" borderId="0" xfId="0" applyNumberFormat="1" applyFont="1" applyFill="1" applyBorder="1"/>
    <x:xf numFmtId="0" fontId="36" fillId="12" borderId="0" xfId="0" applyNumberFormat="1" applyFont="1" applyFill="1" applyBorder="1" applyAlignment="1">
      <x:alignment wrapText="1"/>
    </x:xf>
    <x:xf numFmtId="0" fontId="36" fillId="12" borderId="0" xfId="0" applyNumberFormat="1" applyFont="1" applyFill="1" applyBorder="1" applyAlignment="1">
      <x:alignment vertical="center" wrapText="1"/>
    </x:xf>
    <x:xf numFmtId="0" fontId="37" fillId="0" borderId="0" xfId="0" applyNumberFormat="1" applyFont="1" applyFill="1" applyBorder="1"/>
    <x:xf numFmtId="0" fontId="37" fillId="0" borderId="55" xfId="0" applyNumberFormat="1" applyFont="1" applyFill="1" applyBorder="1"/>
    <x:xf numFmtId="0" fontId="0" fillId="0" borderId="56" xfId="0" applyNumberFormat="1" applyFont="1" applyFill="1" applyBorder="1"/>
    <x:xf numFmtId="0" fontId="0" fillId="0" borderId="57" xfId="0" applyNumberFormat="1" applyFont="1" applyFill="1" applyBorder="1"/>
    <x:xf numFmtId="0" fontId="0" fillId="0" borderId="37" xfId="0" applyNumberFormat="1" applyFont="1" applyFill="1" applyBorder="1"/>
    <x:xf numFmtId="0" fontId="0" fillId="0" borderId="39" xfId="0" applyNumberFormat="1" applyFont="1" applyFill="1" applyBorder="1"/>
    <x:xf numFmtId="0" fontId="0" fillId="13" borderId="0" xfId="0" applyNumberFormat="1" applyFont="1" applyFill="1" applyBorder="1"/>
    <x:xf numFmtId="0" fontId="38" fillId="13" borderId="0" xfId="0" applyNumberFormat="1" applyFont="1" applyFill="1" applyBorder="1"/>
    <x:xf numFmtId="0" fontId="38" fillId="13" borderId="58" xfId="0" applyNumberFormat="1" applyFont="1" applyFill="1" applyBorder="1"/>
    <x:xf numFmtId="0" fontId="38" fillId="13" borderId="58" xfId="0" applyNumberFormat="1" applyFont="1" applyFill="1" applyBorder="1" applyAlignment="1">
      <x:alignment horizontal="center"/>
    </x:xf>
    <x:xf numFmtId="0" fontId="38" fillId="13" borderId="58" xfId="0" applyNumberFormat="1" applyFont="1" applyFill="1" applyBorder="1" applyAlignment="1">
      <x:alignment horizontal="center" vertical="center"/>
    </x:xf>
    <x:xf numFmtId="0" fontId="0" fillId="0" borderId="55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55" xfId="0" applyNumberFormat="1" applyFont="1" applyFill="1" applyBorder="1" applyAlignment="1">
      <x:alignment vertical="top"/>
    </x:xf>
    <x:xf numFmtId="0" fontId="39" fillId="0" borderId="0" xfId="0" applyNumberFormat="1" applyFont="1" applyFill="1" applyBorder="1" applyAlignment="1">
      <x:alignment vertical="top"/>
    </x:xf>
    <x:xf numFmtId="0" fontId="39" fillId="0" borderId="55" xfId="0" applyNumberFormat="1" applyFont="1" applyFill="1" applyBorder="1" applyAlignment="1">
      <x:alignment vertical="top"/>
    </x:xf>
    <x:xf numFmtId="0" fontId="39" fillId="0" borderId="0" xfId="0" applyNumberFormat="1" applyFont="1" applyFill="1" applyBorder="1" applyAlignment="1">
      <x:alignment horizontal="center" vertical="top"/>
    </x:xf>
    <x:xf numFmtId="0" fontId="39" fillId="0" borderId="55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 applyAlignment="1">
      <x:alignment vertical="top"/>
    </x:xf>
    <x:xf numFmtId="200" fontId="0" fillId="0" borderId="55" xfId="0" applyNumberFormat="1" applyFont="1" applyFill="1" applyBorder="1" applyAlignment="1">
      <x:alignment vertical="top"/>
    </x:xf>
    <x:xf numFmtId="0" fontId="39" fillId="14" borderId="0" xfId="0" applyNumberFormat="1" applyFont="1" applyFill="1" applyBorder="1" applyAlignment="1">
      <x:alignment horizontal="center" vertical="top"/>
    </x:xf>
    <x:xf numFmtId="0" fontId="0" fillId="14" borderId="0" xfId="0" applyNumberFormat="1" applyFont="1" applyFill="1" applyBorder="1" applyAlignment="1">
      <x:alignment vertical="top"/>
    </x:xf>
    <x:xf numFmtId="200" fontId="0" fillId="14" borderId="0" xfId="0" applyNumberFormat="1" applyFont="1" applyFill="1" applyBorder="1" applyAlignment="1">
      <x:alignment vertical="top"/>
    </x:xf>
    <x:xf numFmtId="0" fontId="35" fillId="11" borderId="0" xfId="0" applyNumberFormat="1" applyFont="1" applyFill="1" applyBorder="1" applyAlignment="1">
      <x:alignment vertical="center" wrapText="0"/>
    </x:xf>
    <x:xf numFmtId="0" fontId="36" fillId="1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0" fontId="37" fillId="0" borderId="55" xfId="0" applyNumberFormat="1" applyFont="1" applyFill="1" applyBorder="1" applyAlignment="1">
      <x:alignment wrapText="0"/>
    </x:xf>
    <x:xf numFmtId="0" fontId="0" fillId="0" borderId="56" xfId="0" applyNumberFormat="1" applyFont="1" applyFill="1" applyBorder="1" applyAlignment="1">
      <x:alignment wrapText="0"/>
    </x:xf>
    <x:xf numFmtId="0" fontId="0" fillId="0" borderId="57" xfId="0" applyNumberFormat="1" applyFont="1" applyFill="1" applyBorder="1" applyAlignment="1">
      <x:alignment wrapText="0"/>
    </x:xf>
    <x:xf numFmtId="0" fontId="0" fillId="0" borderId="37" xfId="0" applyNumberFormat="1" applyFont="1" applyFill="1" applyBorder="1" applyAlignment="1">
      <x:alignment wrapText="0"/>
    </x:xf>
    <x:xf numFmtId="0" fontId="0" fillId="0" borderId="39" xfId="0" applyNumberFormat="1" applyFont="1" applyFill="1" applyBorder="1" applyAlignment="1">
      <x:alignment wrapText="0"/>
    </x:xf>
    <x:xf numFmtId="0" fontId="38" fillId="13" borderId="58" xfId="0" applyNumberFormat="1" applyFont="1" applyFill="1" applyBorder="1" applyAlignment="1">
      <x:alignment horizontal="center" vertical="center" wrapText="0"/>
    </x:xf>
    <x:xf numFmtId="0" fontId="39" fillId="14" borderId="0" xfId="0" applyNumberFormat="1" applyFont="1" applyFill="1" applyBorder="1" applyAlignment="1">
      <x:alignment horizontal="center" vertical="top" wrapText="0"/>
    </x:xf>
    <x:xf numFmtId="0" fontId="0" fillId="14" borderId="0" xfId="0" applyNumberFormat="1" applyFont="1" applyFill="1" applyBorder="1" applyAlignment="1">
      <x:alignment vertical="top" wrapText="0"/>
    </x:xf>
    <x:xf numFmtId="200" fontId="0" fillId="14" borderId="0" xfId="0" applyNumberFormat="1" applyFont="1" applyFill="1" applyBorder="1" applyAlignment="1">
      <x:alignment vertical="top" wrapText="0"/>
    </x:xf>
    <x:xf numFmtId="0" fontId="39" fillId="0" borderId="0" xfId="0" applyNumberFormat="1" applyFont="1" applyFill="1" applyBorder="1" applyAlignment="1">
      <x:alignment horizontal="center" vertical="top" wrapText="0"/>
    </x:xf>
    <x:xf numFmtId="0" fontId="0" fillId="0" borderId="0" xfId="0" applyNumberFormat="1" applyFont="1" applyFill="1" applyBorder="1" applyAlignment="1">
      <x:alignment vertical="top" wrapText="0"/>
    </x:xf>
    <x:xf numFmtId="200" fontId="0" fillId="0" borderId="0" xfId="0" applyNumberFormat="1" applyFont="1" applyFill="1" applyBorder="1" applyAlignment="1">
      <x:alignment vertical="top" wrapText="0"/>
    </x:xf>
    <x:xf numFmtId="0" fontId="39" fillId="0" borderId="55" xfId="0" applyNumberFormat="1" applyFont="1" applyFill="1" applyBorder="1" applyAlignment="1">
      <x:alignment horizontal="center" vertical="top" wrapText="0"/>
    </x:xf>
    <x:xf numFmtId="0" fontId="0" fillId="0" borderId="55" xfId="0" applyNumberFormat="1" applyFont="1" applyFill="1" applyBorder="1" applyAlignment="1">
      <x:alignment vertical="top" wrapText="0"/>
    </x:xf>
    <x:xf numFmtId="200" fontId="0" fillId="0" borderId="55" xfId="0" applyNumberFormat="1" applyFont="1" applyFill="1" applyBorder="1" applyAlignment="1">
      <x:alignment vertical="top" wrapText="0"/>
    </x:xf>
    <x:xf numFmtId="0" fontId="0" fillId="1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5" xfId="0" applyNumberFormat="1" applyFont="1" applyFill="1" applyBorder="1" applyAlignment="1">
      <x:alignment vertical="top" wrapText="1"/>
    </x:xf>
    <x:xf numFmtId="166" fontId="9" fillId="2" borderId="59" xfId="0" applyNumberFormat="1" applyFont="1" applyFill="1" applyBorder="1" applyAlignment="1">
      <x:alignment horizontal="center"/>
    </x:xf>
    <x:xf numFmtId="175" fontId="0" fillId="0" borderId="46" xfId="0" applyNumberFormat="1" applyFont="1" applyFill="1" applyBorder="1"/>
    <x:xf numFmtId="175" fontId="11" fillId="0" borderId="46" xfId="0" applyNumberFormat="1" applyFont="1" applyFill="1" applyBorder="1"/>
    <x:xf numFmtId="175" fontId="29" fillId="0" borderId="46" xfId="0" applyNumberFormat="1" applyFont="1" applyFill="1" applyBorder="1"/>
    <x:xf numFmtId="174" fontId="0" fillId="0" borderId="46" xfId="0" applyNumberFormat="1" applyFont="1" applyFill="1" applyBorder="1"/>
    <x:xf numFmtId="169" fontId="31" fillId="0" borderId="46" xfId="0" applyNumberFormat="1" applyFont="1" applyFill="1" applyBorder="1"/>
    <x:xf numFmtId="174" fontId="13" fillId="0" borderId="46" xfId="0" applyNumberFormat="1" applyFont="1" applyFill="1" applyBorder="1"/>
    <x:xf numFmtId="177" fontId="31" fillId="0" borderId="46" xfId="0" applyNumberFormat="1" applyFont="1" applyFill="1" applyBorder="1"/>
    <x:xf numFmtId="175" fontId="11" fillId="0" borderId="46" xfId="0" applyNumberFormat="1" applyFont="1" applyFill="1" applyBorder="1" applyAlignment="1">
      <x:alignment horizontal="right"/>
    </x:xf>
    <x:xf numFmtId="174" fontId="29" fillId="3" borderId="46" xfId="0" applyNumberFormat="1" applyFont="1" applyFill="1" applyBorder="1"/>
    <x:xf numFmtId="175" fontId="13" fillId="0" borderId="46" xfId="0" applyNumberFormat="1" applyFont="1" applyFill="1" applyBorder="1"/>
    <x:xf numFmtId="167" fontId="13" fillId="0" borderId="46" xfId="0" applyNumberFormat="1" applyFont="1" applyFill="1" applyBorder="1"/>
    <x:xf numFmtId="175" fontId="31" fillId="0" borderId="46" xfId="0" applyNumberFormat="1" applyFont="1" applyFill="1" applyBorder="1"/>
    <x:xf numFmtId="175" fontId="25" fillId="0" borderId="46" xfId="0" applyNumberFormat="1" applyFont="1" applyFill="1" applyBorder="1"/>
    <x:xf numFmtId="174" fontId="21" fillId="0" borderId="46" xfId="0" applyNumberFormat="1" applyFont="1" applyFill="1" applyBorder="1"/>
    <x:xf numFmtId="0" fontId="0" fillId="0" borderId="27" xfId="0" applyNumberFormat="1" applyFont="1" applyFill="1" applyBorder="1"/>
    <x:xf numFmtId="171" fontId="29" fillId="3" borderId="46" xfId="0" applyNumberFormat="1" applyFont="1" applyFill="1" applyBorder="1"/>
    <x:xf numFmtId="177" fontId="29" fillId="3" borderId="28" xfId="0" applyNumberFormat="1" applyFont="1" applyFill="1" applyBorder="1"/>
  </x:cellXfs>
  <x:cellStyles count="7">
    <x:cellStyle name="Comma" xfId="3"/>
    <x:cellStyle name="Comma 2" xfId="5"/>
    <x:cellStyle name="Normal" xfId="0"/>
    <x:cellStyle name="Normal 2" xfId="1"/>
    <x:cellStyle name="Normal 2 2" xfId="6"/>
    <x:cellStyle name="Normal 3" xfId="4"/>
    <x:cellStyle name="Percent" xfId="2"/>
  </x:cellStyles>
  <x:dxfs count="2">
    <x:dxf>
      <x:font>
        <x:b/>
      </x:font>
    </x:dxf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5379ff2eff4b0b" /><Relationship Type="http://schemas.openxmlformats.org/officeDocument/2006/relationships/theme" Target="/xl/theme/theme1.xml" Id="R59b13334ab444769" /><Relationship Type="http://schemas.openxmlformats.org/officeDocument/2006/relationships/sharedStrings" Target="/xl/sharedStrings.xml" Id="R51722ff3bd6c4466" /><Relationship Type="http://schemas.openxmlformats.org/officeDocument/2006/relationships/worksheet" Target="/xl/worksheets/sheet1.xml" Id="Rd1052874499e4fd8" /><Relationship Type="http://schemas.openxmlformats.org/officeDocument/2006/relationships/worksheet" Target="/xl/worksheets/sheet2.xml" Id="R02e2ef00ab604f62" /><Relationship Type="http://schemas.openxmlformats.org/officeDocument/2006/relationships/worksheet" Target="/xl/worksheets/sheet3.xml" Id="Rdcf869ece9fe4197" /><Relationship Type="http://schemas.openxmlformats.org/officeDocument/2006/relationships/worksheet" Target="/xl/worksheets/sheet4.xml" Id="R436cc7dfb8fd4b63" /><Relationship Type="http://schemas.openxmlformats.org/officeDocument/2006/relationships/worksheet" Target="/xl/worksheets/sheet5.xml" Id="Rbb74e56473094869" /><Relationship Type="http://schemas.microsoft.com/office/2017/10/relationships/person" Target="/xl/persons/person.xml" Id="Rb71bb564a1e84b8d" /></Relationships>
</file>

<file path=xl/persons/person.xml><?xml version="1.0" encoding="utf-8"?>
<xltc:personList xmlns:xltc="http://schemas.microsoft.com/office/spreadsheetml/2018/threadedcomments">
  <xltc:person displayName="User" id="{8D4DEC15-6DBE-43BD-9884-843504AF0125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2" dT="2026-08-08T05:07:04.472" personId="{8D4DEC15-6DBE-43BD-9884-843504AF0125}" id="{20A58482-26ED-54D1-CD1C-ACF6B0A12FF2}">
    <xltc:text>S001: Revenue Build &amp; Growth Drivers For Keysight Technologies, Inc.
Machine ID: keysight:revenue-build-growth-drivers:section:1
Component: C2:K15
Base cells: 126
Historical cells: 8
Projected cells: 15</xltc:text>
  </xltc:threadedComment>
  <xltc:threadedComment ref="C17" dT="2026-08-08T05:07:04.476" personId="{8D4DEC15-6DBE-43BD-9884-843504AF0125}" id="{CACAB3E7-0CDB-38A5-0519-DBF02308C055}">
    <xltc:text>S002: Segmental Revenue Schedule
Machine ID: keysight:revenue-build-growth-drivers:section:2
Component: C17:K31
Base cells: 135
Historical cells: 25
Projected cells: 45</xltc:text>
  </xltc:threadedComment>
  <xltc:threadedComment ref="C33" dT="2026-08-08T05:07:04.479" personId="{8D4DEC15-6DBE-43BD-9884-843504AF0125}" id="{5919CDC8-7521-008E-D8D6-9038B94066B8}">
    <xltc:text>S003: Growth Driver Assumptions
Machine ID: keysight:revenue-build-growth-drivers:section:3
Component: C33:K49
Base cells: 153
Historical cells: 26
Projected cells: 50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C2" dT="2026-08-08T05:07:04.481" personId="{8D4DEC15-6DBE-43BD-9884-843504AF0125}" id="{35F0B9F4-3CEA-C769-8385-84180357A34D}">
    <xltc:text>S004: Financial Statement Model For Keysight Technologies, Inc.
Machine ID: keysight:financial-statement-model:section:1
Component: C2:M9
Base cells: 88
Historical cells: 0
Projected cells: 0</xltc:text>
  </xltc:threadedComment>
  <xltc:threadedComment ref="C11" dT="2026-08-08T05:07:04.486" personId="{8D4DEC15-6DBE-43BD-9884-843504AF0125}" id="{0C5C6BAC-B371-C73E-8B5E-267D2638B60A}">
    <xltc:text>S005: Income Statement
Machine ID: keysight:financial-statement-model:section:2
Component: C11:M41
Base cells: 341
Historical cells: 73
Projected cells: 131</xltc:text>
  </xltc:threadedComment>
  <xltc:threadedComment ref="C43" dT="2026-08-08T05:07:04.491" personId="{8D4DEC15-6DBE-43BD-9884-843504AF0125}" id="{5F54D7C2-272C-8AAA-A404-0D0BC473E679}">
    <xltc:text>S006: Balance Sheet
Machine ID: keysight:financial-statement-model:section:3
Component: C43:M75
Base cells: 363
Historical cells: 78
Projected cells: 131</xltc:text>
  </xltc:threadedComment>
  <xltc:threadedComment ref="C77" dT="2026-08-08T05:07:04.495" personId="{8D4DEC15-6DBE-43BD-9884-843504AF0125}" id="{3AC593A1-8476-6567-20C5-FBC474A9E71E}">
    <xltc:text>S007: Cash Flow Statement
Machine ID: keysight:financial-statement-model:section:4
Component: C77:K103
Base cells: 243
Historical cells: 63
Projected cells: 105</xltc:text>
  </xltc:threadedComment>
  <xltc:threadedComment ref="C107" dT="2026-08-08T05:07:04.498" personId="{8D4DEC15-6DBE-43BD-9884-843504AF0125}" id="{104F7CB9-E09F-10DA-47C1-64F6646648B7}">
    <xltc:text>S008: Current Assets Schedule
Machine ID: keysight:financial-statement-model:section:5
Component: C107:K132
Base cells: 234
Historical cells: 37
Projected cells: 70</xltc:text>
  </xltc:threadedComment>
  <xltc:threadedComment ref="C134" dT="2026-08-08T05:07:04.501" personId="{8D4DEC15-6DBE-43BD-9884-843504AF0125}" id="{2284787D-FB9C-1920-E13B-D07899849E71}">
    <xltc:text>S009: Intangibles Schedule
Machine ID: keysight:financial-statement-model:section:6
Component: C134:K147
Base cells: 126
Historical cells: 27
Projected cells: 45</xltc:text>
  </xltc:threadedComment>
  <xltc:threadedComment ref="C149" dT="2026-08-08T05:07:04.503" personId="{8D4DEC15-6DBE-43BD-9884-843504AF0125}" id="{A9ABDAD3-25EB-5AA0-2480-B0FDBD162A9B}">
    <xltc:text>S010: PP&amp;E Schedule
Machine ID: keysight:financial-statement-model:section:7
Component: C149:M158
Base cells: 110
Historical cells: 14
Projected cells: 31</xltc:text>
  </xltc:threadedComment>
  <xltc:threadedComment ref="C160" dT="2026-08-08T05:07:04.504" personId="{8D4DEC15-6DBE-43BD-9884-843504AF0125}" id="{CF07F1CC-5B44-8591-98AE-0B585D624A9E}">
    <xltc:text>S011: Retained Earnings Schedule
Machine ID: keysight:financial-statement-model:section:8
Component: C160:K169
Base cells: 90
Historical cells: 21
Projected cells: 35</xltc:text>
  </xltc:threadedComment>
  <xltc:threadedComment ref="C171" dT="2026-08-08T05:07:04.505" personId="{8D4DEC15-6DBE-43BD-9884-843504AF0125}" id="{4749475A-49CC-95B7-A836-F489F3D96E6B}">
    <xltc:text>S012: Non-controlling Interest Schedule
Machine ID: keysight:financial-statement-model:section:9
Component: C171:K179
Base cells: 81
Historical cells: 18
Projected cells: 30</xltc:text>
  </xltc:threadedComment>
  <xltc:threadedComment ref="C181" dT="2026-08-08T05:07:04.507" personId="{8D4DEC15-6DBE-43BD-9884-843504AF0125}" id="{1531A192-6A23-8623-82C6-BF3D68FF4E24}">
    <xltc:text>S013: Debt &amp; Interest Schedule (ex. Operating leases)
Machine ID: keysight:financial-statement-model:section:10
Component: C181:K209
Base cells: 261
Historical cells: 29
Projected cells: 85</xltc:text>
  </xltc:threadedComment>
  <xltc:threadedComment ref="C211" dT="2026-08-08T05:07:04.511" personId="{8D4DEC15-6DBE-43BD-9884-843504AF0125}" id="{18385EA9-B726-7429-AD26-F38B21519199}">
    <xltc:text>S014: Operating Lease Schedule
Machine ID: keysight:financial-statement-model:section:11
Component: C211:K237
Base cells: 243
Historical cells: 33
Projected cells: 95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C2" dT="2026-08-08T05:07:04.512" personId="{8D4DEC15-6DBE-43BD-9884-843504AF0125}" id="{06246CC0-D955-54EA-A3B9-8DFFDD427E98}">
    <xltc:text>S015: Discounted Cash Flow Model For Keysight Technologies, Inc.
Machine ID: keysight:integrated-dcf-model:section:1
Component: C2:N9
Base cells: 96
Historical cells: 0
Projected cells: 0</xltc:text>
  </xltc:threadedComment>
  <xltc:threadedComment ref="C11" dT="2026-08-08T05:07:04.514" personId="{8D4DEC15-6DBE-43BD-9884-843504AF0125}" id="{A48B772D-8746-381F-9B00-2BF4C5D76523}">
    <xltc:text>S016: Unlevered Free Cash Flow
Machine ID: keysight:integrated-dcf-model:section:2
Component: C11:N36
Base cells: 312
Historical cells: 45
Projected cells: 87</xltc:text>
  </xltc:threadedComment>
  <xltc:threadedComment ref="C38" dT="2026-08-08T05:07:04.517" personId="{8D4DEC15-6DBE-43BD-9884-843504AF0125}" id="{12E70437-A58C-3045-52EE-091B1B45DFEC}">
    <xltc:text>S017: Net Working Capital Schedule
Machine ID: keysight:integrated-dcf-model:section:3
Component: C38:L52
Base cells: 150
Historical cells: 29
Projected cells: 50</xltc:text>
  </xltc:threadedComment>
  <xltc:threadedComment ref="C54" dT="2026-08-08T05:07:04.518" personId="{8D4DEC15-6DBE-43BD-9884-843504AF0125}" id="{B863A337-B7EF-1E24-D1C7-7952046DE435}">
    <xltc:text>S018: Present Value of UFCFs as of Apr 12, 2024
Machine ID: keysight:integrated-dcf-model:section:4
Component: C54:L61
Base cells: 80
Historical cells: 0
Projected cells: 0</xltc:text>
  </xltc:threadedComment>
  <xltc:threadedComment ref="C63" dT="2026-08-08T05:07:04.518" personId="{8D4DEC15-6DBE-43BD-9884-843504AF0125}" id="{B57CB396-8C60-3626-7B90-AC843D2F41AF}">
    <xltc:text>S019: Basic to Fully Diluted Shares Bridge (in 000s)
Machine ID: keysight:integrated-dcf-model:section:5
Component: C63:D71
Base cells: 18
Historical cells: 0
Projected cells: 0</xltc:text>
  </xltc:threadedComment>
  <xltc:threadedComment ref="C73" dT="2026-08-08T05:07:04.52" personId="{8D4DEC15-6DBE-43BD-9884-843504AF0125}" id="{7B0F5080-2D16-747C-2640-4FE9F1882F43}">
    <xltc:text>S020: Terminal Value and Equity Value Bridge
Machine ID: keysight:integrated-dcf-model:section:6
Component: C73:L101
Base cells: 290
Historical cells: 0
Projected cells: 0</xltc:text>
  </xltc:threadedComment>
  <xltc:threadedComment ref="C103" dT="2026-08-08T05:07:04.522" personId="{8D4DEC15-6DBE-43BD-9884-843504AF0125}" id="{E1DF630E-D0F1-EC9F-D5B6-43F911CDA4AF}">
    <xltc:text>S021: Data Tables and Football Field
Machine ID: keysight:integrated-dcf-model:section:7
Component: C103:L124
Base cells: 220
Historical cells: 0
Projected cells: 0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C2" dT="2026-08-08T05:07:04.522" personId="{8D4DEC15-6DBE-43BD-9884-843504AF0125}" id="{A2DFBD0A-0EC3-768B-7504-C1A2629D93EA}">
    <xltc:text>S022: WACC Build For Keysight Technologies, Inc.
Machine ID: keysight:wacc-build:section:1
Component: C2:L9
Base cells: 80
Historical cells: 0
Projected cells: 0</xltc:text>
  </xltc:threadedComment>
  <xltc:threadedComment ref="C11" dT="2026-08-08T05:07:04.523" personId="{8D4DEC15-6DBE-43BD-9884-843504AF0125}" id="{B4428851-348A-C0F5-58AD-1A8A52FA5D1D}">
    <xltc:text>S023: Cost of Debt Calculation
Machine ID: keysight:wacc-build:section:2
Component: C11:D26
Base cells: 32
Historical cells: 0
Projected cells: 0</xltc:text>
  </xltc:threadedComment>
  <xltc:threadedComment ref="F11" dT="2026-08-08T05:07:04.525" personId="{8D4DEC15-6DBE-43BD-9884-843504AF0125}" id="{E9A978B8-D383-58E6-1E65-CD0EC251868B}">
    <xltc:text>S024: Beta (β) Calculator
Machine ID: keysight:wacc-build:section:3
Component: F11:L52
Base cells: 294
Historical cells: 0
Projected cells: 0</xltc:text>
  </xltc:threadedComment>
  <xltc:threadedComment ref="C28" dT="2026-08-08T05:07:04.525" personId="{8D4DEC15-6DBE-43BD-9884-843504AF0125}" id="{320FBF8B-07E3-5E34-F71D-0F08D4374723}">
    <xltc:text>S025: Cost of Equity Calculation
Machine ID: keysight:wacc-build:section:4
Component: C28:D35
Base cells: 16
Historical cells: 0
Projected cells: 0</xltc:text>
  </xltc:threadedComment>
  <xltc:threadedComment ref="C37" dT="2026-08-08T05:07:04.525" personId="{8D4DEC15-6DBE-43BD-9884-843504AF0125}" id="{0064B0BC-0463-25C8-9FFD-85A4997527C0}">
    <xltc:text>S026: Capital Structure and WACC
Machine ID: keysight:wacc-build:section:5
Component: C37:D45
Base cells: 18
Historical cells: 0
Projected cells: 0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cc4f0f15ac74248" /><Relationship Type="http://schemas.openxmlformats.org/officeDocument/2006/relationships/vmlDrawing" Target="/xl/drawings/vmldrawing.vml" Id="R36751ba459a44413" /><Relationship Type="http://schemas.microsoft.com/office/2017/10/relationships/threadedComment" Target="/xl/threadedcomments/threadedcomment.xml" Id="R7e0bf0af2cc34d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b86cfa9557b840b4" /><Relationship Type="http://schemas.openxmlformats.org/officeDocument/2006/relationships/vmlDrawing" Target="/xl/drawings/vmldrawing2.vml" Id="R4cd643ea405040e6" /><Relationship Type="http://schemas.microsoft.com/office/2017/10/relationships/threadedComment" Target="/xl/threadedcomments/threadedcomment2.xml" Id="Rd175559ce46a4a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692c13dc4e4643d4" /><Relationship Type="http://schemas.openxmlformats.org/officeDocument/2006/relationships/vmlDrawing" Target="/xl/drawings/vmldrawing3.vml" Id="R3f332edbf4ab4a73" /><Relationship Type="http://schemas.microsoft.com/office/2017/10/relationships/threadedComment" Target="/xl/threadedcomments/threadedcomment3.xml" Id="Rb2e29b9c9c9c4d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9f5c108bd21246a6" /><Relationship Type="http://schemas.openxmlformats.org/officeDocument/2006/relationships/vmlDrawing" Target="/xl/drawings/vmldrawing4.vml" Id="R5bde3d78614d4d9f" /><Relationship Type="http://schemas.microsoft.com/office/2017/10/relationships/threadedComment" Target="/xl/threadedcomments/threadedcomment4.xml" Id="Ra1494bfa06f04e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4.44140625" defaultRowHeight="14.399999618530273"/>
  <x:cols>
    <x:col min="1" max="1" width="1.6640625" style="30" customWidth="1"/>
    <x:col min="2" max="2" width="2.6640625" style="30" customWidth="1"/>
    <x:col min="3" max="3" width="45.6640625" style="30" customWidth="1"/>
    <x:col min="4" max="11" width="12.5546875" style="30" customWidth="1"/>
    <x:col min="12" max="12" width="2.6640625" style="30" customWidth="1"/>
    <x:col min="13" max="13" width="8.6640625" style="30" customWidth="1"/>
    <x:col min="14" max="18" width="11.33203125" style="30" customWidth="1"/>
    <x:col min="19" max="23" width="8.6640625" style="30" customWidth="1"/>
    <x:col min="24" max="16384" width="14.44140625" style="30" customWidth="0"/>
  </x:cols>
  <x:sheetData>
    <x:row r="1" ht="14.399999618530273" customHeight="1"/>
    <x:row r="2" ht="18" customHeight="1">
      <x:c r="C2" s="346" t="str">
        <x:f>"Revenue Build &amp; Growth Drivers For "&amp;D5</x:f>
        <x:v>Revenue Build &amp; Growth Drivers For Keysight Technologies, Inc.</x:v>
      </x:c>
      <x:c r="D2" s="347"/>
      <x:c r="E2" s="347"/>
      <x:c r="F2" s="347"/>
      <x:c r="G2" s="347"/>
      <x:c r="H2" s="347"/>
      <x:c r="I2" s="347"/>
      <x:c r="J2" s="347"/>
      <x:c r="K2" s="348"/>
    </x:row>
    <x:row r="3" ht="14.399999618530273" customHeight="1">
      <x:c r="C3" s="349" t="s">
        <x:v>0</x:v>
      </x:c>
      <x:c r="D3" s="350"/>
      <x:c r="E3" s="350"/>
      <x:c r="F3" s="350"/>
      <x:c r="G3" s="350"/>
      <x:c r="H3" s="350"/>
      <x:c r="I3" s="350"/>
      <x:c r="J3" s="350"/>
      <x:c r="K3" s="351"/>
    </x:row>
    <x:row r="4" ht="14.399999618530273" customHeight="1">
      <x:c r="C4" s="352"/>
      <x:c r="D4" s="353"/>
      <x:c r="E4" s="353"/>
      <x:c r="F4" s="353"/>
      <x:c r="G4" s="353"/>
      <x:c r="H4" s="353"/>
      <x:c r="I4" s="353"/>
      <x:c r="J4" s="353"/>
      <x:c r="K4" s="354"/>
    </x:row>
    <x:row r="5" ht="14.399999618530273" customHeight="1">
      <x:c r="C5" s="355" t="s">
        <x:v>1</x:v>
      </x:c>
      <x:c r="D5" s="356" t="s">
        <x:v>2</x:v>
      </x:c>
      <x:c r="E5" s="353"/>
      <x:c r="F5" s="353"/>
      <x:c r="G5" s="353"/>
      <x:c r="H5" s="353"/>
      <x:c r="I5" s="353"/>
      <x:c r="J5" s="353"/>
      <x:c r="K5" s="354"/>
    </x:row>
    <x:row r="6" ht="14.399999618530273" customHeight="1">
      <x:c r="C6" s="355" t="s">
        <x:v>3</x:v>
      </x:c>
      <x:c r="D6" s="357" t="s">
        <x:v>4</x:v>
      </x:c>
      <x:c r="E6" s="353"/>
      <x:c r="F6" s="356"/>
      <x:c r="G6" s="353"/>
      <x:c r="H6" s="353"/>
      <x:c r="I6" s="353"/>
      <x:c r="J6" s="353"/>
      <x:c r="K6" s="354"/>
    </x:row>
    <x:row r="7" ht="14.399999618530273" customHeight="1">
      <x:c r="C7" s="355" t="s">
        <x:v>5</x:v>
      </x:c>
      <x:c r="D7" s="358">
        <x:v>45394</x:v>
      </x:c>
      <x:c r="E7" s="353"/>
      <x:c r="F7" s="359"/>
      <x:c r="G7" s="353"/>
      <x:c r="H7" s="353"/>
      <x:c r="I7" s="353"/>
      <x:c r="J7" s="353"/>
      <x:c r="K7" s="354"/>
    </x:row>
    <x:row r="8" ht="14.399999618530273" customHeight="1">
      <x:c r="C8" s="355" t="s">
        <x:v>6</x:v>
      </x:c>
      <x:c r="D8" s="358">
        <x:v>45393</x:v>
      </x:c>
      <x:c r="E8" s="353"/>
      <x:c r="F8" s="360"/>
      <x:c r="G8" s="353"/>
      <x:c r="H8" s="353"/>
      <x:c r="I8" s="353"/>
      <x:c r="J8" s="353"/>
      <x:c r="K8" s="354"/>
    </x:row>
    <x:row r="9" ht="14.399999618530273" customHeight="1">
      <x:c r="C9" s="355" t="s">
        <x:v>7</x:v>
      </x:c>
      <x:c r="D9" s="361">
        <x:v>160.13999999999999</x:v>
      </x:c>
      <x:c r="E9" s="353"/>
      <x:c r="F9" s="353"/>
      <x:c r="G9" s="353"/>
      <x:c r="H9" s="353"/>
      <x:c r="I9" s="353"/>
      <x:c r="J9" s="353"/>
      <x:c r="K9" s="354"/>
    </x:row>
    <x:row r="10">
      <x:c r="C10" s="362"/>
      <x:c r="D10" s="353"/>
      <x:c r="E10" s="353"/>
      <x:c r="F10" s="353"/>
      <x:c r="G10" s="353"/>
      <x:c r="H10" s="353"/>
      <x:c r="I10" s="353"/>
      <x:c r="J10" s="353"/>
      <x:c r="K10" s="354"/>
    </x:row>
    <x:row r="11" ht="14.399999618530273" customHeight="1">
      <x:c r="C11" s="363" t="s">
        <x:v>8</x:v>
      </x:c>
      <x:c r="D11" s="364" t="s">
        <x:v>9</x:v>
      </x:c>
      <x:c r="E11" s="365"/>
      <x:c r="F11" s="366"/>
      <x:c r="G11" s="364" t="s">
        <x:v>10</x:v>
      </x:c>
      <x:c r="H11" s="365"/>
      <x:c r="I11" s="365"/>
      <x:c r="J11" s="365"/>
      <x:c r="K11" s="367"/>
    </x:row>
    <x:row r="12" ht="14.399999618530273" customHeight="1">
      <x:c r="C12" s="363"/>
      <x:c r="D12" s="378" t="n">
        <x:f>'Financial Statement Model'!D12</x:f>
        <x:v>44500</x:v>
      </x:c>
      <x:c r="E12" s="378" t="n">
        <x:f>'Financial Statement Model'!E12</x:f>
        <x:v>44865</x:v>
      </x:c>
      <x:c r="F12" s="378" t="n">
        <x:f>'Financial Statement Model'!F12</x:f>
        <x:v>45230</x:v>
      </x:c>
      <x:c r="G12" s="381" t="n">
        <x:f>'Financial Statement Model'!G12</x:f>
        <x:v>45596</x:v>
      </x:c>
      <x:c r="H12" s="381" t="n">
        <x:f>'Financial Statement Model'!H12</x:f>
        <x:v>45961</x:v>
      </x:c>
      <x:c r="I12" s="381" t="n">
        <x:f>'Financial Statement Model'!I12</x:f>
        <x:v>46326</x:v>
      </x:c>
      <x:c r="J12" s="381" t="n">
        <x:f>'Financial Statement Model'!J12</x:f>
        <x:v>46691</x:v>
      </x:c>
      <x:c r="K12" s="746" t="n">
        <x:f>'Financial Statement Model'!K12</x:f>
        <x:v>47057</x:v>
      </x:c>
    </x:row>
    <x:row r="13">
      <x:c r="C13" s="362"/>
      <x:c r="D13" s="353"/>
      <x:c r="E13" s="353"/>
      <x:c r="F13" s="353"/>
      <x:c r="G13" s="353"/>
      <x:c r="H13" s="353"/>
      <x:c r="I13" s="353"/>
      <x:c r="J13" s="353"/>
      <x:c r="K13" s="354"/>
    </x:row>
    <x:row r="14" ht="14.399999618530273" customHeight="1">
      <x:c r="C14" s="369" t="s">
        <x:v>11</x:v>
      </x:c>
      <x:c r="D14" s="379" t="n">
        <x:f>+D23+D30</x:f>
        <x:v>4941000</x:v>
      </x:c>
      <x:c r="E14" s="379" t="n">
        <x:f t="shared" ref="E14:K14" si="0">+E23+E30</x:f>
        <x:v>5420000</x:v>
      </x:c>
      <x:c r="F14" s="379">
        <x:f t="shared" si="0"/>
        <x:v>5464000</x:v>
      </x:c>
      <x:c r="G14" s="382">
        <x:f t="shared" si="0"/>
        <x:v>5740940</x:v>
      </x:c>
      <x:c r="H14" s="382">
        <x:f t="shared" si="0"/>
        <x:v>6106477.8000000007</x:v>
      </x:c>
      <x:c r="I14" s="382">
        <x:f t="shared" si="0"/>
        <x:v>6500932.8300000001</x:v>
      </x:c>
      <x:c r="J14" s="382">
        <x:f t="shared" si="0"/>
        <x:v>6896456.1555000003</x:v>
      </x:c>
      <x:c r="K14" s="759">
        <x:f t="shared" si="0"/>
        <x:v>7322384.811075002</x:v>
      </x:c>
    </x:row>
    <x:row r="15" ht="14.399999618530273" customHeight="1">
      <x:c r="C15" s="373" t="s">
        <x:v>12</x:v>
      </x:c>
      <x:c r="D15" s="374"/>
      <x:c r="E15" s="375" t="n">
        <x:f>+E14/D14-1</x:f>
        <x:v>0.09694393847399319</x:v>
      </x:c>
      <x:c r="F15" s="375" t="n">
        <x:f t="shared" ref="F15:K15" si="1">+F14/E14-1</x:f>
        <x:v>0.008118081180811698</x:v>
      </x:c>
      <x:c r="G15" s="375">
        <x:f t="shared" si="1"/>
        <x:v>5.0684480234260532E-2</x:v>
      </x:c>
      <x:c r="H15" s="375">
        <x:f t="shared" si="1"/>
        <x:v>6.3672116412991642E-2</x:v>
      </x:c>
      <x:c r="I15" s="375">
        <x:f t="shared" si="1"/>
        <x:v>6.4596162128027323E-2</x:v>
      </x:c>
      <x:c r="J15" s="375">
        <x:f t="shared" si="1"/>
        <x:v>6.0841010950731578E-2</x:v>
      </x:c>
      <x:c r="K15" s="377">
        <x:f t="shared" si="1"/>
        <x:v>6.176051090172141E-2</x:v>
      </x:c>
    </x:row>
    <x:row r="16" ht="14.399999618530273" customHeight="1">
      <x:c r="C16" s="35"/>
      <x:c r="E16" s="45"/>
      <x:c r="F16" s="45"/>
      <x:c r="G16" s="45"/>
      <x:c r="H16" s="45"/>
      <x:c r="I16" s="45"/>
      <x:c r="J16" s="45"/>
      <x:c r="K16" s="45"/>
    </x:row>
    <x:row r="17" ht="14.399999618530273" customHeight="1">
      <x:c r="C17" s="384" t="s">
        <x:v>13</x:v>
      </x:c>
      <x:c r="D17" s="385" t="s">
        <x:v>9</x:v>
      </x:c>
      <x:c r="E17" s="386"/>
      <x:c r="F17" s="387"/>
      <x:c r="G17" s="385" t="s">
        <x:v>10</x:v>
      </x:c>
      <x:c r="H17" s="386"/>
      <x:c r="I17" s="386"/>
      <x:c r="J17" s="386"/>
      <x:c r="K17" s="388"/>
    </x:row>
    <x:row r="18" ht="14.399999618530273" customHeight="1">
      <x:c r="C18" s="363"/>
      <x:c r="D18" s="378" t="n">
        <x:f>'Financial Statement Model'!D12</x:f>
        <x:v>44500</x:v>
      </x:c>
      <x:c r="E18" s="378" t="n">
        <x:f>'Financial Statement Model'!E12</x:f>
        <x:v>44865</x:v>
      </x:c>
      <x:c r="F18" s="378" t="n">
        <x:f>'Financial Statement Model'!F12</x:f>
        <x:v>45230</x:v>
      </x:c>
      <x:c r="G18" s="381" t="n">
        <x:f>'Financial Statement Model'!G12</x:f>
        <x:v>45596</x:v>
      </x:c>
      <x:c r="H18" s="381" t="n">
        <x:f>'Financial Statement Model'!H12</x:f>
        <x:v>45961</x:v>
      </x:c>
      <x:c r="I18" s="381" t="n">
        <x:f>'Financial Statement Model'!I12</x:f>
        <x:v>46326</x:v>
      </x:c>
      <x:c r="J18" s="381" t="n">
        <x:f>'Financial Statement Model'!J12</x:f>
        <x:v>46691</x:v>
      </x:c>
      <x:c r="K18" s="746" t="n">
        <x:f>'Financial Statement Model'!K12</x:f>
        <x:v>47057</x:v>
      </x:c>
    </x:row>
    <x:row r="19">
      <x:c r="C19" s="362"/>
      <x:c r="D19" s="353"/>
      <x:c r="E19" s="353"/>
      <x:c r="F19" s="353"/>
      <x:c r="G19" s="353"/>
      <x:c r="H19" s="353"/>
      <x:c r="I19" s="353"/>
      <x:c r="J19" s="353"/>
      <x:c r="K19" s="354"/>
    </x:row>
    <x:row r="20" ht="14.399999618530273" customHeight="1">
      <x:c r="C20" s="389" t="s">
        <x:v>14</x:v>
      </x:c>
      <x:c r="D20" s="353"/>
      <x:c r="E20" s="353"/>
      <x:c r="F20" s="390"/>
      <x:c r="G20" s="353"/>
      <x:c r="H20" s="353"/>
      <x:c r="I20" s="353"/>
      <x:c r="J20" s="353"/>
      <x:c r="K20" s="354"/>
    </x:row>
    <x:row r="21" ht="14.399999618530273" customHeight="1">
      <x:c r="C21" s="391" t="s">
        <x:v>15</x:v>
      </x:c>
      <x:c r="D21" s="414">
        <x:v>1142000</x:v>
      </x:c>
      <x:c r="E21" s="414">
        <x:v>1171000</x:v>
      </x:c>
      <x:c r="F21" s="414">
        <x:v>1250000</x:v>
      </x:c>
      <x:c r="G21" s="417" t="n">
        <x:f t="shared" ref="G21:K22" si="2">+F21*(1+G38)</x:f>
        <x:v>1331250</x:v>
      </x:c>
      <x:c r="H21" s="417">
        <x:f t="shared" si="2"/>
        <x:v>1411125</x:v>
      </x:c>
      <x:c r="I21" s="417">
        <x:f t="shared" si="2"/>
        <x:v>1509903.75</x:v>
      </x:c>
      <x:c r="J21" s="417">
        <x:f t="shared" si="2"/>
        <x:v>1585398.9375</x:v>
      </x:c>
      <x:c r="K21" s="747">
        <x:f t="shared" si="2"/>
        <x:v>1664668.8843750001</x:v>
      </x:c>
    </x:row>
    <x:row r="22" ht="14.399999618530273" customHeight="1">
      <x:c r="C22" s="391" t="s">
        <x:v>16</x:v>
      </x:c>
      <x:c r="D22" s="414">
        <x:v>2381000</x:v>
      </x:c>
      <x:c r="E22" s="414">
        <x:v>2632000</x:v>
      </x:c>
      <x:c r="F22" s="414">
        <x:v>2435000</x:v>
      </x:c>
      <x:c r="G22" s="417">
        <x:f t="shared" si="2"/>
        <x:v>2435000</x:v>
      </x:c>
      <x:c r="H22" s="417">
        <x:f t="shared" si="2"/>
        <x:v>2483700</x:v>
      </x:c>
      <x:c r="I22" s="417">
        <x:f t="shared" si="2"/>
        <x:v>2558211</x:v>
      </x:c>
      <x:c r="J22" s="417">
        <x:f t="shared" si="2"/>
        <x:v>2634957.33</x:v>
      </x:c>
      <x:c r="K22" s="747">
        <x:f t="shared" si="2"/>
        <x:v>2714006.0499</x:v>
      </x:c>
    </x:row>
    <x:row r="23" ht="14.399999618530273" customHeight="1">
      <x:c r="C23" s="389" t="s">
        <x:v>17</x:v>
      </x:c>
      <x:c r="D23" s="379" t="n">
        <x:f t="shared" ref="D23:F23" si="3">SUM(D21:D22)</x:f>
        <x:v>3523000</x:v>
      </x:c>
      <x:c r="E23" s="379">
        <x:f t="shared" si="3"/>
        <x:v>3803000</x:v>
      </x:c>
      <x:c r="F23" s="379">
        <x:f t="shared" si="3"/>
        <x:v>3685000</x:v>
      </x:c>
      <x:c r="G23" s="418" t="n">
        <x:f>SUM(G21:G22)</x:f>
        <x:v>3766250</x:v>
      </x:c>
      <x:c r="H23" s="418" t="n">
        <x:f>SUM(H21:H22)</x:f>
        <x:v>3894825</x:v>
      </x:c>
      <x:c r="I23" s="418" t="n">
        <x:f>SUM(I21:I22)</x:f>
        <x:v>4068114.75</x:v>
      </x:c>
      <x:c r="J23" s="418" t="n">
        <x:f>SUM(J21:J22)</x:f>
        <x:v>4220356.2675</x:v>
      </x:c>
      <x:c r="K23" s="748" t="n">
        <x:f>SUM(K21:K22)</x:f>
        <x:v>4378674.934275</x:v>
      </x:c>
    </x:row>
    <x:row r="24" ht="14.399999618530273" customHeight="1">
      <x:c r="C24" s="352" t="s">
        <x:v>12</x:v>
      </x:c>
      <x:c r="D24" s="398"/>
      <x:c r="E24" s="380" t="n">
        <x:f>+E23/D23-1</x:f>
        <x:v>0.07947771785410152</x:v>
      </x:c>
      <x:c r="F24" s="380" t="n">
        <x:f>+F23/E23-1</x:f>
        <x:v>-0.031028135682356073</x:v>
      </x:c>
      <x:c r="G24" s="383" t="n">
        <x:f t="shared" ref="G24:K24" si="4">+G23/F23-1</x:f>
        <x:v>0.022048846675712275</x:v>
      </x:c>
      <x:c r="H24" s="383">
        <x:f t="shared" si="4"/>
        <x:v>3.4138732160637231E-2</x:v>
      </x:c>
      <x:c r="I24" s="383">
        <x:f t="shared" si="4"/>
        <x:v>4.4492307099805561E-2</x:v>
      </x:c>
      <x:c r="J24" s="383">
        <x:f t="shared" si="4"/>
        <x:v>3.7423112880481169E-2</x:v>
      </x:c>
      <x:c r="K24" s="760">
        <x:f t="shared" si="4"/>
        <x:v>3.7513104757097349E-2</x:v>
      </x:c>
    </x:row>
    <x:row r="25" ht="14.399999618530273" customHeight="1">
      <x:c r="C25" s="352"/>
      <x:c r="D25" s="353"/>
      <x:c r="E25" s="402"/>
      <x:c r="F25" s="403"/>
      <x:c r="G25" s="402"/>
      <x:c r="H25" s="402"/>
      <x:c r="I25" s="402"/>
      <x:c r="J25" s="402"/>
      <x:c r="K25" s="404"/>
    </x:row>
    <x:row r="26" ht="14.399999618530273" customHeight="1">
      <x:c r="C26" s="389" t="s">
        <x:v>18</x:v>
      </x:c>
      <x:c r="D26" s="353"/>
      <x:c r="E26" s="353"/>
      <x:c r="F26" s="390"/>
      <x:c r="G26" s="353"/>
      <x:c r="H26" s="353"/>
      <x:c r="I26" s="353"/>
      <x:c r="J26" s="353"/>
      <x:c r="K26" s="354"/>
    </x:row>
    <x:row r="27" ht="14.399999618530273" customHeight="1">
      <x:c r="C27" s="355" t="str">
        <x:f>C21</x:f>
        <x:v>Aerospace, Defense &amp; Government</x:v>
      </x:c>
      <x:c r="D27" s="415" t="n">
        <x:f t="shared" ref="D27:F27" si="5">+D21/D$23</x:f>
        <x:v>0.32415554924780016</x:v>
      </x:c>
      <x:c r="E27" s="415">
        <x:f t="shared" si="5"/>
        <x:v>0.30791480410202471</x:v>
      </x:c>
      <x:c r="F27" s="415">
        <x:f t="shared" si="5"/>
        <x:v>0.33921302578018997</x:v>
      </x:c>
      <x:c r="G27" s="419" t="n">
        <x:f t="shared" ref="G27:K28" si="6">+G21/G$23</x:f>
        <x:v>0.353468304015931</x:v>
      </x:c>
      <x:c r="H27" s="419">
        <x:f t="shared" si="6"/>
        <x:v>0.36230767749513776</x:v>
      </x:c>
      <x:c r="I27" s="419">
        <x:f t="shared" si="6"/>
        <x:v>0.37115564402405316</x:v>
      </x:c>
      <x:c r="J27" s="419">
        <x:f t="shared" si="6"/>
        <x:v>0.3756552378548691</x:v>
      </x:c>
      <x:c r="K27" s="750">
        <x:f t="shared" si="6"/>
        <x:v>0.38017640253320789</x:v>
      </x:c>
    </x:row>
    <x:row r="28" ht="14.399999618530273" customHeight="1">
      <x:c r="C28" s="355" t="str">
        <x:f>C22</x:f>
        <x:v>Commercial Communications</x:v>
      </x:c>
      <x:c r="D28" s="415" t="n">
        <x:f t="shared" ref="D28:F28" si="7">+D22/D$23</x:f>
        <x:v>0.6758444507521998</x:v>
      </x:c>
      <x:c r="E28" s="415">
        <x:f t="shared" si="7"/>
        <x:v>0.69208519589797524</x:v>
      </x:c>
      <x:c r="F28" s="415">
        <x:f t="shared" si="7"/>
        <x:v>0.66078697421981003</x:v>
      </x:c>
      <x:c r="G28" s="419">
        <x:f t="shared" si="6"/>
        <x:v>0.64653169598406901</x:v>
      </x:c>
      <x:c r="H28" s="419">
        <x:f t="shared" si="6"/>
        <x:v>0.63769232250486219</x:v>
      </x:c>
      <x:c r="I28" s="419">
        <x:f t="shared" si="6"/>
        <x:v>0.62884435597594679</x:v>
      </x:c>
      <x:c r="J28" s="419">
        <x:f t="shared" si="6"/>
        <x:v>0.6243447621451309</x:v>
      </x:c>
      <x:c r="K28" s="750">
        <x:f t="shared" si="6"/>
        <x:v>0.61982359746679205</x:v>
      </x:c>
    </x:row>
    <x:row r="29" ht="14.399999618530273" customHeight="1">
      <x:c r="C29" s="352"/>
      <x:c r="D29" s="353"/>
      <x:c r="E29" s="402"/>
      <x:c r="F29" s="403"/>
      <x:c r="G29" s="402"/>
      <x:c r="H29" s="402"/>
      <x:c r="I29" s="402"/>
      <x:c r="J29" s="402"/>
      <x:c r="K29" s="404"/>
    </x:row>
    <x:row r="30" ht="14.399999618530273" customHeight="1">
      <x:c r="C30" s="409" t="s">
        <x:v>19</x:v>
      </x:c>
      <x:c r="D30" s="416">
        <x:v>1418000</x:v>
      </x:c>
      <x:c r="E30" s="416">
        <x:v>1617000</x:v>
      </x:c>
      <x:c r="F30" s="416">
        <x:v>1779000</x:v>
      </x:c>
      <x:c r="G30" s="418" t="n">
        <x:f>+F30*(1+G40)</x:f>
        <x:v>1974690.0000000002</x:v>
      </x:c>
      <x:c r="H30" s="418" t="n">
        <x:f>+G30*(1+H40)</x:f>
        <x:v>2211652.8000000003</x:v>
      </x:c>
      <x:c r="I30" s="418" t="n">
        <x:f>+H30*(1+I40)</x:f>
        <x:v>2432818.0800000005</x:v>
      </x:c>
      <x:c r="J30" s="418" t="n">
        <x:f>+I30*(1+J40)</x:f>
        <x:v>2676099.8880000007</x:v>
      </x:c>
      <x:c r="K30" s="748" t="n">
        <x:f>+J30*(1+K40)</x:f>
        <x:v>2943709.876800001</x:v>
      </x:c>
    </x:row>
    <x:row r="31" ht="14.399999618530273" customHeight="1">
      <x:c r="C31" s="412" t="s">
        <x:v>12</x:v>
      </x:c>
      <x:c r="D31" s="413"/>
      <x:c r="E31" s="375" t="n">
        <x:f>+E30/D30-1</x:f>
        <x:v>0.14033850493653022</x:v>
      </x:c>
      <x:c r="F31" s="375" t="n">
        <x:f>+F30/E30-1</x:f>
        <x:v>0.1001855287569573</x:v>
      </x:c>
      <x:c r="G31" s="375" t="n">
        <x:f t="shared" ref="G31:K31" si="8">+G30/F30-1</x:f>
        <x:v>0.1100000000000001</x:v>
      </x:c>
      <x:c r="H31" s="375">
        <x:f t="shared" si="8"/>
        <x:v>0.12000000000000011</x:v>
      </x:c>
      <x:c r="I31" s="375">
        <x:f t="shared" si="8"/>
        <x:v>0.10000000000000009</x:v>
      </x:c>
      <x:c r="J31" s="375">
        <x:f t="shared" si="8"/>
        <x:v>0.10000000000000009</x:v>
      </x:c>
      <x:c r="K31" s="377">
        <x:f t="shared" si="8"/>
        <x:v>0.10000000000000009</x:v>
      </x:c>
    </x:row>
    <x:row r="33" ht="14.399999618530273" customHeight="1">
      <x:c r="C33" s="420" t="s">
        <x:v>20</x:v>
      </x:c>
      <x:c r="D33" s="421"/>
      <x:c r="E33" s="421"/>
      <x:c r="F33" s="421"/>
      <x:c r="G33" s="421"/>
      <x:c r="H33" s="421"/>
      <x:c r="I33" s="421"/>
      <x:c r="J33" s="421"/>
      <x:c r="K33" s="422"/>
    </x:row>
    <x:row r="34">
      <x:c r="C34" s="362"/>
      <x:c r="D34" s="353"/>
      <x:c r="E34" s="353"/>
      <x:c r="F34" s="353"/>
      <x:c r="G34" s="353"/>
      <x:c r="H34" s="353"/>
      <x:c r="I34" s="353"/>
      <x:c r="J34" s="353"/>
      <x:c r="K34" s="354"/>
    </x:row>
    <x:row r="35" ht="14.399999618530273" customHeight="1">
      <x:c r="C35" s="423" t="s">
        <x:v>21</x:v>
      </x:c>
      <x:c r="D35" s="364" t="s">
        <x:v>9</x:v>
      </x:c>
      <x:c r="E35" s="365"/>
      <x:c r="F35" s="366"/>
      <x:c r="G35" s="364" t="s">
        <x:v>10</x:v>
      </x:c>
      <x:c r="H35" s="365"/>
      <x:c r="I35" s="365"/>
      <x:c r="J35" s="365"/>
      <x:c r="K35" s="367"/>
    </x:row>
    <x:row r="36" ht="14.399999618530273" customHeight="1">
      <x:c r="C36" s="423"/>
      <x:c r="D36" s="378" t="n">
        <x:f>'Financial Statement Model'!D12</x:f>
        <x:v>44500</x:v>
      </x:c>
      <x:c r="E36" s="378" t="n">
        <x:f>'Financial Statement Model'!E12</x:f>
        <x:v>44865</x:v>
      </x:c>
      <x:c r="F36" s="378" t="n">
        <x:f>'Financial Statement Model'!F12</x:f>
        <x:v>45230</x:v>
      </x:c>
      <x:c r="G36" s="381" t="n">
        <x:f>'Financial Statement Model'!G12</x:f>
        <x:v>45596</x:v>
      </x:c>
      <x:c r="H36" s="381" t="n">
        <x:f>'Financial Statement Model'!H12</x:f>
        <x:v>45961</x:v>
      </x:c>
      <x:c r="I36" s="381" t="n">
        <x:f>'Financial Statement Model'!I12</x:f>
        <x:v>46326</x:v>
      </x:c>
      <x:c r="J36" s="381" t="n">
        <x:f>'Financial Statement Model'!J12</x:f>
        <x:v>46691</x:v>
      </x:c>
      <x:c r="K36" s="746" t="n">
        <x:f>'Financial Statement Model'!K12</x:f>
        <x:v>47057</x:v>
      </x:c>
    </x:row>
    <x:row r="37" ht="14.399999618530273" customHeight="1">
      <x:c r="C37" s="362" t="s">
        <x:v>22</x:v>
      </x:c>
      <x:c r="D37" s="353"/>
      <x:c r="E37" s="353"/>
      <x:c r="F37" s="353"/>
      <x:c r="G37" s="353"/>
      <x:c r="H37" s="353"/>
      <x:c r="I37" s="353"/>
      <x:c r="J37" s="353"/>
      <x:c r="K37" s="354"/>
    </x:row>
    <x:row r="38" ht="14.399999618530273" customHeight="1">
      <x:c r="C38" s="355" t="str">
        <x:f>+C21</x:f>
        <x:v>Aerospace, Defense &amp; Government</x:v>
      </x:c>
      <x:c r="D38" s="398"/>
      <x:c r="E38" s="415" t="n">
        <x:f>+E21/D21-1</x:f>
        <x:v>0.02539404553415059</x:v>
      </x:c>
      <x:c r="F38" s="415" t="n">
        <x:f>+F21/E21-1</x:f>
        <x:v>0.06746370623398801</x:v>
      </x:c>
      <x:c r="G38" s="447">
        <x:v>6.5000000000000002E-2</x:v>
      </x:c>
      <x:c r="H38" s="447">
        <x:v>0.06</x:v>
      </x:c>
      <x:c r="I38" s="447">
        <x:v>7.0000000000000007E-2</x:v>
      </x:c>
      <x:c r="J38" s="447">
        <x:v>0.05</x:v>
      </x:c>
      <x:c r="K38" s="755">
        <x:v>0.05</x:v>
      </x:c>
    </x:row>
    <x:row r="39" ht="14.399999618530273" customHeight="1">
      <x:c r="C39" s="355" t="str">
        <x:f>+C22</x:f>
        <x:v>Commercial Communications</x:v>
      </x:c>
      <x:c r="D39" s="398"/>
      <x:c r="E39" s="415" t="n">
        <x:f>+E22/D22-1</x:f>
        <x:v>0.10541789164216708</x:v>
      </x:c>
      <x:c r="F39" s="415" t="n">
        <x:f>+F22/E22-1</x:f>
        <x:v>-0.07484802431610937</x:v>
      </x:c>
      <x:c r="G39" s="447">
        <x:v>0</x:v>
      </x:c>
      <x:c r="H39" s="447">
        <x:v>0.02</x:v>
      </x:c>
      <x:c r="I39" s="447">
        <x:v>0.03</x:v>
      </x:c>
      <x:c r="J39" s="447">
        <x:v>0.03</x:v>
      </x:c>
      <x:c r="K39" s="755">
        <x:v>0.03</x:v>
      </x:c>
    </x:row>
    <x:row r="40" ht="14.399999618530273" customHeight="1">
      <x:c r="B40" s="30" t="s">
        <x:v>23</x:v>
      </x:c>
      <x:c r="C40" s="426" t="str">
        <x:f>C30</x:f>
        <x:v>Electronic Industrial Solutions Group (EISG)</x:v>
      </x:c>
      <x:c r="D40" s="427"/>
      <x:c r="E40" s="415" t="n">
        <x:f>+E30/D30-1</x:f>
        <x:v>0.14033850493653022</x:v>
      </x:c>
      <x:c r="F40" s="415" t="n">
        <x:f>+F30/E30-1</x:f>
        <x:v>0.1001855287569573</x:v>
      </x:c>
      <x:c r="G40" s="447">
        <x:v>0.11</x:v>
      </x:c>
      <x:c r="H40" s="447">
        <x:v>0.12</x:v>
      </x:c>
      <x:c r="I40" s="447">
        <x:v>0.1</x:v>
      </x:c>
      <x:c r="J40" s="447">
        <x:v>0.1</x:v>
      </x:c>
      <x:c r="K40" s="755">
        <x:v>0.1</x:v>
      </x:c>
    </x:row>
    <x:row r="41">
      <x:c r="C41" s="362"/>
      <x:c r="D41" s="353"/>
      <x:c r="E41" s="353"/>
      <x:c r="F41" s="353"/>
      <x:c r="G41" s="353"/>
      <x:c r="H41" s="353"/>
      <x:c r="I41" s="353"/>
      <x:c r="J41" s="353"/>
      <x:c r="K41" s="354"/>
    </x:row>
    <x:row r="42" ht="14.399999618530273" customHeight="1">
      <x:c r="C42" s="423" t="s">
        <x:v>24</x:v>
      </x:c>
      <x:c r="D42" s="364" t="s">
        <x:v>9</x:v>
      </x:c>
      <x:c r="E42" s="365"/>
      <x:c r="F42" s="366"/>
      <x:c r="G42" s="364" t="s">
        <x:v>10</x:v>
      </x:c>
      <x:c r="H42" s="365"/>
      <x:c r="I42" s="365"/>
      <x:c r="J42" s="365"/>
      <x:c r="K42" s="367"/>
    </x:row>
    <x:row r="43" ht="14.399999618530273" customHeight="1">
      <x:c r="C43" s="423"/>
      <x:c r="D43" s="378" t="n">
        <x:f>'Financial Statement Model'!D12</x:f>
        <x:v>44500</x:v>
      </x:c>
      <x:c r="E43" s="378" t="n">
        <x:f>'Financial Statement Model'!E12</x:f>
        <x:v>44865</x:v>
      </x:c>
      <x:c r="F43" s="378" t="n">
        <x:f>'Financial Statement Model'!F12</x:f>
        <x:v>45230</x:v>
      </x:c>
      <x:c r="G43" s="381" t="n">
        <x:f>'Financial Statement Model'!G12</x:f>
        <x:v>45596</x:v>
      </x:c>
      <x:c r="H43" s="381" t="n">
        <x:f>'Financial Statement Model'!H12</x:f>
        <x:v>45961</x:v>
      </x:c>
      <x:c r="I43" s="381" t="n">
        <x:f>'Financial Statement Model'!I12</x:f>
        <x:v>46326</x:v>
      </x:c>
      <x:c r="J43" s="381" t="n">
        <x:f>'Financial Statement Model'!J12</x:f>
        <x:v>46691</x:v>
      </x:c>
      <x:c r="K43" s="746" t="n">
        <x:f>'Financial Statement Model'!K12</x:f>
        <x:v>47057</x:v>
      </x:c>
    </x:row>
    <x:row r="44" ht="14.399999618530273" customHeight="1">
      <x:c r="C44" s="362" t="s">
        <x:v>25</x:v>
      </x:c>
      <x:c r="D44" s="353"/>
      <x:c r="E44" s="353"/>
      <x:c r="F44" s="353"/>
      <x:c r="G44" s="353"/>
      <x:c r="H44" s="353"/>
      <x:c r="I44" s="353"/>
      <x:c r="J44" s="353"/>
      <x:c r="K44" s="354"/>
    </x:row>
    <x:row r="45" ht="14.399999618530273" customHeight="1">
      <x:c r="C45" s="355" t="s">
        <x:v>26</x:v>
      </x:c>
      <x:c r="D45" s="444" t="n">
        <x:f>'Financial Statement Model'!D35</x:f>
        <x:v>0.6209269378668286</x:v>
      </x:c>
      <x:c r="E45" s="444" t="n">
        <x:f>'Financial Statement Model'!E35</x:f>
        <x:v>0.6337638376383764</x:v>
      </x:c>
      <x:c r="F45" s="444" t="n">
        <x:f>'Financial Statement Model'!F35</x:f>
        <x:v>0.6440336749633968</x:v>
      </x:c>
      <x:c r="G45" s="447">
        <x:v>0.65</x:v>
      </x:c>
      <x:c r="H45" s="447">
        <x:v>0.65</x:v>
      </x:c>
      <x:c r="I45" s="447">
        <x:v>0.65</x:v>
      </x:c>
      <x:c r="J45" s="447">
        <x:v>0.65</x:v>
      </x:c>
      <x:c r="K45" s="755">
        <x:v>0.65</x:v>
      </x:c>
    </x:row>
    <x:row r="46" ht="14.399999618530273" customHeight="1">
      <x:c r="C46" s="355" t="s">
        <x:v>27</x:v>
      </x:c>
      <x:c r="D46" s="444" t="n">
        <x:f>'Financial Statement Model'!D36</x:f>
        <x:v>0.40214531471362075</x:v>
      </x:c>
      <x:c r="E46" s="444" t="n">
        <x:f>'Financial Statement Model'!E36</x:f>
        <x:v>0.3872693726937269</x:v>
      </x:c>
      <x:c r="F46" s="444" t="n">
        <x:f>'Financial Statement Model'!F36</x:f>
        <x:v>0.3885431918008785</x:v>
      </x:c>
      <x:c r="G46" s="447">
        <x:v>0.38</x:v>
      </x:c>
      <x:c r="H46" s="447">
        <x:v>0.38</x:v>
      </x:c>
      <x:c r="I46" s="447">
        <x:v>0.38</x:v>
      </x:c>
      <x:c r="J46" s="447">
        <x:v>0.38</x:v>
      </x:c>
      <x:c r="K46" s="755">
        <x:v>0.38</x:v>
      </x:c>
    </x:row>
    <x:row r="47" ht="14.399999618530273" customHeight="1">
      <x:c r="C47" s="355" t="s">
        <x:v>28</x:v>
      </x:c>
      <x:c r="D47" s="444" t="n">
        <x:f>'Financial Statement Model'!D37</x:f>
        <x:v>0</x:v>
      </x:c>
      <x:c r="E47" s="444" t="n">
        <x:f>'Financial Statement Model'!E37</x:f>
        <x:v>0</x:v>
      </x:c>
      <x:c r="F47" s="444" t="n">
        <x:f>'Financial Statement Model'!F37</x:f>
        <x:v>0</x:v>
      </x:c>
      <x:c r="G47" s="447">
        <x:v>0</x:v>
      </x:c>
      <x:c r="H47" s="447">
        <x:v>0</x:v>
      </x:c>
      <x:c r="I47" s="447">
        <x:v>0</x:v>
      </x:c>
      <x:c r="J47" s="447">
        <x:v>0</x:v>
      </x:c>
      <x:c r="K47" s="755">
        <x:v>0</x:v>
      </x:c>
    </x:row>
    <x:row r="48" ht="14.399999618530273" customHeight="1">
      <x:c r="C48" s="362" t="s">
        <x:v>29</x:v>
      </x:c>
      <x:c r="D48" s="445" t="n">
        <x:f>'Financial Statement Model'!D118</x:f>
        <x:v>54.295689131754706</x:v>
      </x:c>
      <x:c r="E48" s="445" t="n">
        <x:f>'Financial Statement Model'!E118</x:f>
        <x:v>60.94557195571956</x:v>
      </x:c>
      <x:c r="F48" s="445" t="n">
        <x:f>'Financial Statement Model'!F118</x:f>
        <x:v>60.1207906295754</x:v>
      </x:c>
      <x:c r="G48" s="448">
        <x:v>60</x:v>
      </x:c>
      <x:c r="H48" s="448">
        <x:v>60</x:v>
      </x:c>
      <x:c r="I48" s="448">
        <x:v>60</x:v>
      </x:c>
      <x:c r="J48" s="448">
        <x:v>60</x:v>
      </x:c>
      <x:c r="K48" s="762">
        <x:v>60</x:v>
      </x:c>
    </x:row>
    <x:row r="49" ht="14.399999618530273" customHeight="1">
      <x:c r="C49" s="761" t="s">
        <x:v>30</x:v>
      </x:c>
      <x:c r="D49" s="439"/>
      <x:c r="E49" s="440" t="n">
        <x:f>'Financial Statement Model'!E129</x:f>
        <x:v>1.8779564806054871</x:v>
      </x:c>
      <x:c r="F49" s="440" t="n">
        <x:f>'Financial Statement Model'!F129</x:f>
        <x:v>1.6276150627615062</x:v>
      </x:c>
      <x:c r="G49" s="442">
        <x:v>1.5</x:v>
      </x:c>
      <x:c r="H49" s="442">
        <x:v>1.5</x:v>
      </x:c>
      <x:c r="I49" s="442">
        <x:v>1.5</x:v>
      </x:c>
      <x:c r="J49" s="442">
        <x:v>1.5</x:v>
      </x:c>
      <x:c r="K49" s="763">
        <x:v>1.5</x:v>
      </x:c>
    </x:row>
  </x:sheetData>
  <x:mergeCells>
    <x:mergeCell ref="D42:F42"/>
    <x:mergeCell ref="G42:K42"/>
    <x:mergeCell ref="D11:F11"/>
    <x:mergeCell ref="G11:K11"/>
    <x:mergeCell ref="D17:F17"/>
    <x:mergeCell ref="G17:K17"/>
    <x:mergeCell ref="D35:F35"/>
    <x:mergeCell ref="G35:K35"/>
  </x:mergeCells>
  <x:pageMargins left="0.7" right="0.7" top="0.75" bottom="0.75" header="0.3" footer="0.3"/>
  <x:legacyDrawing xmlns:r="http://schemas.openxmlformats.org/officeDocument/2006/relationships" r:id="R36751ba459a4441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4.44140625" defaultRowHeight="14.399999618530273"/>
  <x:cols>
    <x:col min="1" max="1" width="1.6640625" customWidth="1"/>
    <x:col min="2" max="2" width="2.6640625" customWidth="1"/>
    <x:col min="3" max="3" width="45.6640625" customWidth="1"/>
    <x:col min="4" max="11" width="12.5546875" customWidth="1"/>
    <x:col min="12" max="12" width="2.6640625" customWidth="1"/>
    <x:col min="13" max="13" width="12.5546875" customWidth="1"/>
    <x:col min="14" max="14" width="2.6640625" customWidth="1"/>
    <x:col min="15" max="25" width="8.6640625" customWidth="1"/>
  </x:cols>
  <x:sheetData>
    <x:row r="1" ht="14.399999618530273" customHeight="1"/>
    <x:row r="2" ht="18" customHeight="1">
      <x:c r="C2" s="346" t="str">
        <x:f>"Financial Statement Model For "&amp;D5</x:f>
        <x:v>Financial Statement Model For Keysight Technologies, Inc.</x:v>
      </x:c>
      <x:c r="D2" s="347"/>
      <x:c r="E2" s="347"/>
      <x:c r="F2" s="347"/>
      <x:c r="G2" s="347"/>
      <x:c r="H2" s="347"/>
      <x:c r="I2" s="347"/>
      <x:c r="J2" s="347"/>
      <x:c r="K2" s="347"/>
      <x:c r="L2" s="347"/>
      <x:c r="M2" s="348"/>
    </x:row>
    <x:row r="3" ht="14.399999618530273" customHeight="1">
      <x:c r="C3" s="349" t="s">
        <x:v>31</x:v>
      </x:c>
      <x:c r="D3" s="350"/>
      <x:c r="E3" s="350"/>
      <x:c r="F3" s="350"/>
      <x:c r="G3" s="350"/>
      <x:c r="H3" s="350"/>
      <x:c r="I3" s="350"/>
      <x:c r="J3" s="350"/>
      <x:c r="K3" s="350"/>
      <x:c r="L3" s="350"/>
      <x:c r="M3" s="351"/>
    </x:row>
    <x:row r="4" ht="14.399999618530273" customHeight="1">
      <x:c r="C4" s="352"/>
      <x:c r="D4" s="353"/>
      <x:c r="E4" s="353"/>
      <x:c r="F4" s="353"/>
      <x:c r="G4" s="353"/>
      <x:c r="H4" s="353"/>
      <x:c r="I4" s="353"/>
      <x:c r="J4" s="353"/>
      <x:c r="K4" s="353"/>
      <x:c r="L4" s="353"/>
      <x:c r="M4" s="354"/>
    </x:row>
    <x:row r="5" ht="14.399999618530273" customHeight="1">
      <x:c r="C5" s="355" t="s">
        <x:v>1</x:v>
      </x:c>
      <x:c r="D5" s="450" t="str">
        <x:f>'Revenue Build &amp; Growth Drivers'!D5</x:f>
        <x:v>Keysight Technologies, Inc.</x:v>
      </x:c>
      <x:c r="E5" s="353"/>
      <x:c r="F5" s="353"/>
      <x:c r="G5" s="356" t="s">
        <x:v>32</x:v>
      </x:c>
      <x:c r="H5" s="356"/>
      <x:c r="I5" s="353"/>
      <x:c r="J5" s="451">
        <x:v>1</x:v>
      </x:c>
      <x:c r="K5" s="353"/>
      <x:c r="L5" s="353"/>
      <x:c r="M5" s="354"/>
      <x:c r="O5" s="338"/>
      <x:c r="P5" s="338"/>
      <x:c r="Q5" s="338"/>
      <x:c r="R5" s="338"/>
      <x:c r="S5" s="338"/>
      <x:c r="T5" s="338"/>
      <x:c r="U5" s="338"/>
      <x:c r="V5" s="338"/>
      <x:c r="W5" s="338"/>
    </x:row>
    <x:row r="6" ht="14.399999618530273" customHeight="1">
      <x:c r="C6" s="355" t="s">
        <x:v>3</x:v>
      </x:c>
      <x:c r="D6" s="452" t="str">
        <x:f>'Revenue Build &amp; Growth Drivers'!D6</x:f>
        <x:v>KEYS</x:v>
      </x:c>
      <x:c r="E6" s="353"/>
      <x:c r="F6" s="353"/>
      <x:c r="G6" s="353"/>
      <x:c r="H6" s="353"/>
      <x:c r="I6" s="353"/>
      <x:c r="J6" s="353"/>
      <x:c r="K6" s="353"/>
      <x:c r="L6" s="353"/>
      <x:c r="M6" s="354"/>
      <x:c r="O6" s="338"/>
      <x:c r="P6" s="338"/>
      <x:c r="Q6" s="338"/>
      <x:c r="R6" s="338"/>
      <x:c r="S6" s="338"/>
      <x:c r="T6" s="338"/>
      <x:c r="U6" s="338"/>
      <x:c r="V6" s="338"/>
      <x:c r="W6" s="338"/>
    </x:row>
    <x:row r="7" ht="14.399999618530273" customHeight="1">
      <x:c r="C7" s="355" t="s">
        <x:v>5</x:v>
      </x:c>
      <x:c r="D7" s="453" t="n">
        <x:f>'Revenue Build &amp; Growth Drivers'!D7</x:f>
        <x:v>45394</x:v>
      </x:c>
      <x:c r="E7" s="353"/>
      <x:c r="F7" s="360" t="s">
        <x:v>33</x:v>
      </x:c>
      <x:c r="G7" s="353"/>
      <x:c r="H7" s="353"/>
      <x:c r="I7" s="353"/>
      <x:c r="J7" s="353"/>
      <x:c r="K7" s="353"/>
      <x:c r="L7" s="353"/>
      <x:c r="M7" s="354"/>
    </x:row>
    <x:row r="8" ht="14.399999618530273" customHeight="1">
      <x:c r="C8" s="355" t="s">
        <x:v>6</x:v>
      </x:c>
      <x:c r="D8" s="453" t="n">
        <x:f>'Revenue Build &amp; Growth Drivers'!D8</x:f>
        <x:v>45393</x:v>
      </x:c>
      <x:c r="E8" s="353"/>
      <x:c r="F8" s="454"/>
      <x:c r="G8" s="353"/>
      <x:c r="H8" s="353"/>
      <x:c r="I8" s="353"/>
      <x:c r="J8" s="353"/>
      <x:c r="K8" s="353"/>
      <x:c r="L8" s="353"/>
      <x:c r="M8" s="354"/>
    </x:row>
    <x:row r="9" ht="14.399999618530273" customHeight="1">
      <x:c r="C9" s="455" t="s">
        <x:v>7</x:v>
      </x:c>
      <x:c r="D9" s="456" t="n">
        <x:f>'Revenue Build &amp; Growth Drivers'!D9</x:f>
        <x:v>160.14</x:v>
      </x:c>
      <x:c r="E9" s="457"/>
      <x:c r="F9" s="458"/>
      <x:c r="G9" s="457"/>
      <x:c r="H9" s="457"/>
      <x:c r="I9" s="457"/>
      <x:c r="J9" s="457"/>
      <x:c r="K9" s="457"/>
      <x:c r="L9" s="457"/>
      <x:c r="M9" s="459"/>
    </x:row>
    <x:row r="11" ht="14.399999618530273" customHeight="1">
      <x:c r="C11" s="384" t="s">
        <x:v>34</x:v>
      </x:c>
      <x:c r="D11" s="385" t="s">
        <x:v>9</x:v>
      </x:c>
      <x:c r="E11" s="386"/>
      <x:c r="F11" s="387"/>
      <x:c r="G11" s="385" t="s">
        <x:v>10</x:v>
      </x:c>
      <x:c r="H11" s="386"/>
      <x:c r="I11" s="386"/>
      <x:c r="J11" s="386"/>
      <x:c r="K11" s="386"/>
      <x:c r="L11" s="347"/>
      <x:c r="M11" s="460" t="s">
        <x:v>35</x:v>
      </x:c>
    </x:row>
    <x:row r="12" ht="14.399999618530273" customHeight="1">
      <x:c r="C12" s="363"/>
      <x:c r="D12" s="10">
        <x:v>44500</x:v>
      </x:c>
      <x:c r="E12" s="378" t="n">
        <x:f t="shared" ref="E12:K12" si="0">EOMONTH(D12,12)</x:f>
        <x:v>44865</x:v>
      </x:c>
      <x:c r="F12" s="378">
        <x:f t="shared" si="0"/>
        <x:v>45230</x:v>
      </x:c>
      <x:c r="G12" s="381" t="n">
        <x:f>EOMONTH(F12,12)</x:f>
        <x:v>45596</x:v>
      </x:c>
      <x:c r="H12" s="381">
        <x:f t="shared" si="0"/>
        <x:v>45961</x:v>
      </x:c>
      <x:c r="I12" s="381">
        <x:f t="shared" si="0"/>
        <x:v>46326</x:v>
      </x:c>
      <x:c r="J12" s="381">
        <x:f t="shared" si="0"/>
        <x:v>46691</x:v>
      </x:c>
      <x:c r="K12" s="381">
        <x:f t="shared" si="0"/>
        <x:v>47057</x:v>
      </x:c>
      <x:c r="L12" s="353"/>
      <x:c r="M12" s="368" t="s">
        <x:v>36</x:v>
      </x:c>
      <x:c r="N12" s="321"/>
    </x:row>
    <x:row r="13" ht="14.399999618530273" customHeight="1">
      <x:c r="C13" s="362"/>
      <x:c r="D13" s="353"/>
      <x:c r="E13" s="353"/>
      <x:c r="F13" s="461"/>
      <x:c r="G13" s="353"/>
      <x:c r="H13" s="353"/>
      <x:c r="I13" s="353"/>
      <x:c r="J13" s="353"/>
      <x:c r="K13" s="353"/>
      <x:c r="L13" s="353"/>
      <x:c r="M13" s="354"/>
    </x:row>
    <x:row r="14" ht="14.399999618530273" customHeight="1">
      <x:c r="C14" s="362" t="s">
        <x:v>11</x:v>
      </x:c>
      <x:c r="D14" s="476">
        <x:v>4941000</x:v>
      </x:c>
      <x:c r="E14" s="476">
        <x:v>5420000</x:v>
      </x:c>
      <x:c r="F14" s="476">
        <x:v>5464000</x:v>
      </x:c>
      <x:c r="G14" s="417" t="n">
        <x:f>+F14*(1+G34)</x:f>
        <x:v>5740940</x:v>
      </x:c>
      <x:c r="H14" s="417" t="n">
        <x:f t="shared" ref="H14:K14" si="1">+G14*(1+H34)</x:f>
        <x:v>6106477.8</x:v>
      </x:c>
      <x:c r="I14" s="417">
        <x:f t="shared" si="1"/>
        <x:v>6500932.8299999991</x:v>
      </x:c>
      <x:c r="J14" s="417">
        <x:f t="shared" si="1"/>
        <x:v>6896456.1554999994</x:v>
      </x:c>
      <x:c r="K14" s="417">
        <x:f t="shared" si="1"/>
        <x:v>7322384.811075001</x:v>
      </x:c>
      <x:c r="L14" s="353"/>
      <x:c r="M14" s="479" t="n">
        <x:f>+_xlfn.RRI(YEAR($K$12)-YEAR($F$12),F14,K14)</x:f>
        <x:v>0.060299048224266016</x:v>
      </x:c>
      <x:c r="N14" s="321"/>
    </x:row>
    <x:row r="15" ht="14.399999618530273" customHeight="1">
      <x:c r="C15" s="355" t="s">
        <x:v>37</x:v>
      </x:c>
      <x:c r="D15" s="476">
        <x:v>1873000</x:v>
      </x:c>
      <x:c r="E15" s="476">
        <x:v>1985000</x:v>
      </x:c>
      <x:c r="F15" s="476">
        <x:v>1945000</x:v>
      </x:c>
      <x:c r="G15" s="417" t="n">
        <x:f>+G14-G16</x:f>
        <x:v>2009329</x:v>
      </x:c>
      <x:c r="H15" s="417" t="n">
        <x:f t="shared" ref="H15:K15" si="2">+H14-H16</x:f>
        <x:v>2137267.23</x:v>
      </x:c>
      <x:c r="I15" s="417">
        <x:f t="shared" si="2"/>
        <x:v>2275326.4904999994</x:v>
      </x:c>
      <x:c r="J15" s="417">
        <x:f t="shared" si="2"/>
        <x:v>2413759.6544249998</x:v>
      </x:c>
      <x:c r="K15" s="417">
        <x:f t="shared" si="2"/>
        <x:v>2562834.6838762499</x:v>
      </x:c>
      <x:c r="L15" s="353"/>
      <x:c r="M15" s="354"/>
      <x:c r="N15" s="321"/>
    </x:row>
    <x:row r="16" ht="14.399999618530273" customHeight="1">
      <x:c r="C16" s="389" t="s">
        <x:v>38</x:v>
      </x:c>
      <x:c r="D16" s="477">
        <x:v>3068000</x:v>
      </x:c>
      <x:c r="E16" s="477">
        <x:v>3435000</x:v>
      </x:c>
      <x:c r="F16" s="477">
        <x:v>3519000</x:v>
      </x:c>
      <x:c r="G16" s="418" t="n">
        <x:f>+G14*G35</x:f>
        <x:v>3731611</x:v>
      </x:c>
      <x:c r="H16" s="418" t="n">
        <x:f t="shared" ref="H16:K16" si="3">+H14*H35</x:f>
        <x:v>3969210.57</x:v>
      </x:c>
      <x:c r="I16" s="418">
        <x:f t="shared" si="3"/>
        <x:v>4225606.3394999998</x:v>
      </x:c>
      <x:c r="J16" s="418">
        <x:f t="shared" si="3"/>
        <x:v>4482696.5010749996</x:v>
      </x:c>
      <x:c r="K16" s="418">
        <x:f t="shared" si="3"/>
        <x:v>4759550.1271987511</x:v>
      </x:c>
      <x:c r="L16" s="353"/>
      <x:c r="M16" s="479" t="n">
        <x:f>+_xlfn.RRI(YEAR($K$12)-YEAR($F$12),F16,K16)</x:f>
        <x:v>0.06225632981381657</x:v>
      </x:c>
      <x:c r="N16" s="321"/>
    </x:row>
    <x:row r="17" ht="14.399999618530273" customHeight="1">
      <x:c r="C17" s="362" t="s">
        <x:v>39</x:v>
      </x:c>
      <x:c r="D17" s="476">
        <x:v>1987000</x:v>
      </x:c>
      <x:c r="E17" s="476">
        <x:v>2099000</x:v>
      </x:c>
      <x:c r="F17" s="476">
        <x:v>2123000</x:v>
      </x:c>
      <x:c r="G17" s="417" t="n">
        <x:f>+G14*G36</x:f>
        <x:v>2181557.2</x:v>
      </x:c>
      <x:c r="H17" s="417" t="n">
        <x:f t="shared" ref="H17:K17" si="4">+H14*H36</x:f>
        <x:v>2320461.564</x:v>
      </x:c>
      <x:c r="I17" s="417">
        <x:f t="shared" si="4"/>
        <x:v>2470354.4753999999</x:v>
      </x:c>
      <x:c r="J17" s="417">
        <x:f t="shared" si="4"/>
        <x:v>2620653.3390899999</x:v>
      </x:c>
      <x:c r="K17" s="417">
        <x:f t="shared" si="4"/>
        <x:v>2782506.2282085004</x:v>
      </x:c>
      <x:c r="L17" s="465"/>
      <x:c r="M17" s="354"/>
    </x:row>
    <x:row r="18" ht="14.399999618530273" customHeight="1">
      <x:c r="C18" s="362" t="s">
        <x:v>40</x:v>
      </x:c>
      <x:c r="D18" s="476">
        <x:v>0</x:v>
      </x:c>
      <x:c r="E18" s="476">
        <x:v>0</x:v>
      </x:c>
      <x:c r="F18" s="476">
        <x:v>0</x:v>
      </x:c>
      <x:c r="G18" s="417" t="n">
        <x:f>+G37*G14</x:f>
        <x:v>0</x:v>
      </x:c>
      <x:c r="H18" s="417" t="n">
        <x:f t="shared" ref="H18:K18" si="5">+H37*H14</x:f>
        <x:v>0</x:v>
      </x:c>
      <x:c r="I18" s="417">
        <x:f t="shared" si="5"/>
        <x:v>0</x:v>
      </x:c>
      <x:c r="J18" s="417">
        <x:f t="shared" si="5"/>
        <x:v>0</x:v>
      </x:c>
      <x:c r="K18" s="417">
        <x:f t="shared" si="5"/>
        <x:v>0</x:v>
      </x:c>
      <x:c r="L18" s="465"/>
      <x:c r="M18" s="354"/>
    </x:row>
    <x:row r="19" ht="14.399999618530273" customHeight="1">
      <x:c r="C19" s="389" t="s">
        <x:v>41</x:v>
      </x:c>
      <x:c r="D19" s="477">
        <x:v>1081000</x:v>
      </x:c>
      <x:c r="E19" s="477">
        <x:v>1336000</x:v>
      </x:c>
      <x:c r="F19" s="477">
        <x:v>1396000</x:v>
      </x:c>
      <x:c r="G19" s="418" t="n">
        <x:f>+G16-G17-G18</x:f>
        <x:v>1550053.7999999998</x:v>
      </x:c>
      <x:c r="H19" s="418" t="n">
        <x:f t="shared" ref="H19:K19" si="6">+H16-H17-H18</x:f>
        <x:v>1648749.006</x:v>
      </x:c>
      <x:c r="I19" s="418">
        <x:f t="shared" si="6"/>
        <x:v>1755251.8640999999</x:v>
      </x:c>
      <x:c r="J19" s="418">
        <x:f t="shared" si="6"/>
        <x:v>1862043.1619849997</x:v>
      </x:c>
      <x:c r="K19" s="418">
        <x:f t="shared" si="6"/>
        <x:v>1977043.8989902507</x:v>
      </x:c>
      <x:c r="L19" s="465"/>
      <x:c r="M19" s="479" t="n">
        <x:f>+_xlfn.RRI(YEAR($K$12)-YEAR($F$12),F19,K19)</x:f>
        <x:v>0.07207749365217442</x:v>
      </x:c>
    </x:row>
    <x:row r="20" ht="14.399999618530273" customHeight="1">
      <x:c r="C20" s="362" t="s">
        <x:v>42</x:v>
      </x:c>
      <x:c r="D20" s="476">
        <x:v>27000</x:v>
      </x:c>
      <x:c r="E20" s="476">
        <x:v>62000</x:v>
      </x:c>
      <x:c r="F20" s="476">
        <x:v>143000</x:v>
      </x:c>
      <x:c r="G20" s="417" t="n">
        <x:f ca="1">G209</x:f>
        <x:v>127206.63136907399</x:v>
      </x:c>
      <x:c r="H20" s="417" t="n">
        <x:f t="shared" ref="H20:K20" ca="1" si="7">H209</x:f>
        <x:v>172659.53117290454</x:v>
      </x:c>
      <x:c r="I20" s="417">
        <x:f t="shared" ca="1" si="7"/>
        <x:v>236415.1817760081</x:v>
      </x:c>
      <x:c r="J20" s="417">
        <x:f t="shared" ca="1" si="7"/>
        <x:v>291052.43892236665</x:v>
      </x:c>
      <x:c r="K20" s="417">
        <x:f t="shared" ca="1" si="7"/>
        <x:v>351538.12100868172</x:v>
      </x:c>
      <x:c r="L20" s="353"/>
      <x:c r="M20" s="395"/>
    </x:row>
    <x:row r="21" ht="14.399999618530273" customHeight="1">
      <x:c r="C21" s="362" t="s">
        <x:v>43</x:v>
      </x:c>
      <x:c r="D21" s="476">
        <x:v>79000</x:v>
      </x:c>
      <x:c r="E21" s="476">
        <x:v>79000</x:v>
      </x:c>
      <x:c r="F21" s="476">
        <x:v>78000</x:v>
      </x:c>
      <x:c r="G21" s="417" t="n">
        <x:f ca="1">G204</x:f>
        <x:v>65859.35296492008</x:v>
      </x:c>
      <x:c r="H21" s="417" t="n">
        <x:f t="shared" ref="H21:K21" ca="1" si="8">H204</x:f>
        <x:v>52833.98357545814</x:v>
      </x:c>
      <x:c r="I21" s="417">
        <x:f t="shared" ca="1" si="8"/>
        <x:v>51971.006412043491</x:v>
      </x:c>
      <x:c r="J21" s="417">
        <x:f t="shared" ca="1" si="8"/>
        <x:v>36792.863116810702</x:v>
      </x:c>
      <x:c r="K21" s="417">
        <x:f t="shared" ca="1" si="8"/>
        <x:v>21614.719821577921</x:v>
      </x:c>
      <x:c r="L21" s="353"/>
      <x:c r="M21" s="354"/>
    </x:row>
    <x:row r="22" ht="14.399999618530273" customHeight="1">
      <x:c r="C22" s="362" t="s">
        <x:v>44</x:v>
      </x:c>
      <x:c r="D22" s="476">
        <x:v>19000</x:v>
      </x:c>
      <x:c r="E22" s="476">
        <x:v>34000</x:v>
      </x:c>
      <x:c r="F22" s="476">
        <x:v>104000</x:v>
      </x:c>
      <x:c r="G22" s="480">
        <x:v>0</x:v>
      </x:c>
      <x:c r="H22" s="480">
        <x:v>0</x:v>
      </x:c>
      <x:c r="I22" s="480">
        <x:v>0</x:v>
      </x:c>
      <x:c r="J22" s="480">
        <x:v>0</x:v>
      </x:c>
      <x:c r="K22" s="480">
        <x:v>0</x:v>
      </x:c>
      <x:c r="L22" s="353"/>
      <x:c r="M22" s="354"/>
    </x:row>
    <x:row r="23" ht="14.399999618530273" customHeight="1">
      <x:c r="C23" s="389" t="s">
        <x:v>45</x:v>
      </x:c>
      <x:c r="D23" s="477">
        <x:v>1010000</x:v>
      </x:c>
      <x:c r="E23" s="477">
        <x:v>1285000</x:v>
      </x:c>
      <x:c r="F23" s="477">
        <x:v>1357000</x:v>
      </x:c>
      <x:c r="G23" s="418" t="n">
        <x:f ca="1">+G19+G20-G21-G22</x:f>
        <x:v>1611401.0784041537</x:v>
      </x:c>
      <x:c r="H23" s="418" t="n">
        <x:f t="shared" ref="H23:K23" ca="1" si="9">+H19+H20-H21-H22</x:f>
        <x:v>1768574.5535974465</x:v>
      </x:c>
      <x:c r="I23" s="418">
        <x:f t="shared" ca="1" si="9"/>
        <x:v>1939696.0394639645</x:v>
      </x:c>
      <x:c r="J23" s="418">
        <x:f t="shared" ca="1" si="9"/>
        <x:v>2116302.7377905557</x:v>
      </x:c>
      <x:c r="K23" s="418">
        <x:f t="shared" ca="1" si="9"/>
        <x:v>2306967.3001773544</x:v>
      </x:c>
      <x:c r="L23" s="353"/>
      <x:c r="M23" s="479" t="n">
        <x:f ca="1">+_xlfn.RRI(YEAR($K$12)-YEAR($F$12),F23,K23)</x:f>
        <x:v>0.1119680738087665</x:v>
      </x:c>
    </x:row>
    <x:row r="24" ht="14.399999618530273" customHeight="1">
      <x:c r="C24" s="362" t="s">
        <x:v>46</x:v>
      </x:c>
      <x:c r="D24" s="476">
        <x:v>116000</x:v>
      </x:c>
      <x:c r="E24" s="476">
        <x:v>161000</x:v>
      </x:c>
      <x:c r="F24" s="476">
        <x:v>300000</x:v>
      </x:c>
      <x:c r="G24" s="417" t="n">
        <x:f ca="1">+G23*G41</x:f>
        <x:v>356241.94806281955</x:v>
      </x:c>
      <x:c r="H24" s="417" t="n">
        <x:f t="shared" ref="H24:K24" ca="1" si="10">+H23*H41</x:f>
        <x:v>390989.2159758541</x:v>
      </x:c>
      <x:c r="I24" s="417">
        <x:f t="shared" ca="1" si="10"/>
        <x:v>428820.05293971213</x:v>
      </x:c>
      <x:c r="J24" s="417">
        <x:f t="shared" ca="1" si="10"/>
        <x:v>467863.53819982806</x:v>
      </x:c>
      <x:c r="K24" s="417">
        <x:f t="shared" ca="1" si="10"/>
        <x:v>510014.87844746228</x:v>
      </x:c>
      <x:c r="L24" s="353"/>
      <x:c r="M24" s="354"/>
    </x:row>
    <x:row r="25" ht="14.399999618530273" customHeight="1">
      <x:c r="C25" s="362" t="s">
        <x:v>47</x:v>
      </x:c>
      <x:c r="D25" s="476">
        <x:v>0</x:v>
      </x:c>
      <x:c r="E25" s="476">
        <x:v>0</x:v>
      </x:c>
      <x:c r="F25" s="476">
        <x:v>0</x:v>
      </x:c>
      <x:c r="G25" s="417" t="n">
        <x:f t="shared" ref="G25:K25" ca="1" si="11">G175</x:f>
        <x:v>0</x:v>
      </x:c>
      <x:c r="H25" s="417">
        <x:f t="shared" ca="1" si="11"/>
        <x:v>0</x:v>
      </x:c>
      <x:c r="I25" s="417">
        <x:f t="shared" ca="1" si="11"/>
        <x:v>0</x:v>
      </x:c>
      <x:c r="J25" s="417">
        <x:f t="shared" ca="1" si="11"/>
        <x:v>0</x:v>
      </x:c>
      <x:c r="K25" s="417">
        <x:f t="shared" ca="1" si="11"/>
        <x:v>0</x:v>
      </x:c>
      <x:c r="L25" s="353"/>
      <x:c r="M25" s="354"/>
    </x:row>
    <x:row r="26" ht="14.399999618530273" customHeight="1">
      <x:c r="C26" s="389" t="s">
        <x:v>48</x:v>
      </x:c>
      <x:c r="D26" s="477">
        <x:v>894000</x:v>
      </x:c>
      <x:c r="E26" s="477">
        <x:v>1124000</x:v>
      </x:c>
      <x:c r="F26" s="477">
        <x:v>1057000</x:v>
      </x:c>
      <x:c r="G26" s="418" t="n">
        <x:f ca="1">+G23-G24-G25</x:f>
        <x:v>1255159.1303413343</x:v>
      </x:c>
      <x:c r="H26" s="418" t="n">
        <x:f t="shared" ref="H26:K26" ca="1" si="12">+H23-H24-H25</x:f>
        <x:v>1377585.3376215925</x:v>
      </x:c>
      <x:c r="I26" s="418">
        <x:f t="shared" ca="1" si="12"/>
        <x:v>1510875.9865242525</x:v>
      </x:c>
      <x:c r="J26" s="418">
        <x:f t="shared" ca="1" si="12"/>
        <x:v>1648439.1995907277</x:v>
      </x:c>
      <x:c r="K26" s="418">
        <x:f t="shared" ca="1" si="12"/>
        <x:v>1796952.421729892</x:v>
      </x:c>
      <x:c r="L26" s="353"/>
      <x:c r="M26" s="479" t="n">
        <x:f ca="1">+_xlfn.RRI(YEAR($K$12)-YEAR($F$12),F26,K26)</x:f>
        <x:v>0.1119680738087665</x:v>
      </x:c>
    </x:row>
    <x:row r="27" ht="14.399999618530273" customHeight="1">
      <x:c r="C27" s="389"/>
      <x:c r="D27" s="396"/>
      <x:c r="E27" s="396"/>
      <x:c r="F27" s="464"/>
      <x:c r="G27" s="394"/>
      <x:c r="H27" s="394"/>
      <x:c r="I27" s="394"/>
      <x:c r="J27" s="394"/>
      <x:c r="K27" s="394"/>
      <x:c r="L27" s="353"/>
      <x:c r="M27" s="354"/>
    </x:row>
    <x:row r="28" ht="14.399999618530273" customHeight="1">
      <x:c r="C28" s="362" t="s">
        <x:v>49</x:v>
      </x:c>
      <x:c r="D28" s="476">
        <x:v>291000</x:v>
      </x:c>
      <x:c r="E28" s="476">
        <x:v>220000</x:v>
      </x:c>
      <x:c r="F28" s="476">
        <x:v>210000</x:v>
      </x:c>
      <x:c r="G28" s="417" t="n">
        <x:f>+G155+G146</x:f>
        <x:v>173968.0917396241</x:v>
      </x:c>
      <x:c r="H28" s="417" t="n">
        <x:f t="shared" ref="H28:K28" si="13">+H155+H146</x:f>
        <x:v>162626.92782946635</x:v>
      </x:c>
      <x:c r="I28" s="417">
        <x:f t="shared" si="13"/>
        <x:v>160426.56841798915</x:v>
      </x:c>
      <x:c r="J28" s="417">
        <x:f t="shared" si="13"/>
        <x:v>162432.28684008744</x:v>
      </x:c>
      <x:c r="K28" s="417">
        <x:f t="shared" si="13"/>
        <x:v>167508.90231790996</x:v>
      </x:c>
      <x:c r="L28" s="353"/>
      <x:c r="M28" s="354"/>
    </x:row>
    <x:row r="29" ht="14.399999618530273" customHeight="1">
      <x:c r="C29" s="389" t="s">
        <x:v>50</x:v>
      </x:c>
      <x:c r="D29" s="477">
        <x:v>1372000</x:v>
      </x:c>
      <x:c r="E29" s="477">
        <x:v>1556000</x:v>
      </x:c>
      <x:c r="F29" s="477">
        <x:v>1606000</x:v>
      </x:c>
      <x:c r="G29" s="418" t="n">
        <x:f>+G19+G28</x:f>
        <x:v>1724021.8917396239</x:v>
      </x:c>
      <x:c r="H29" s="418" t="n">
        <x:f t="shared" ref="H29:K29" si="14">+H19+H28</x:f>
        <x:v>1811375.9338294663</x:v>
      </x:c>
      <x:c r="I29" s="418">
        <x:f t="shared" si="14"/>
        <x:v>1915678.4325179891</x:v>
      </x:c>
      <x:c r="J29" s="418">
        <x:f t="shared" si="14"/>
        <x:v>2024475.4488250872</x:v>
      </x:c>
      <x:c r="K29" s="418">
        <x:f t="shared" si="14"/>
        <x:v>2144552.8013081606</x:v>
      </x:c>
      <x:c r="L29" s="353"/>
      <x:c r="M29" s="479" t="n">
        <x:f>+_xlfn.RRI(YEAR($K$12)-YEAR($F$12),F29,K29)</x:f>
        <x:v>0.05954215564186982</x:v>
      </x:c>
    </x:row>
    <x:row r="30" ht="14.399999618530273" customHeight="1">
      <x:c r="C30" s="389"/>
      <x:c r="D30" s="396"/>
      <x:c r="E30" s="396"/>
      <x:c r="F30" s="464"/>
      <x:c r="G30" s="396"/>
      <x:c r="H30" s="396"/>
      <x:c r="I30" s="396"/>
      <x:c r="J30" s="396"/>
      <x:c r="K30" s="396"/>
      <x:c r="L30" s="353"/>
      <x:c r="M30" s="354"/>
    </x:row>
    <x:row r="31" ht="14.399999618530273" customHeight="1">
      <x:c r="C31" s="389" t="s">
        <x:v>51</x:v>
      </x:c>
      <x:c r="D31" s="477">
        <x:v>103000</x:v>
      </x:c>
      <x:c r="E31" s="477">
        <x:v>125000</x:v>
      </x:c>
      <x:c r="F31" s="477">
        <x:v>135000</x:v>
      </x:c>
      <x:c r="G31" s="418" t="n">
        <x:f>+AVERAGE(D31:F31)</x:f>
        <x:v>121000</x:v>
      </x:c>
      <x:c r="H31" s="418" t="n">
        <x:f t="shared" ref="H31:K31" si="15">+AVERAGE(E31:G31)</x:f>
        <x:v>127000</x:v>
      </x:c>
      <x:c r="I31" s="418">
        <x:f t="shared" si="15"/>
        <x:v>127666.66666666667</x:v>
      </x:c>
      <x:c r="J31" s="418">
        <x:f t="shared" si="15"/>
        <x:v>125222.22222222223</x:v>
      </x:c>
      <x:c r="K31" s="418">
        <x:f t="shared" si="15"/>
        <x:v>126629.62962962965</x:v>
      </x:c>
      <x:c r="L31" s="353"/>
      <x:c r="M31" s="354"/>
    </x:row>
    <x:row r="32" ht="14.399999618530273" customHeight="1">
      <x:c r="C32" s="389"/>
      <x:c r="D32" s="466"/>
      <x:c r="E32" s="466"/>
      <x:c r="F32" s="467"/>
      <x:c r="G32" s="466"/>
      <x:c r="H32" s="466"/>
      <x:c r="I32" s="466"/>
      <x:c r="J32" s="466"/>
      <x:c r="K32" s="466"/>
      <x:c r="L32" s="353"/>
      <x:c r="M32" s="354"/>
    </x:row>
    <x:row r="33" ht="14.399999618530273" customHeight="1">
      <x:c r="C33" s="362" t="s">
        <x:v>52</x:v>
      </x:c>
      <x:c r="D33" s="468"/>
      <x:c r="E33" s="468"/>
      <x:c r="F33" s="469"/>
      <x:c r="G33" s="353"/>
      <x:c r="H33" s="353"/>
      <x:c r="I33" s="353"/>
      <x:c r="J33" s="353"/>
      <x:c r="K33" s="353"/>
      <x:c r="L33" s="353"/>
      <x:c r="M33" s="354"/>
    </x:row>
    <x:row r="34" ht="14.399999618530273" customHeight="1">
      <x:c r="C34" s="355" t="s">
        <x:v>53</x:v>
      </x:c>
      <x:c r="D34" s="398"/>
      <x:c r="E34" s="478" t="n">
        <x:f>+E14/D14-1</x:f>
        <x:v>0.09694393847399319</x:v>
      </x:c>
      <x:c r="F34" s="478" t="n">
        <x:f>+F14/E14-1</x:f>
        <x:v>0.008118081180811698</x:v>
      </x:c>
      <x:c r="G34" s="481" t="n">
        <x:f>+'Revenue Build &amp; Growth Drivers'!G15</x:f>
        <x:v>0.05068448023426053</x:v>
      </x:c>
      <x:c r="H34" s="481" t="n">
        <x:f>+'Revenue Build &amp; Growth Drivers'!H15</x:f>
        <x:v>0.06367211641299164</x:v>
      </x:c>
      <x:c r="I34" s="481" t="n">
        <x:f>+'Revenue Build &amp; Growth Drivers'!I15</x:f>
        <x:v>0.06459616212802732</x:v>
      </x:c>
      <x:c r="J34" s="481" t="n">
        <x:f>+'Revenue Build &amp; Growth Drivers'!J15</x:f>
        <x:v>0.06084101095073158</x:v>
      </x:c>
      <x:c r="K34" s="481" t="n">
        <x:f>+'Revenue Build &amp; Growth Drivers'!K15</x:f>
        <x:v>0.06176051090172141</x:v>
      </x:c>
      <x:c r="L34" s="353"/>
      <x:c r="M34" s="354"/>
    </x:row>
    <x:row r="35" ht="14.399999618530273" customHeight="1">
      <x:c r="C35" s="355" t="s">
        <x:v>26</x:v>
      </x:c>
      <x:c r="D35" s="478" t="n">
        <x:f>+D16/D14</x:f>
        <x:v>0.6209269378668286</x:v>
      </x:c>
      <x:c r="E35" s="478" t="n">
        <x:f t="shared" ref="E35:F35" si="16">+E16/E14</x:f>
        <x:v>0.6337638376383764</x:v>
      </x:c>
      <x:c r="F35" s="478">
        <x:f t="shared" si="16"/>
        <x:v>0.64403367496339681</x:v>
      </x:c>
      <x:c r="G35" s="481" t="n">
        <x:f>'Revenue Build &amp; Growth Drivers'!G45</x:f>
        <x:v>0.65</x:v>
      </x:c>
      <x:c r="H35" s="481" t="n">
        <x:f>'Revenue Build &amp; Growth Drivers'!H45</x:f>
        <x:v>0.65</x:v>
      </x:c>
      <x:c r="I35" s="481" t="n">
        <x:f>'Revenue Build &amp; Growth Drivers'!I45</x:f>
        <x:v>0.65</x:v>
      </x:c>
      <x:c r="J35" s="481" t="n">
        <x:f>'Revenue Build &amp; Growth Drivers'!J45</x:f>
        <x:v>0.65</x:v>
      </x:c>
      <x:c r="K35" s="481" t="n">
        <x:f>'Revenue Build &amp; Growth Drivers'!K45</x:f>
        <x:v>0.65</x:v>
      </x:c>
      <x:c r="L35" s="353"/>
      <x:c r="M35" s="354"/>
    </x:row>
    <x:row r="36" ht="14.399999618530273" customHeight="1">
      <x:c r="C36" s="355" t="s">
        <x:v>54</x:v>
      </x:c>
      <x:c r="D36" s="478" t="n">
        <x:f>+D17/D14</x:f>
        <x:v>0.40214531471362075</x:v>
      </x:c>
      <x:c r="E36" s="478" t="n">
        <x:f t="shared" ref="E36:F36" si="17">+E17/E14</x:f>
        <x:v>0.3872693726937269</x:v>
      </x:c>
      <x:c r="F36" s="478">
        <x:f t="shared" si="17"/>
        <x:v>0.38854319180087848</x:v>
      </x:c>
      <x:c r="G36" s="481" t="n">
        <x:f>'Revenue Build &amp; Growth Drivers'!G46</x:f>
        <x:v>0.38</x:v>
      </x:c>
      <x:c r="H36" s="481" t="n">
        <x:f>'Revenue Build &amp; Growth Drivers'!H46</x:f>
        <x:v>0.38</x:v>
      </x:c>
      <x:c r="I36" s="481" t="n">
        <x:f>'Revenue Build &amp; Growth Drivers'!I46</x:f>
        <x:v>0.38</x:v>
      </x:c>
      <x:c r="J36" s="481" t="n">
        <x:f>'Revenue Build &amp; Growth Drivers'!J46</x:f>
        <x:v>0.38</x:v>
      </x:c>
      <x:c r="K36" s="481" t="n">
        <x:f>'Revenue Build &amp; Growth Drivers'!K46</x:f>
        <x:v>0.38</x:v>
      </x:c>
      <x:c r="L36" s="353"/>
      <x:c r="M36" s="354"/>
    </x:row>
    <x:row r="37" ht="14.399999618530273" customHeight="1">
      <x:c r="C37" s="355" t="s">
        <x:v>28</x:v>
      </x:c>
      <x:c r="D37" s="478" t="n">
        <x:f>+D18/D14</x:f>
        <x:v>0</x:v>
      </x:c>
      <x:c r="E37" s="478" t="n">
        <x:f t="shared" ref="E37:F37" si="18">+E18/E14</x:f>
        <x:v>0</x:v>
      </x:c>
      <x:c r="F37" s="478">
        <x:f t="shared" si="18"/>
        <x:v>0</x:v>
      </x:c>
      <x:c r="G37" s="481" t="n">
        <x:f>'Revenue Build &amp; Growth Drivers'!G47</x:f>
        <x:v>0</x:v>
      </x:c>
      <x:c r="H37" s="481" t="n">
        <x:f>'Revenue Build &amp; Growth Drivers'!H47</x:f>
        <x:v>0</x:v>
      </x:c>
      <x:c r="I37" s="481" t="n">
        <x:f>'Revenue Build &amp; Growth Drivers'!I47</x:f>
        <x:v>0</x:v>
      </x:c>
      <x:c r="J37" s="481" t="n">
        <x:f>'Revenue Build &amp; Growth Drivers'!J47</x:f>
        <x:v>0</x:v>
      </x:c>
      <x:c r="K37" s="481" t="n">
        <x:f>'Revenue Build &amp; Growth Drivers'!K47</x:f>
        <x:v>0</x:v>
      </x:c>
      <x:c r="L37" s="353"/>
      <x:c r="M37" s="354"/>
    </x:row>
    <x:row r="38" ht="14.399999618530273" customHeight="1">
      <x:c r="C38" s="355" t="s">
        <x:v>55</x:v>
      </x:c>
      <x:c r="D38" s="478" t="n">
        <x:f>+D19/D14</x:f>
        <x:v>0.21878162315320784</x:v>
      </x:c>
      <x:c r="E38" s="478" t="n">
        <x:f t="shared" ref="E38:K38" si="19">+E19/E14</x:f>
        <x:v>0.24649446494464944</x:v>
      </x:c>
      <x:c r="F38" s="478">
        <x:f t="shared" si="19"/>
        <x:v>0.25549048316251832</x:v>
      </x:c>
      <x:c r="G38" s="482">
        <x:f t="shared" si="19"/>
        <x:v>0.26999999999999996</x:v>
      </x:c>
      <x:c r="H38" s="482">
        <x:f t="shared" si="19"/>
        <x:v>0.27</x:v>
      </x:c>
      <x:c r="I38" s="482">
        <x:f t="shared" si="19"/>
        <x:v>0.27</x:v>
      </x:c>
      <x:c r="J38" s="482">
        <x:f t="shared" si="19"/>
        <x:v>0.26999999999999996</x:v>
      </x:c>
      <x:c r="K38" s="482">
        <x:f t="shared" si="19"/>
        <x:v>0.27000000000000007</x:v>
      </x:c>
      <x:c r="L38" s="353"/>
      <x:c r="M38" s="354"/>
    </x:row>
    <x:row r="39" ht="14.399999618530273" customHeight="1">
      <x:c r="C39" s="355" t="s">
        <x:v>56</x:v>
      </x:c>
      <x:c r="D39" s="478" t="n">
        <x:f>+D29/D14</x:f>
        <x:v>0.27767658368751263</x:v>
      </x:c>
      <x:c r="E39" s="478" t="n">
        <x:f t="shared" ref="E39:K39" si="20">+E29/E14</x:f>
        <x:v>0.2870848708487085</x:v>
      </x:c>
      <x:c r="F39" s="478">
        <x:f t="shared" si="20"/>
        <x:v>0.29392386530014641</x:v>
      </x:c>
      <x:c r="G39" s="482">
        <x:f t="shared" si="20"/>
        <x:v>0.30030306739656293</x:v>
      </x:c>
      <x:c r="H39" s="482">
        <x:f t="shared" si="20"/>
        <x:v>0.29663187080275089</x:v>
      </x:c>
      <x:c r="I39" s="482">
        <x:f t="shared" si="20"/>
        <x:v>0.29467746900531955</x:v>
      </x:c>
      <x:c r="J39" s="482">
        <x:f t="shared" si="20"/>
        <x:v>0.29355300797650191</x:v>
      </x:c>
      <x:c r="K39" s="482">
        <x:f t="shared" si="20"/>
        <x:v>0.29287627687424395</x:v>
      </x:c>
      <x:c r="L39" s="353"/>
      <x:c r="M39" s="354"/>
    </x:row>
    <x:row r="40" ht="14.399999618530273" customHeight="1">
      <x:c r="C40" s="355" t="s">
        <x:v>57</x:v>
      </x:c>
      <x:c r="D40" s="478" t="n">
        <x:f>+D26/D14</x:f>
        <x:v>0.1809350333940498</x:v>
      </x:c>
      <x:c r="E40" s="478" t="n">
        <x:f t="shared" ref="E40:K40" si="21">+E26/E14</x:f>
        <x:v>0.207380073800738</x:v>
      </x:c>
      <x:c r="F40" s="478">
        <x:f t="shared" si="21"/>
        <x:v>0.19344802342606149</x:v>
      </x:c>
      <x:c r="G40" s="482">
        <x:f t="shared" ca="1" si="21"/>
        <x:v>0.21863303402253539</x:v>
      </x:c>
      <x:c r="H40" s="482">
        <x:f t="shared" ca="1" si="21"/>
        <x:v>0.22559409576852837</x:v>
      </x:c>
      <x:c r="I40" s="482">
        <x:f t="shared" ca="1" si="21"/>
        <x:v>0.2324091058981535</x:v>
      </x:c>
      <x:c r="J40" s="482">
        <x:f t="shared" ca="1" si="21"/>
        <x:v>0.23902699624590223</x:v>
      </x:c>
      <x:c r="K40" s="482">
        <x:f t="shared" ca="1" si="21"/>
        <x:v>0.24540535195746985</x:v>
      </x:c>
      <x:c r="L40" s="353"/>
      <x:c r="M40" s="354"/>
    </x:row>
    <x:row r="41" ht="14.399999618530273" customHeight="1">
      <x:c r="C41" s="455" t="s">
        <x:v>58</x:v>
      </x:c>
      <x:c r="D41" s="473" t="n">
        <x:f>+D24/D23</x:f>
        <x:v>0.11485148514851486</x:v>
      </x:c>
      <x:c r="E41" s="473" t="n">
        <x:f t="shared" ref="E41:F41" si="22">+E24/E23</x:f>
        <x:v>0.12529182879377432</x:v>
      </x:c>
      <x:c r="F41" s="473">
        <x:f t="shared" si="22"/>
        <x:v>0.2210759027266028</x:v>
      </x:c>
      <x:c r="G41" s="475" t="n">
        <x:f>+IF(F41&lt;0,AVERAGEIFS(D41:F41,D41:F41,"&gt;0"),F41)</x:f>
        <x:v>0.2210759027266028</x:v>
      </x:c>
      <x:c r="H41" s="475" t="n">
        <x:f>+G41</x:f>
        <x:v>0.2210759027266028</x:v>
      </x:c>
      <x:c r="I41" s="475" t="n">
        <x:f t="shared" ref="I41:K41" si="23">+H41</x:f>
        <x:v>0.2210759027266028</x:v>
      </x:c>
      <x:c r="J41" s="475">
        <x:f t="shared" si="23"/>
        <x:v>0.2210759027266028</x:v>
      </x:c>
      <x:c r="K41" s="475">
        <x:f t="shared" si="23"/>
        <x:v>0.2210759027266028</x:v>
      </x:c>
      <x:c r="L41" s="457"/>
      <x:c r="M41" s="459"/>
    </x:row>
    <x:row r="42" ht="14.399999618530273" customHeight="1">
      <x:c r="C42" s="6"/>
      <x:c r="D42" s="18"/>
      <x:c r="E42" s="18"/>
      <x:c r="F42" s="18"/>
    </x:row>
    <x:row r="43" ht="14.399999618530273" customHeight="1">
      <x:c r="C43" s="384" t="s">
        <x:v>59</x:v>
      </x:c>
      <x:c r="D43" s="385" t="s">
        <x:v>9</x:v>
      </x:c>
      <x:c r="E43" s="386"/>
      <x:c r="F43" s="387"/>
      <x:c r="G43" s="385" t="s">
        <x:v>10</x:v>
      </x:c>
      <x:c r="H43" s="386"/>
      <x:c r="I43" s="386"/>
      <x:c r="J43" s="386"/>
      <x:c r="K43" s="386"/>
      <x:c r="L43" s="347"/>
      <x:c r="M43" s="460" t="s">
        <x:v>35</x:v>
      </x:c>
    </x:row>
    <x:row r="44" ht="14.399999618530273" customHeight="1">
      <x:c r="C44" s="363"/>
      <x:c r="D44" s="378" t="n">
        <x:f>+D$12</x:f>
        <x:v>44500</x:v>
      </x:c>
      <x:c r="E44" s="378" t="n">
        <x:f t="shared" ref="E44:K44" si="24">+E$12</x:f>
        <x:v>44865</x:v>
      </x:c>
      <x:c r="F44" s="378">
        <x:f t="shared" si="24"/>
        <x:v>45230</x:v>
      </x:c>
      <x:c r="G44" s="381">
        <x:f t="shared" si="24"/>
        <x:v>45596</x:v>
      </x:c>
      <x:c r="H44" s="381">
        <x:f t="shared" si="24"/>
        <x:v>45961</x:v>
      </x:c>
      <x:c r="I44" s="381">
        <x:f t="shared" si="24"/>
        <x:v>46326</x:v>
      </x:c>
      <x:c r="J44" s="381">
        <x:f t="shared" si="24"/>
        <x:v>46691</x:v>
      </x:c>
      <x:c r="K44" s="381">
        <x:f t="shared" si="24"/>
        <x:v>47057</x:v>
      </x:c>
      <x:c r="L44" s="353"/>
      <x:c r="M44" s="368" t="s">
        <x:v>36</x:v>
      </x:c>
    </x:row>
    <x:row r="45" ht="14.399999618530273" customHeight="1">
      <x:c r="C45" s="362"/>
      <x:c r="D45" s="394"/>
      <x:c r="E45" s="394"/>
      <x:c r="F45" s="394"/>
      <x:c r="G45" s="353"/>
      <x:c r="H45" s="353"/>
      <x:c r="I45" s="353"/>
      <x:c r="J45" s="353"/>
      <x:c r="K45" s="353"/>
      <x:c r="L45" s="353"/>
      <x:c r="M45" s="354"/>
    </x:row>
    <x:row r="46" ht="14.399999618530273" customHeight="1">
      <x:c r="C46" s="362" t="s">
        <x:v>60</x:v>
      </x:c>
      <x:c r="D46" s="476">
        <x:v>2052000</x:v>
      </x:c>
      <x:c r="E46" s="476">
        <x:v>2042000</x:v>
      </x:c>
      <x:c r="F46" s="476">
        <x:v>2472000</x:v>
      </x:c>
      <x:c r="G46" s="417" t="n">
        <x:f ca="1">+F46+G103</x:f>
        <x:v>3157517.0000000005</x:v>
      </x:c>
      <x:c r="H46" s="417" t="n">
        <x:f t="shared" ref="H46:K46" ca="1" si="25">+G46+H103</x:f>
        <x:v>4483513.624651873</x:v>
      </x:c>
      <x:c r="I46" s="417">
        <x:f t="shared" ca="1" si="25"/>
        <x:v>5979017.0668863673</x:v>
      </x:c>
      <x:c r="J46" s="417">
        <x:f t="shared" ca="1" si="25"/>
        <x:v>6901480.0830701338</x:v>
      </x:c>
      <x:c r="K46" s="417">
        <x:f t="shared" ca="1" si="25"/>
        <x:v>8655804.9976474084</x:v>
      </x:c>
      <x:c r="L46" s="353"/>
      <x:c r="M46" s="479" t="n">
        <x:f ca="1">+_xlfn.RRI(YEAR($K$12)-YEAR($F$12),F46,K46)</x:f>
        <x:v>0.2848481380421113</x:v>
      </x:c>
    </x:row>
    <x:row r="47" ht="14.399999618530273" customHeight="1">
      <x:c r="C47" s="362" t="s">
        <x:v>61</x:v>
      </x:c>
      <x:c r="D47" s="476">
        <x:v>735000</x:v>
      </x:c>
      <x:c r="E47" s="476">
        <x:v>905000</x:v>
      </x:c>
      <x:c r="F47" s="476">
        <x:v>900000</x:v>
      </x:c>
      <x:c r="G47" s="417" t="n">
        <x:f t="shared" ref="G47" si="26">G113</x:f>
        <x:v>945616.0322108344</x:v>
      </x:c>
      <x:c r="H47" s="417" t="n">
        <x:f t="shared" ref="H47:K47" si="27">H113</x:f>
        <x:v>1005825.4062957539</x:v>
      </x:c>
      <x:c r="I47" s="417">
        <x:f t="shared" si="27"/>
        <x:v>1070797.8673133233</x:v>
      </x:c>
      <x:c r="J47" s="417">
        <x:f t="shared" si="27"/>
        <x:v>1135946.2920845533</x:v>
      </x:c>
      <x:c r="K47" s="417">
        <x:f t="shared" si="27"/>
        <x:v>1206102.9154406113</x:v>
      </x:c>
      <x:c r="L47" s="353"/>
      <x:c r="M47" s="354"/>
    </x:row>
    <x:row r="48" ht="14.399999618530273" customHeight="1">
      <x:c r="C48" s="362" t="s">
        <x:v>62</x:v>
      </x:c>
      <x:c r="D48" s="476">
        <x:v>777000</x:v>
      </x:c>
      <x:c r="E48" s="476">
        <x:v>1057000</x:v>
      </x:c>
      <x:c r="F48" s="476">
        <x:v>1195000</x:v>
      </x:c>
      <x:c r="G48" s="417" t="n">
        <x:f t="shared" ref="G48" si="28">G124</x:f>
        <x:v>1234523.473007712</x:v>
      </x:c>
      <x:c r="H48" s="417" t="n">
        <x:f t="shared" ref="H48:K48" si="29">H124</x:f>
        <x:v>1313128.1952956298</x:v>
      </x:c>
      <x:c r="I48" s="417">
        <x:f t="shared" si="29"/>
        <x:v>1397951.23709383</x:v>
      </x:c>
      <x:c r="J48" s="417">
        <x:f t="shared" si="29"/>
        <x:v>1483004.0036184448</x:v>
      </x:c>
      <x:c r="K48" s="417">
        <x:f t="shared" si="29"/>
        <x:v>1574595.0885512179</x:v>
      </x:c>
      <x:c r="L48" s="353"/>
      <x:c r="M48" s="354"/>
    </x:row>
    <x:row r="49" ht="14.399999618530273" customHeight="1">
      <x:c r="C49" s="362" t="s">
        <x:v>63</x:v>
      </x:c>
      <x:c r="D49" s="476">
        <x:v>270000</x:v>
      </x:c>
      <x:c r="E49" s="476">
        <x:v>230000</x:v>
      </x:c>
      <x:c r="F49" s="476">
        <x:v>242000</x:v>
      </x:c>
      <x:c r="G49" s="417" t="n">
        <x:f>+F49*(1+G34)</x:f>
        <x:v>254265.64421669106</x:v>
      </x:c>
      <x:c r="H49" s="417" t="n">
        <x:f t="shared" ref="H49:K49" si="30">+G49*(1+H34)</x:f>
        <x:v>270455.2759150805</x:v>
      </x:c>
      <x:c r="I49" s="417">
        <x:f t="shared" si="30"/>
        <x:v>287925.64876647142</x:v>
      </x:c>
      <x:c r="J49" s="417">
        <x:f t="shared" si="30"/>
        <x:v>305443.33631606883</x:v>
      </x:c>
      <x:c r="K49" s="417">
        <x:f t="shared" si="30"/>
        <x:v>324307.67281847558</x:v>
      </x:c>
      <x:c r="L49" s="353"/>
      <x:c r="M49" s="354"/>
    </x:row>
    <x:row r="50" ht="14.399999618530273" customHeight="1">
      <x:c r="C50" s="362" t="s">
        <x:v>64</x:v>
      </x:c>
      <x:c r="D50" s="476">
        <x:v>3834000</x:v>
      </x:c>
      <x:c r="E50" s="476">
        <x:v>4234000</x:v>
      </x:c>
      <x:c r="F50" s="476">
        <x:v>4809000</x:v>
      </x:c>
      <x:c r="G50" s="417" t="n">
        <x:f ca="1">+SUM(G46:G49)</x:f>
        <x:v>5591922.149435238</x:v>
      </x:c>
      <x:c r="H50" s="417" t="n">
        <x:f t="shared" ref="H50:K50" ca="1" si="31">+SUM(H46:H49)</x:f>
        <x:v>7072922.502158337</x:v>
      </x:c>
      <x:c r="I50" s="417">
        <x:f t="shared" ca="1" si="31"/>
        <x:v>8735691.8200599924</x:v>
      </x:c>
      <x:c r="J50" s="417">
        <x:f t="shared" ca="1" si="31"/>
        <x:v>9825873.7150892019</x:v>
      </x:c>
      <x:c r="K50" s="417">
        <x:f t="shared" ca="1" si="31"/>
        <x:v>11760810.674457714</x:v>
      </x:c>
      <x:c r="L50" s="353"/>
      <x:c r="M50" s="354"/>
    </x:row>
    <x:row r="51" ht="14.399999618530273" customHeight="1">
      <x:c r="C51" s="362" t="s">
        <x:v>65</x:v>
      </x:c>
      <x:c r="D51" s="476">
        <x:v>877000</x:v>
      </x:c>
      <x:c r="E51" s="476">
        <x:v>910000</x:v>
      </x:c>
      <x:c r="F51" s="476">
        <x:v>987000</x:v>
      </x:c>
      <x:c r="G51" s="417" t="n">
        <x:f>+G156+G237</x:f>
        <x:v>1050102.962433143</x:v>
      </x:c>
      <x:c r="H51" s="417" t="n">
        <x:f>+H156+H237</x:f>
        <x:v>1121280.41395946</x:v>
      </x:c>
      <x:c r="I51" s="417" t="n">
        <x:f>+I156+I237</x:f>
        <x:v>1196725.4690919835</x:v>
      </x:c>
      <x:c r="J51" s="417" t="n">
        <x:f>+J156+J237</x:f>
        <x:v>1276081.6560838872</x:v>
      </x:c>
      <x:c r="K51" s="417" t="n">
        <x:f>+K156+K237</x:f>
        <x:v>1360436.3257113837</x:v>
      </x:c>
      <x:c r="L51" s="353"/>
      <x:c r="M51" s="485"/>
    </x:row>
    <x:row r="52" ht="14.399999618530273" customHeight="1">
      <x:c r="C52" s="362" t="s">
        <x:v>66</x:v>
      </x:c>
      <x:c r="D52" s="476">
        <x:v>134000</x:v>
      </x:c>
      <x:c r="E52" s="476">
        <x:v>210000</x:v>
      </x:c>
      <x:c r="F52" s="476">
        <x:v>97000</x:v>
      </x:c>
      <x:c r="G52" s="417" t="n">
        <x:f>+F52*(1+G$34)</x:f>
        <x:v>101916.39458272327</x:v>
      </x:c>
      <x:c r="H52" s="417" t="n">
        <x:f t="shared" ref="H52:K52" si="32">+G52*(1+H$34)</x:f>
        <x:v>108405.62712298681</x:v>
      </x:c>
      <x:c r="I52" s="417">
        <x:f t="shared" si="32"/>
        <x:v>115408.21458821374</x:v>
      </x:c>
      <x:c r="J52" s="417">
        <x:f t="shared" si="32"/>
        <x:v>122429.76703577963</x:v>
      </x:c>
      <x:c r="K52" s="417">
        <x:f t="shared" si="32"/>
        <x:v>129991.09199748811</x:v>
      </x:c>
      <x:c r="L52" s="353"/>
      <x:c r="M52" s="485"/>
    </x:row>
    <x:row r="53" ht="14.399999618530273" customHeight="1">
      <x:c r="C53" s="362" t="s">
        <x:v>67</x:v>
      </x:c>
      <x:c r="D53" s="476">
        <x:v>1900000</x:v>
      </x:c>
      <x:c r="E53" s="476">
        <x:v>1771000</x:v>
      </x:c>
      <x:c r="F53" s="476">
        <x:v>1795000</x:v>
      </x:c>
      <x:c r="G53" s="417" t="n">
        <x:f>+G141+G147</x:f>
        <x:v>1742000</x:v>
      </x:c>
      <x:c r="H53" s="417" t="n">
        <x:f t="shared" ref="H53:K53" si="33">+H141+H147</x:f>
        <x:v>1707000</x:v>
      </x:c>
      <x:c r="I53" s="417">
        <x:f t="shared" si="33"/>
        <x:v>1683000</x:v>
      </x:c>
      <x:c r="J53" s="417">
        <x:f t="shared" si="33"/>
        <x:v>1665000</x:v>
      </x:c>
      <x:c r="K53" s="417">
        <x:f t="shared" si="33"/>
        <x:v>1651000</x:v>
      </x:c>
      <x:c r="L53" s="353"/>
      <x:c r="M53" s="485"/>
    </x:row>
    <x:row r="54" ht="14.399999618530273" customHeight="1">
      <x:c r="C54" s="362" t="s">
        <x:v>68</x:v>
      </x:c>
      <x:c r="D54" s="476">
        <x:v>711000</x:v>
      </x:c>
      <x:c r="E54" s="476">
        <x:v>667000</x:v>
      </x:c>
      <x:c r="F54" s="476">
        <x:v>671000</x:v>
      </x:c>
      <x:c r="G54" s="417" t="n">
        <x:f>+F54*(1+G$34)</x:f>
        <x:v>705009.2862371888</x:v>
      </x:c>
      <x:c r="H54" s="417" t="n">
        <x:f t="shared" ref="H54:K55" si="34">+G54*(1+H$34)</x:f>
        <x:v>749898.7195827233</x:v>
      </x:c>
      <x:c r="I54" s="417">
        <x:f t="shared" si="34"/>
        <x:v>798339.29885248898</x:v>
      </x:c>
      <x:c r="J54" s="417">
        <x:f t="shared" si="34"/>
        <x:v>846911.06887637265</x:v>
      </x:c>
      <x:c r="K54" s="417">
        <x:f t="shared" si="34"/>
        <x:v>899216.72917850036</x:v>
      </x:c>
      <x:c r="L54" s="353"/>
      <x:c r="M54" s="485"/>
    </x:row>
    <x:row r="55" ht="14.399999618530273" customHeight="1">
      <x:c r="C55" s="362" t="s">
        <x:v>69</x:v>
      </x:c>
      <x:c r="D55" s="476">
        <x:v>325000</x:v>
      </x:c>
      <x:c r="E55" s="476">
        <x:v>306000</x:v>
      </x:c>
      <x:c r="F55" s="476">
        <x:v>324000</x:v>
      </x:c>
      <x:c r="G55" s="417" t="n">
        <x:f>+F55*(1+G$34)</x:f>
        <x:v>340421.7715959004</x:v>
      </x:c>
      <x:c r="H55" s="417">
        <x:f t="shared" si="34"/>
        <x:v>362097.14626647142</x:v>
      </x:c>
      <x:c r="I55" s="417">
        <x:f t="shared" si="34"/>
        <x:v>385487.23223279644</x:v>
      </x:c>
      <x:c r="J55" s="417">
        <x:f t="shared" si="34"/>
        <x:v>408940.66515043919</x:v>
      </x:c>
      <x:c r="K55" s="417">
        <x:f t="shared" si="34"/>
        <x:v>434197.04955862009</x:v>
      </x:c>
      <x:c r="L55" s="353"/>
      <x:c r="M55" s="485"/>
    </x:row>
    <x:row r="56" ht="14.399999618530273" customHeight="1">
      <x:c r="C56" s="486" t="s">
        <x:v>70</x:v>
      </x:c>
      <x:c r="D56" s="477">
        <x:v>7781000</x:v>
      </x:c>
      <x:c r="E56" s="477">
        <x:v>8098000</x:v>
      </x:c>
      <x:c r="F56" s="477">
        <x:v>8683000</x:v>
      </x:c>
      <x:c r="G56" s="418" t="n">
        <x:f ca="1">+SUM(G50:G55)</x:f>
        <x:v>9531372.564284194</x:v>
      </x:c>
      <x:c r="H56" s="418" t="n">
        <x:f ca="1">+SUM(H50:H55)</x:f>
        <x:v>11121604.40908998</x:v>
      </x:c>
      <x:c r="I56" s="418" t="n">
        <x:f ca="1">+SUM(I50:I55)</x:f>
        <x:v>12914652.034825474</x:v>
      </x:c>
      <x:c r="J56" s="418" t="n">
        <x:f ca="1">+SUM(J50:J55)</x:f>
        <x:v>14145236.872235682</x:v>
      </x:c>
      <x:c r="K56" s="418" t="n">
        <x:f ca="1">+SUM(K50:K55)</x:f>
        <x:v>16235651.870903708</x:v>
      </x:c>
      <x:c r="L56" s="353"/>
      <x:c r="M56" s="354"/>
    </x:row>
    <x:row r="57" ht="14.399999618530273" customHeight="1">
      <x:c r="C57" s="362"/>
      <x:c r="D57" s="394"/>
      <x:c r="E57" s="394"/>
      <x:c r="F57" s="484"/>
      <x:c r="G57" s="394"/>
      <x:c r="H57" s="394"/>
      <x:c r="I57" s="394"/>
      <x:c r="J57" s="394"/>
      <x:c r="K57" s="394"/>
      <x:c r="L57" s="353"/>
      <x:c r="M57" s="354"/>
    </x:row>
    <x:row r="58" ht="14.399999618530273" customHeight="1">
      <x:c r="C58" s="362" t="s">
        <x:v>71</x:v>
      </x:c>
      <x:c r="D58" s="476">
        <x:v>41000</x:v>
      </x:c>
      <x:c r="E58" s="476">
        <x:v>39000</x:v>
      </x:c>
      <x:c r="F58" s="476">
        <x:v>639000</x:v>
      </x:c>
      <x:c r="G58" s="417" t="n">
        <x:f ca="1">+G192+G200+G229</x:f>
        <x:v>99559.19010368043</x:v>
      </x:c>
      <x:c r="H58" s="417" t="n">
        <x:f ca="1">+H192+H200+H229</x:f>
        <x:v>44703.351390922406</x:v>
      </x:c>
      <x:c r="I58" s="417" t="n">
        <x:f ca="1">+I192+I200+I229</x:f>
        <x:v>745591.0163250366</x:v>
      </x:c>
      <x:c r="J58" s="417" t="n">
        <x:f ca="1">+J192+J200+J229</x:f>
        <x:v>50486.501870424596</x:v>
      </x:c>
      <x:c r="K58" s="417" t="n">
        <x:f ca="1">+K192+K200+K229</x:f>
        <x:v>550604.5740195827</x:v>
      </x:c>
      <x:c r="L58" s="353"/>
      <x:c r="M58" s="354"/>
    </x:row>
    <x:row r="59" ht="14.399999618530273" customHeight="1">
      <x:c r="C59" s="362" t="s">
        <x:v>72</x:v>
      </x:c>
      <x:c r="D59" s="476">
        <x:v>287000</x:v>
      </x:c>
      <x:c r="E59" s="476">
        <x:v>348000</x:v>
      </x:c>
      <x:c r="F59" s="476">
        <x:v>286000</x:v>
      </x:c>
      <x:c r="G59" s="417" t="n">
        <x:f>+F59*(1+(G15/F15-1))</x:f>
        <x:v>295459.17429305916</x:v>
      </x:c>
      <x:c r="H59" s="417" t="n">
        <x:f t="shared" ref="H59:K59" si="35">+G59*(1+(H15/G15-1))</x:f>
        <x:v>314271.6852339332</x:v>
      </x:c>
      <x:c r="I59" s="417">
        <x:f t="shared" si="35"/>
        <x:v>334572.42996555264</x:v>
      </x:c>
      <x:c r="J59" s="417">
        <x:f t="shared" si="35"/>
        <x:v>354928.15484089981</x:v>
      </x:c>
      <x:c r="K59" s="417">
        <x:f t="shared" si="35"/>
        <x:v>376848.69901727897</x:v>
      </x:c>
      <x:c r="L59" s="353"/>
      <x:c r="M59" s="354"/>
    </x:row>
    <x:row r="60" ht="14.399999618530273" customHeight="1">
      <x:c r="C60" s="362" t="s">
        <x:v>73</x:v>
      </x:c>
      <x:c r="D60" s="476">
        <x:v>74000</x:v>
      </x:c>
      <x:c r="E60" s="476">
        <x:v>96000</x:v>
      </x:c>
      <x:c r="F60" s="476">
        <x:v>90000</x:v>
      </x:c>
      <x:c r="G60" s="480">
        <x:v>0</x:v>
      </x:c>
      <x:c r="H60" s="480">
        <x:v>0</x:v>
      </x:c>
      <x:c r="I60" s="480">
        <x:v>0</x:v>
      </x:c>
      <x:c r="J60" s="480">
        <x:v>0</x:v>
      </x:c>
      <x:c r="K60" s="480">
        <x:v>0</x:v>
      </x:c>
      <x:c r="L60" s="353"/>
      <x:c r="M60" s="354"/>
    </x:row>
    <x:row r="61" ht="14.399999618530273" customHeight="1">
      <x:c r="C61" s="362" t="s">
        <x:v>74</x:v>
      </x:c>
      <x:c r="D61" s="476">
        <x:v>907000</x:v>
      </x:c>
      <x:c r="E61" s="476">
        <x:v>924000</x:v>
      </x:c>
      <x:c r="F61" s="476">
        <x:v>1034000</x:v>
      </x:c>
      <x:c r="G61" s="417" t="n">
        <x:f>+F61*(1+G34)</x:f>
        <x:v>1086407.7525622253</x:v>
      </x:c>
      <x:c r="H61" s="417" t="n">
        <x:f t="shared" ref="H61:K61" si="36">+G61*(1+H34)</x:f>
        <x:v>1155581.633455344</x:v>
      </x:c>
      <x:c r="I61" s="417">
        <x:f t="shared" si="36"/>
        <x:v>1230227.7720021959</x:v>
      </x:c>
      <x:c r="J61" s="417">
        <x:f t="shared" si="36"/>
        <x:v>1305076.0733504756</x:v>
      </x:c>
      <x:c r="K61" s="417">
        <x:f t="shared" si="36"/>
        <x:v>1385678.2384062135</x:v>
      </x:c>
      <x:c r="L61" s="353"/>
      <x:c r="M61" s="354"/>
    </x:row>
    <x:row r="62" ht="14.399999618530273" customHeight="1">
      <x:c r="C62" s="389" t="s">
        <x:v>75</x:v>
      </x:c>
      <x:c r="D62" s="477">
        <x:v>1309000</x:v>
      </x:c>
      <x:c r="E62" s="477">
        <x:v>1407000</x:v>
      </x:c>
      <x:c r="F62" s="477">
        <x:v>2049000</x:v>
      </x:c>
      <x:c r="G62" s="418" t="n">
        <x:f ca="1">+SUM(G58:G61)</x:f>
        <x:v>1481426.1169589648</x:v>
      </x:c>
      <x:c r="H62" s="418" t="n">
        <x:f t="shared" ref="H62:K62" ca="1" si="37">+SUM(H58:H61)</x:f>
        <x:v>1514556.6700801996</x:v>
      </x:c>
      <x:c r="I62" s="418">
        <x:f t="shared" ca="1" si="37"/>
        <x:v>2310391.2182927853</x:v>
      </x:c>
      <x:c r="J62" s="418">
        <x:f t="shared" ca="1" si="37"/>
        <x:v>1710490.7300618</x:v>
      </x:c>
      <x:c r="K62" s="418">
        <x:f t="shared" ca="1" si="37"/>
        <x:v>2313131.5114430753</x:v>
      </x:c>
      <x:c r="L62" s="353"/>
      <x:c r="M62" s="354"/>
    </x:row>
    <x:row r="63" ht="14.399999618530273" customHeight="1">
      <x:c r="C63" s="362"/>
      <x:c r="D63" s="394"/>
      <x:c r="E63" s="394"/>
      <x:c r="F63" s="484"/>
      <x:c r="G63" s="394"/>
      <x:c r="H63" s="394"/>
      <x:c r="I63" s="394"/>
      <x:c r="J63" s="394"/>
      <x:c r="K63" s="394"/>
      <x:c r="L63" s="353"/>
      <x:c r="M63" s="354"/>
    </x:row>
    <x:row r="64" ht="14.399999618530273" customHeight="1">
      <x:c r="C64" s="362" t="s">
        <x:v>76</x:v>
      </x:c>
      <x:c r="D64" s="476">
        <x:v>1982000</x:v>
      </x:c>
      <x:c r="E64" s="476">
        <x:v>1979000</x:v>
      </x:c>
      <x:c r="F64" s="476">
        <x:v>1387000</x:v>
      </x:c>
      <x:c r="G64" s="417" t="n">
        <x:f>+G201+G232</x:f>
        <x:v>1396731.420204978</x:v>
      </x:c>
      <x:c r="H64" s="417" t="n">
        <x:f>+H201+H232</x:f>
        <x:v>1409576.0866764276</x:v>
      </x:c>
      <x:c r="I64" s="417" t="n">
        <x:f>+I201+I232</x:f>
        <x:v>725436.8783601758</x:v>
      </x:c>
      <x:c r="J64" s="417" t="n">
        <x:f>+J201+J232</x:f>
        <x:v>739335.208978038</x:v>
      </x:c>
      <x:c r="K64" s="417" t="n">
        <x:f>+K201+K232</x:f>
        <x:v>257301.9552939971</x:v>
      </x:c>
      <x:c r="L64" s="353"/>
      <x:c r="M64" s="485"/>
    </x:row>
    <x:row r="65" ht="14.399999618530273" customHeight="1">
      <x:c r="C65" s="362" t="s">
        <x:v>77</x:v>
      </x:c>
      <x:c r="D65" s="476">
        <x:v>180000</x:v>
      </x:c>
      <x:c r="E65" s="476">
        <x:v>70000</x:v>
      </x:c>
      <x:c r="F65" s="476">
        <x:v>78000</x:v>
      </x:c>
      <x:c r="G65" s="417" t="n">
        <x:f>+F65*(1+G34)</x:f>
        <x:v>81953.38945827232</x:v>
      </x:c>
      <x:c r="H65" s="417" t="n">
        <x:f t="shared" ref="H65:K65" si="38">+G65*(1+H34)</x:f>
        <x:v>87171.53521229867</x:v>
      </x:c>
      <x:c r="I65" s="417">
        <x:f t="shared" si="38"/>
        <x:v>92802.481833821352</x:v>
      </x:c>
      <x:c r="J65" s="417">
        <x:f t="shared" si="38"/>
        <x:v>98448.67864732795</x:v>
      </x:c>
      <x:c r="K65" s="417">
        <x:f t="shared" si="38"/>
        <x:v>104528.91933818632</x:v>
      </x:c>
      <x:c r="L65" s="353"/>
      <x:c r="M65" s="485"/>
    </x:row>
    <x:row r="66" ht="14.399999618530273" customHeight="1">
      <x:c r="C66" s="362" t="s">
        <x:v>78</x:v>
      </x:c>
      <x:c r="D66" s="476">
        <x:v>0</x:v>
      </x:c>
      <x:c r="E66" s="476">
        <x:v>0</x:v>
      </x:c>
      <x:c r="F66" s="476">
        <x:v>0</x:v>
      </x:c>
      <x:c r="G66" s="417" t="n">
        <x:f>+F66*(1+G34)</x:f>
        <x:v>0</x:v>
      </x:c>
      <x:c r="H66" s="417" t="n">
        <x:f t="shared" ref="H66:K66" si="39">+G66*(1+H34)</x:f>
        <x:v>0</x:v>
      </x:c>
      <x:c r="I66" s="417">
        <x:f t="shared" si="39"/>
        <x:v>0</x:v>
      </x:c>
      <x:c r="J66" s="417">
        <x:f t="shared" si="39"/>
        <x:v>0</x:v>
      </x:c>
      <x:c r="K66" s="417">
        <x:f t="shared" si="39"/>
        <x:v>0</x:v>
      </x:c>
      <x:c r="L66" s="353"/>
      <x:c r="M66" s="485"/>
    </x:row>
    <x:row r="67" ht="14.399999618530273" customHeight="1">
      <x:c r="C67" s="362" t="s">
        <x:v>79</x:v>
      </x:c>
      <x:c r="D67" s="476">
        <x:v>526000</x:v>
      </x:c>
      <x:c r="E67" s="476">
        <x:v>481000</x:v>
      </x:c>
      <x:c r="F67" s="476">
        <x:v>515000</x:v>
      </x:c>
      <x:c r="G67" s="417" t="n">
        <x:f>+F67*(1+G34)</x:f>
        <x:v>541102.5073206442</x:v>
      </x:c>
      <x:c r="H67" s="417" t="n">
        <x:f t="shared" ref="H67:K67" si="40">+G67*(1+H34)</x:f>
        <x:v>575555.649158126</x:v>
      </x:c>
      <x:c r="I67" s="417">
        <x:f t="shared" si="40"/>
        <x:v>612734.33518484631</x:v>
      </x:c>
      <x:c r="J67" s="417">
        <x:f t="shared" si="40"/>
        <x:v>650013.71158171678</x:v>
      </x:c>
      <x:c r="K67" s="417">
        <x:f t="shared" si="40"/>
        <x:v>690158.89050212782</x:v>
      </x:c>
      <x:c r="L67" s="353"/>
      <x:c r="M67" s="354"/>
    </x:row>
    <x:row r="68" ht="14.399999618530273" customHeight="1">
      <x:c r="C68" s="389" t="s">
        <x:v>80</x:v>
      </x:c>
      <x:c r="D68" s="477">
        <x:v>3997000</x:v>
      </x:c>
      <x:c r="E68" s="477">
        <x:v>3937000</x:v>
      </x:c>
      <x:c r="F68" s="477">
        <x:v>4029000</x:v>
      </x:c>
      <x:c r="G68" s="418" t="n">
        <x:f ca="1">+SUM(G64:G67,G62)</x:f>
        <x:v>3501213.433942859</x:v>
      </x:c>
      <x:c r="H68" s="418" t="n">
        <x:f t="shared" ref="H68:K68" ca="1" si="41">+SUM(H64:H67,H62)</x:f>
        <x:v>3586859.9411270516</x:v>
      </x:c>
      <x:c r="I68" s="418">
        <x:f t="shared" ca="1" si="41"/>
        <x:v>3741364.9136716286</x:v>
      </x:c>
      <x:c r="J68" s="418">
        <x:f t="shared" ca="1" si="41"/>
        <x:v>3198288.329268883</x:v>
      </x:c>
      <x:c r="K68" s="418">
        <x:f t="shared" ca="1" si="41"/>
        <x:v>3365121.2765773865</x:v>
      </x:c>
      <x:c r="L68" s="353"/>
      <x:c r="M68" s="354"/>
    </x:row>
    <x:row r="69" ht="14.399999618530273" customHeight="1">
      <x:c r="C69" s="362"/>
      <x:c r="D69" s="394"/>
      <x:c r="E69" s="394"/>
      <x:c r="F69" s="484"/>
      <x:c r="G69" s="394"/>
      <x:c r="H69" s="394"/>
      <x:c r="I69" s="394"/>
      <x:c r="J69" s="394"/>
      <x:c r="K69" s="394"/>
      <x:c r="L69" s="353"/>
      <x:c r="M69" s="354"/>
    </x:row>
    <x:row r="70" ht="14.399999618530273" customHeight="1">
      <x:c r="C70" s="389" t="s">
        <x:v>81</x:v>
      </x:c>
      <x:c r="D70" s="477">
        <x:v>3784000</x:v>
      </x:c>
      <x:c r="E70" s="477">
        <x:v>4161000</x:v>
      </x:c>
      <x:c r="F70" s="477">
        <x:v>4654000</x:v>
      </x:c>
      <x:c r="G70" s="418" t="n">
        <x:f ca="1">+F70+G31+G164-G165+G95</x:f>
        <x:v>6030159.130341334</x:v>
      </x:c>
      <x:c r="H70" s="418" t="n">
        <x:f t="shared" ref="H70:K70" ca="1" si="42">+G70+H31+H164-H165+H95</x:f>
        <x:v>7534744.467962926</x:v>
      </x:c>
      <x:c r="I70" s="418">
        <x:f t="shared" ca="1" si="42"/>
        <x:v>9173287.1211538464</x:v>
      </x:c>
      <x:c r="J70" s="418">
        <x:f t="shared" ca="1" si="42"/>
        <x:v>10946948.542966796</x:v>
      </x:c>
      <x:c r="K70" s="418">
        <x:f t="shared" ca="1" si="42"/>
        <x:v>12870530.594326317</x:v>
      </x:c>
      <x:c r="L70" s="353"/>
      <x:c r="M70" s="354"/>
    </x:row>
    <x:row r="71" ht="14.399999618530273" customHeight="1">
      <x:c r="C71" s="389" t="s">
        <x:v>82</x:v>
      </x:c>
      <x:c r="D71" s="477">
        <x:v>3784000</x:v>
      </x:c>
      <x:c r="E71" s="477">
        <x:v>4161000</x:v>
      </x:c>
      <x:c r="F71" s="477">
        <x:v>4654000</x:v>
      </x:c>
      <x:c r="G71" s="418" t="n">
        <x:f ca="1">+G70+G177</x:f>
        <x:v>6030159.130341334</x:v>
      </x:c>
      <x:c r="H71" s="418" t="n">
        <x:f t="shared" ref="H71:K71" ca="1" si="43">+H70+H177</x:f>
        <x:v>7534744.467962926</x:v>
      </x:c>
      <x:c r="I71" s="418">
        <x:f t="shared" ca="1" si="43"/>
        <x:v>9173287.1211538464</x:v>
      </x:c>
      <x:c r="J71" s="418">
        <x:f t="shared" ca="1" si="43"/>
        <x:v>10946948.542966796</x:v>
      </x:c>
      <x:c r="K71" s="418">
        <x:f t="shared" ca="1" si="43"/>
        <x:v>12870530.594326317</x:v>
      </x:c>
      <x:c r="L71" s="353"/>
      <x:c r="M71" s="354"/>
    </x:row>
    <x:row r="72" ht="14.399999618530273" customHeight="1">
      <x:c r="C72" s="362"/>
      <x:c r="D72" s="394"/>
      <x:c r="E72" s="394"/>
      <x:c r="F72" s="484"/>
      <x:c r="G72" s="394"/>
      <x:c r="H72" s="394"/>
      <x:c r="I72" s="394"/>
      <x:c r="J72" s="394"/>
      <x:c r="K72" s="394"/>
      <x:c r="L72" s="353"/>
      <x:c r="M72" s="354"/>
    </x:row>
    <x:row r="73" ht="14.399999618530273" customHeight="1">
      <x:c r="C73" s="486" t="s">
        <x:v>83</x:v>
      </x:c>
      <x:c r="D73" s="477">
        <x:v>7781000</x:v>
      </x:c>
      <x:c r="E73" s="477">
        <x:v>8098000</x:v>
      </x:c>
      <x:c r="F73" s="477">
        <x:v>8683000</x:v>
      </x:c>
      <x:c r="G73" s="418" t="n">
        <x:f ca="1">+G71+G68</x:f>
        <x:v>9531372.564284194</x:v>
      </x:c>
      <x:c r="H73" s="418" t="n">
        <x:f t="shared" ref="H73:K73" ca="1" si="44">+H71+H68</x:f>
        <x:v>11121604.409089979</x:v>
      </x:c>
      <x:c r="I73" s="418">
        <x:f t="shared" ca="1" si="44"/>
        <x:v>12914652.034825474</x:v>
      </x:c>
      <x:c r="J73" s="418">
        <x:f t="shared" ca="1" si="44"/>
        <x:v>14145236.872235678</x:v>
      </x:c>
      <x:c r="K73" s="418">
        <x:f t="shared" ca="1" si="44"/>
        <x:v>16235651.870903704</x:v>
      </x:c>
      <x:c r="L73" s="353"/>
      <x:c r="M73" s="354"/>
    </x:row>
    <x:row r="74" ht="14.399999618530273" customHeight="1">
      <x:c r="C74" s="389"/>
      <x:c r="D74" s="394"/>
      <x:c r="E74" s="394"/>
      <x:c r="F74" s="484"/>
      <x:c r="G74" s="394"/>
      <x:c r="H74" s="394"/>
      <x:c r="I74" s="394"/>
      <x:c r="J74" s="394"/>
      <x:c r="K74" s="394"/>
      <x:c r="L74" s="353"/>
      <x:c r="M74" s="354"/>
    </x:row>
    <x:row r="75" ht="14.399999618530273" customHeight="1">
      <x:c r="C75" s="490" t="s">
        <x:v>84</x:v>
      </x:c>
      <x:c r="D75" s="491" t="n">
        <x:f>+D56-D73</x:f>
        <x:v>0</x:v>
      </x:c>
      <x:c r="E75" s="491" t="n">
        <x:f t="shared" ref="E75:K75" si="45">+E56-E73</x:f>
        <x:v>0</x:v>
      </x:c>
      <x:c r="F75" s="491">
        <x:f t="shared" si="45"/>
        <x:v>0</x:v>
      </x:c>
      <x:c r="G75" s="491">
        <x:f t="shared" ca="1" si="45"/>
        <x:v>0</x:v>
      </x:c>
      <x:c r="H75" s="491">
        <x:f t="shared" ca="1" si="45"/>
        <x:v>0</x:v>
      </x:c>
      <x:c r="I75" s="491">
        <x:f t="shared" ca="1" si="45"/>
        <x:v>0</x:v>
      </x:c>
      <x:c r="J75" s="491">
        <x:f t="shared" ca="1" si="45"/>
        <x:v>0</x:v>
      </x:c>
      <x:c r="K75" s="491">
        <x:f t="shared" ca="1" si="45"/>
        <x:v>0</x:v>
      </x:c>
      <x:c r="L75" s="457"/>
      <x:c r="M75" s="459"/>
    </x:row>
    <x:row r="76" ht="14.399999618530273" customHeight="1">
      <x:c r="H76" s="20"/>
      <x:c r="I76" s="20"/>
      <x:c r="J76" s="20"/>
      <x:c r="K76" s="20"/>
    </x:row>
    <x:row r="77" ht="14.399999618530273" customHeight="1">
      <x:c r="C77" s="384" t="s">
        <x:v>85</x:v>
      </x:c>
      <x:c r="D77" s="385" t="s">
        <x:v>9</x:v>
      </x:c>
      <x:c r="E77" s="386"/>
      <x:c r="F77" s="387"/>
      <x:c r="G77" s="385" t="s">
        <x:v>10</x:v>
      </x:c>
      <x:c r="H77" s="386"/>
      <x:c r="I77" s="386"/>
      <x:c r="J77" s="386"/>
      <x:c r="K77" s="388"/>
    </x:row>
    <x:row r="78" ht="14.399999618530273" customHeight="1">
      <x:c r="C78" s="363"/>
      <x:c r="D78" s="378" t="n">
        <x:f>+D$12</x:f>
        <x:v>44500</x:v>
      </x:c>
      <x:c r="E78" s="378" t="n">
        <x:f t="shared" ref="E78:K78" si="46">+E$12</x:f>
        <x:v>44865</x:v>
      </x:c>
      <x:c r="F78" s="378">
        <x:f t="shared" si="46"/>
        <x:v>45230</x:v>
      </x:c>
      <x:c r="G78" s="381">
        <x:f t="shared" si="46"/>
        <x:v>45596</x:v>
      </x:c>
      <x:c r="H78" s="381">
        <x:f t="shared" si="46"/>
        <x:v>45961</x:v>
      </x:c>
      <x:c r="I78" s="381">
        <x:f t="shared" si="46"/>
        <x:v>46326</x:v>
      </x:c>
      <x:c r="J78" s="381">
        <x:f t="shared" si="46"/>
        <x:v>46691</x:v>
      </x:c>
      <x:c r="K78" s="746">
        <x:f t="shared" si="46"/>
        <x:v>47057</x:v>
      </x:c>
    </x:row>
    <x:row r="79">
      <x:c r="C79" s="362"/>
      <x:c r="D79" s="353"/>
      <x:c r="E79" s="353"/>
      <x:c r="F79" s="353"/>
      <x:c r="G79" s="353"/>
      <x:c r="H79" s="353"/>
      <x:c r="I79" s="353"/>
      <x:c r="J79" s="353"/>
      <x:c r="K79" s="354"/>
    </x:row>
    <x:row r="80" ht="14.399999618530273" customHeight="1">
      <x:c r="C80" s="362" t="s">
        <x:v>48</x:v>
      </x:c>
      <x:c r="D80" s="476">
        <x:v>894000</x:v>
      </x:c>
      <x:c r="E80" s="476">
        <x:v>1124000</x:v>
      </x:c>
      <x:c r="F80" s="476">
        <x:v>1057000</x:v>
      </x:c>
      <x:c r="G80" s="417" t="n">
        <x:f ca="1">+G26+G25</x:f>
        <x:v>1255159.1303413343</x:v>
      </x:c>
      <x:c r="H80" s="417" t="n">
        <x:f t="shared" ref="H80:K80" ca="1" si="47">+H26+H25</x:f>
        <x:v>1377585.3376215925</x:v>
      </x:c>
      <x:c r="I80" s="417">
        <x:f t="shared" ca="1" si="47"/>
        <x:v>1510875.9865242525</x:v>
      </x:c>
      <x:c r="J80" s="417">
        <x:f t="shared" ca="1" si="47"/>
        <x:v>1648439.1995907277</x:v>
      </x:c>
      <x:c r="K80" s="747">
        <x:f t="shared" ca="1" si="47"/>
        <x:v>1796952.421729892</x:v>
      </x:c>
    </x:row>
    <x:row r="81" ht="14.399999618530273" customHeight="1">
      <x:c r="C81" s="362" t="s">
        <x:v>86</x:v>
      </x:c>
      <x:c r="D81" s="476">
        <x:v>293000</x:v>
      </x:c>
      <x:c r="E81" s="476">
        <x:v>223000</x:v>
      </x:c>
      <x:c r="F81" s="476">
        <x:v>212000</x:v>
      </x:c>
      <x:c r="G81" s="417" t="n">
        <x:f>+G28</x:f>
        <x:v>173968.0917396241</x:v>
      </x:c>
      <x:c r="H81" s="417" t="n">
        <x:f>+H28</x:f>
        <x:v>162626.92782946635</x:v>
      </x:c>
      <x:c r="I81" s="417" t="n">
        <x:f>+I28</x:f>
        <x:v>160426.56841798915</x:v>
      </x:c>
      <x:c r="J81" s="417" t="n">
        <x:f>+J28</x:f>
        <x:v>162432.28684008744</x:v>
      </x:c>
      <x:c r="K81" s="747" t="n">
        <x:f>+K28</x:f>
        <x:v>167508.90231790996</x:v>
      </x:c>
    </x:row>
    <x:row r="82" ht="14.399999618530273" customHeight="1">
      <x:c r="C82" s="362" t="s">
        <x:v>87</x:v>
      </x:c>
      <x:c r="D82" s="476">
        <x:v>-53000</x:v>
      </x:c>
      <x:c r="E82" s="476">
        <x:v>7000</x:v>
      </x:c>
      <x:c r="F82" s="476">
        <x:v>-3000</x:v>
      </x:c>
      <x:c r="G82" s="417" t="n">
        <x:f>+F54-G54+G66-F66</x:f>
        <x:v>-34009.28623718885</x:v>
      </x:c>
      <x:c r="H82" s="417" t="n">
        <x:f t="shared" ref="H82:K82" si="48">+G54-H54+H66-G66</x:f>
        <x:v>-44889.43334553449</x:v>
      </x:c>
      <x:c r="I82" s="417">
        <x:f t="shared" si="48"/>
        <x:v>-48440.579269765643</x:v>
      </x:c>
      <x:c r="J82" s="417">
        <x:f t="shared" si="48"/>
        <x:v>-48571.77002388367</x:v>
      </x:c>
      <x:c r="K82" s="747">
        <x:f t="shared" si="48"/>
        <x:v>-52305.660302127711</x:v>
      </x:c>
    </x:row>
    <x:row r="83" ht="14.399999618530273" customHeight="1">
      <x:c r="C83" s="362" t="s">
        <x:v>88</x:v>
      </x:c>
      <x:c r="D83" s="476">
        <x:v>152000</x:v>
      </x:c>
      <x:c r="E83" s="476">
        <x:v>194000</x:v>
      </x:c>
      <x:c r="F83" s="476">
        <x:v>161000</x:v>
      </x:c>
      <x:c r="G83" s="417" t="n">
        <x:f>+G31+F55-G55+G65-F65+G67-F67+G214-G217</x:f>
        <x:v>156698.49926793555</x:v>
      </x:c>
      <x:c r="H83" s="417" t="n">
        <x:f t="shared" ref="H83:K83" si="49">+H31+G55-H55+H65-G65+H67-G67+H214-H217</x:f>
        <x:v>168465.17240117132</x:v>
      </x:c>
      <x:c r="I83" s="417">
        <x:f t="shared" si="49"/>
        <x:v>172071.49691922893</x:v>
      </x:c>
      <x:c r="J83" s="417">
        <x:f t="shared" si="49"/>
        <x:v>171199.77599692944</x:v>
      </x:c>
      <x:c r="K83" s="747">
        <x:f t="shared" si="49"/>
        <x:v>175741.06619299902</x:v>
      </x:c>
    </x:row>
    <x:row r="84" ht="14.399999618530273" customHeight="1">
      <x:c r="C84" s="362" t="s">
        <x:v>89</x:v>
      </x:c>
      <x:c r="D84" s="476">
        <x:v>1286000</x:v>
      </x:c>
      <x:c r="E84" s="476">
        <x:v>1548000</x:v>
      </x:c>
      <x:c r="F84" s="476">
        <x:v>1427000</x:v>
      </x:c>
      <x:c r="G84" s="417" t="n">
        <x:f ca="1">+SUM(G80:G83)</x:f>
        <x:v>1551816.435111705</x:v>
      </x:c>
      <x:c r="H84" s="417" t="n">
        <x:f t="shared" ref="H84:K84" ca="1" si="50">+SUM(H80:H83)</x:f>
        <x:v>1663788.0045066958</x:v>
      </x:c>
      <x:c r="I84" s="417">
        <x:f t="shared" ca="1" si="50"/>
        <x:v>1794933.4725917049</x:v>
      </x:c>
      <x:c r="J84" s="417">
        <x:f t="shared" ca="1" si="50"/>
        <x:v>1933499.4924038611</x:v>
      </x:c>
      <x:c r="K84" s="747">
        <x:f t="shared" ca="1" si="50"/>
        <x:v>2087896.7299386733</x:v>
      </x:c>
    </x:row>
    <x:row r="85" ht="14.399999618530273" customHeight="1">
      <x:c r="C85" s="362" t="s">
        <x:v>90</x:v>
      </x:c>
      <x:c r="D85" s="476">
        <x:v>36000</x:v>
      </x:c>
      <x:c r="E85" s="476">
        <x:v>-404000</x:v>
      </x:c>
      <x:c r="F85" s="476">
        <x:v>-19000</x:v>
      </x:c>
      <x:c r="G85" s="417" t="n">
        <x:f>+F47-G47+F48-G48+F49-G49+G59-F59+G60-F60+G61-F61</x:f>
        <x:v>-125538.22257995291</x:v>
      </x:c>
      <x:c r="H85" s="417" t="n">
        <x:f t="shared" ref="H85:K85" si="51">+G47-H47+G48-H48+G49-H49+H59-G59+H60-G60+H61-G61</x:f>
        <x:v>-67017.33623723395</x:v>
      </x:c>
      <x:c r="I85" s="417">
        <x:f t="shared" si="51"/>
        <x:v>-72318.992388688959</x:v>
      </x:c>
      <x:c r="J85" s="417">
        <x:f t="shared" si="51"/>
        <x:v>-72514.852621815167</x:v>
      </x:c>
      <x:c r="K85" s="747">
        <x:f t="shared" si="51"/>
        <x:v>-78089.335559120867</x:v>
      </x:c>
    </x:row>
    <x:row r="86" ht="14.399999618530273" customHeight="1">
      <x:c r="C86" s="389" t="s">
        <x:v>91</x:v>
      </x:c>
      <x:c r="D86" s="477">
        <x:v>1322000</x:v>
      </x:c>
      <x:c r="E86" s="477">
        <x:v>1144000</x:v>
      </x:c>
      <x:c r="F86" s="477">
        <x:v>1408000</x:v>
      </x:c>
      <x:c r="G86" s="418" t="n">
        <x:f ca="1">+SUM(G84:G85)</x:f>
        <x:v>1426278.212531752</x:v>
      </x:c>
      <x:c r="H86" s="418" t="n">
        <x:f t="shared" ref="H86:K86" ca="1" si="52">+SUM(H84:H85)</x:f>
        <x:v>1596770.668269462</x:v>
      </x:c>
      <x:c r="I86" s="418">
        <x:f t="shared" ca="1" si="52"/>
        <x:v>1722614.480203016</x:v>
      </x:c>
      <x:c r="J86" s="418">
        <x:f t="shared" ca="1" si="52"/>
        <x:v>1860984.639782046</x:v>
      </x:c>
      <x:c r="K86" s="748">
        <x:f t="shared" ca="1" si="52"/>
        <x:v>2009807.3943795525</x:v>
      </x:c>
    </x:row>
    <x:row r="87" ht="14.399999618530273" customHeight="1">
      <x:c r="C87" s="362"/>
      <x:c r="D87" s="394"/>
      <x:c r="E87" s="394"/>
      <x:c r="F87" s="484"/>
      <x:c r="G87" s="394"/>
      <x:c r="H87" s="394"/>
      <x:c r="I87" s="394"/>
      <x:c r="J87" s="394"/>
      <x:c r="K87" s="395"/>
    </x:row>
    <x:row r="88" ht="14.399999618530273" customHeight="1">
      <x:c r="C88" s="362" t="s">
        <x:v>92</x:v>
      </x:c>
      <x:c r="D88" s="476">
        <x:v>-174000</x:v>
      </x:c>
      <x:c r="E88" s="476">
        <x:v>-185000</x:v>
      </x:c>
      <x:c r="F88" s="476">
        <x:v>-196000</x:v>
      </x:c>
      <x:c r="G88" s="417" t="n">
        <x:f>-G154</x:f>
        <x:v>-194376.6288433382</x:v>
      </x:c>
      <x:c r="H88" s="417" t="n">
        <x:f t="shared" ref="H88:K88" si="53">-H154</x:f>
        <x:v>-206753.0001830161</x:v>
      </x:c>
      <x:c r="I88" s="417">
        <x:f t="shared" si="53"/>
        <x:v>-220108.45050329427</x:v>
      </x:c>
      <x:c r="J88" s="417">
        <x:f t="shared" si="53"/>
        <x:v>-233500.07115071375</x:v>
      </x:c>
      <x:c r="K88" s="747">
        <x:f t="shared" si="53"/>
        <x:v>-247921.15484057012</x:v>
      </x:c>
    </x:row>
    <x:row r="89" ht="14.399999618530273" customHeight="1">
      <x:c r="C89" s="362" t="s">
        <x:v>93</x:v>
      </x:c>
      <x:c r="D89" s="476">
        <x:v>-178000</x:v>
      </x:c>
      <x:c r="E89" s="476">
        <x:v>-33000</x:v>
      </x:c>
      <x:c r="F89" s="476">
        <x:v>-85000</x:v>
      </x:c>
      <x:c r="G89" s="480">
        <x:v>0</x:v>
      </x:c>
      <x:c r="H89" s="480">
        <x:v>0</x:v>
      </x:c>
      <x:c r="I89" s="480">
        <x:v>0</x:v>
      </x:c>
      <x:c r="J89" s="480">
        <x:v>0</x:v>
      </x:c>
      <x:c r="K89" s="749">
        <x:v>0</x:v>
      </x:c>
    </x:row>
    <x:row r="90" ht="14.399999618530273" customHeight="1">
      <x:c r="C90" s="362" t="s">
        <x:v>94</x:v>
      </x:c>
      <x:c r="D90" s="476">
        <x:v>0</x:v>
      </x:c>
      <x:c r="E90" s="476">
        <x:v>0</x:v>
      </x:c>
      <x:c r="F90" s="476">
        <x:v>0</x:v>
      </x:c>
      <x:c r="G90" s="480">
        <x:v>0</x:v>
      </x:c>
      <x:c r="H90" s="480">
        <x:v>0</x:v>
      </x:c>
      <x:c r="I90" s="480">
        <x:v>0</x:v>
      </x:c>
      <x:c r="J90" s="480">
        <x:v>0</x:v>
      </x:c>
      <x:c r="K90" s="749">
        <x:v>0</x:v>
      </x:c>
    </x:row>
    <x:row r="91" ht="14.399999618530273" customHeight="1">
      <x:c r="C91" s="362" t="s">
        <x:v>95</x:v>
      </x:c>
      <x:c r="D91" s="476">
        <x:v>0</x:v>
      </x:c>
      <x:c r="E91" s="476">
        <x:v>-33000</x:v>
      </x:c>
      <x:c r="F91" s="476">
        <x:v>-7000</x:v>
      </x:c>
      <x:c r="G91" s="417" t="n">
        <x:f>+F52-G52</x:f>
        <x:v>-4916.394582723267</x:v>
      </x:c>
      <x:c r="H91" s="417" t="n">
        <x:f t="shared" ref="H91:K91" si="54">+G52-H52</x:f>
        <x:v>-6489.232540263547</x:v>
      </x:c>
      <x:c r="I91" s="417">
        <x:f t="shared" si="54"/>
        <x:v>-7002.5874652269267</x:v>
      </x:c>
      <x:c r="J91" s="417">
        <x:f t="shared" si="54"/>
        <x:v>-7021.5524475658895</x:v>
      </x:c>
      <x:c r="K91" s="747">
        <x:f t="shared" si="54"/>
        <x:v>-7561.3249617084803</x:v>
      </x:c>
    </x:row>
    <x:row r="92" ht="14.399999618530273" customHeight="1">
      <x:c r="C92" s="362" t="s">
        <x:v>88</x:v>
      </x:c>
      <x:c r="D92" s="476">
        <x:v>-1000</x:v>
      </x:c>
      <x:c r="E92" s="476">
        <x:v>0</x:v>
      </x:c>
      <x:c r="F92" s="476">
        <x:v>0</x:v>
      </x:c>
      <x:c r="G92" s="480">
        <x:v>0</x:v>
      </x:c>
      <x:c r="H92" s="480">
        <x:v>0</x:v>
      </x:c>
      <x:c r="I92" s="480">
        <x:v>0</x:v>
      </x:c>
      <x:c r="J92" s="480">
        <x:v>0</x:v>
      </x:c>
      <x:c r="K92" s="749">
        <x:v>0</x:v>
      </x:c>
    </x:row>
    <x:row r="93" ht="14.399999618530273" customHeight="1">
      <x:c r="C93" s="389" t="s">
        <x:v>96</x:v>
      </x:c>
      <x:c r="D93" s="477">
        <x:v>-353000</x:v>
      </x:c>
      <x:c r="E93" s="477">
        <x:v>-251000</x:v>
      </x:c>
      <x:c r="F93" s="477">
        <x:v>-288000</x:v>
      </x:c>
      <x:c r="G93" s="418" t="n">
        <x:f>+SUM(G88:G92)</x:f>
        <x:v>-199293.02342606147</x:v>
      </x:c>
      <x:c r="H93" s="418" t="n">
        <x:f t="shared" ref="H93:K93" si="55">+SUM(H88:H92)</x:f>
        <x:v>-213242.23272327962</x:v>
      </x:c>
      <x:c r="I93" s="418">
        <x:f t="shared" si="55"/>
        <x:v>-227111.03796852118</x:v>
      </x:c>
      <x:c r="J93" s="418">
        <x:f t="shared" si="55"/>
        <x:v>-240521.62359827964</x:v>
      </x:c>
      <x:c r="K93" s="748">
        <x:f t="shared" si="55"/>
        <x:v>-255482.4798022786</x:v>
      </x:c>
    </x:row>
    <x:row r="94" ht="14.399999618530273" customHeight="1">
      <x:c r="C94" s="362"/>
      <x:c r="D94" s="494"/>
      <x:c r="E94" s="494"/>
      <x:c r="F94" s="495"/>
      <x:c r="G94" s="394"/>
      <x:c r="H94" s="394"/>
      <x:c r="I94" s="394"/>
      <x:c r="J94" s="394"/>
      <x:c r="K94" s="395"/>
    </x:row>
    <x:row r="95" ht="14.399999618530273" customHeight="1">
      <x:c r="C95" s="362" t="s">
        <x:v>97</x:v>
      </x:c>
      <x:c r="D95" s="476">
        <x:v>-614000</x:v>
      </x:c>
      <x:c r="E95" s="476">
        <x:v>-786000</x:v>
      </x:c>
      <x:c r="F95" s="476">
        <x:v>-635000</x:v>
      </x:c>
      <x:c r="G95" s="480">
        <x:v>0</x:v>
      </x:c>
      <x:c r="H95" s="480">
        <x:v>0</x:v>
      </x:c>
      <x:c r="I95" s="480">
        <x:v>0</x:v>
      </x:c>
      <x:c r="J95" s="480">
        <x:v>0</x:v>
      </x:c>
      <x:c r="K95" s="749">
        <x:v>0</x:v>
      </x:c>
    </x:row>
    <x:row r="96" ht="14.399999618530273" customHeight="1">
      <x:c r="C96" s="362" t="s">
        <x:v>98</x:v>
      </x:c>
      <x:c r="D96" s="476">
        <x:v>0</x:v>
      </x:c>
      <x:c r="E96" s="476">
        <x:v>0</x:v>
      </x:c>
      <x:c r="F96" s="476">
        <x:v>0</x:v>
      </x:c>
      <x:c r="G96" s="417" t="n">
        <x:f ca="1">+G192-F192+G200-F200+G201-F201</x:f>
        <x:v>-541468.18910569</x:v>
      </x:c>
      <x:c r="H96" s="417" t="n">
        <x:f t="shared" ref="H96:K96" ca="1" si="56">+H192-G192+H200-G200+H201-G201</x:f>
        <x:v>-57531.81089431001</x:v>
      </x:c>
      <x:c r="I96" s="417">
        <x:f t="shared" ca="1" si="56"/>
        <x:v>0</x:v>
      </x:c>
      <x:c r="J96" s="417">
        <x:f t="shared" ca="1" si="56"/>
        <x:v>-698000</x:v>
      </x:c>
      <x:c r="K96" s="747">
        <x:f t="shared" ca="1" si="56"/>
        <x:v>0</x:v>
      </x:c>
      <x:c r="M96" s="321"/>
    </x:row>
    <x:row r="97" ht="14.399999618530273" customHeight="1">
      <x:c r="C97" s="362" t="s">
        <x:v>99</x:v>
      </x:c>
      <x:c r="D97" s="476">
        <x:v>0</x:v>
      </x:c>
      <x:c r="E97" s="476">
        <x:v>0</x:v>
      </x:c>
      <x:c r="F97" s="476">
        <x:v>0</x:v>
      </x:c>
      <x:c r="G97" s="417" t="n">
        <x:f ca="1">-G165</x:f>
        <x:v>0</x:v>
      </x:c>
      <x:c r="H97" s="417" t="n">
        <x:f t="shared" ref="H97:K97" ca="1" si="57">-H165</x:f>
        <x:v>0</x:v>
      </x:c>
      <x:c r="I97" s="417">
        <x:f t="shared" ca="1" si="57"/>
        <x:v>0</x:v>
      </x:c>
      <x:c r="J97" s="417">
        <x:f t="shared" ca="1" si="57"/>
        <x:v>0</x:v>
      </x:c>
      <x:c r="K97" s="747">
        <x:f t="shared" ca="1" si="57"/>
        <x:v>0</x:v>
      </x:c>
      <x:c r="M97" s="321"/>
    </x:row>
    <x:row r="98" ht="14.399999618530273" customHeight="1">
      <x:c r="C98" s="362" t="s">
        <x:v>88</x:v>
      </x:c>
      <x:c r="D98" s="476">
        <x:v>-57000</x:v>
      </x:c>
      <x:c r="E98" s="476">
        <x:v>-75000</x:v>
      </x:c>
      <x:c r="F98" s="476">
        <x:v>-52000</x:v>
      </x:c>
      <x:c r="G98" s="480">
        <x:v>0</x:v>
      </x:c>
      <x:c r="H98" s="480">
        <x:v>0</x:v>
      </x:c>
      <x:c r="I98" s="480">
        <x:v>0</x:v>
      </x:c>
      <x:c r="J98" s="480">
        <x:v>0</x:v>
      </x:c>
      <x:c r="K98" s="749">
        <x:v>0</x:v>
      </x:c>
    </x:row>
    <x:row r="99" ht="14.399999618530273" customHeight="1">
      <x:c r="C99" s="389" t="s">
        <x:v>100</x:v>
      </x:c>
      <x:c r="D99" s="477">
        <x:v>-671000</x:v>
      </x:c>
      <x:c r="E99" s="477">
        <x:v>-861000</x:v>
      </x:c>
      <x:c r="F99" s="477">
        <x:v>-687000</x:v>
      </x:c>
      <x:c r="G99" s="418" t="n">
        <x:f ca="1">+SUM(G95:G98)</x:f>
        <x:v>-541468.18910569</x:v>
      </x:c>
      <x:c r="H99" s="418" t="n">
        <x:f t="shared" ref="H99:K99" ca="1" si="58">+SUM(H95:H98)</x:f>
        <x:v>-57531.81089431001</x:v>
      </x:c>
      <x:c r="I99" s="418">
        <x:f t="shared" ca="1" si="58"/>
        <x:v>0</x:v>
      </x:c>
      <x:c r="J99" s="418">
        <x:f t="shared" ca="1" si="58"/>
        <x:v>-698000</x:v>
      </x:c>
      <x:c r="K99" s="748">
        <x:f t="shared" ca="1" si="58"/>
        <x:v>0</x:v>
      </x:c>
    </x:row>
    <x:row r="100" ht="14.399999618530273" customHeight="1">
      <x:c r="C100" s="389"/>
      <x:c r="D100" s="496"/>
      <x:c r="E100" s="496"/>
      <x:c r="F100" s="489"/>
      <x:c r="G100" s="396"/>
      <x:c r="H100" s="396"/>
      <x:c r="I100" s="396"/>
      <x:c r="J100" s="396"/>
      <x:c r="K100" s="397"/>
    </x:row>
    <x:row r="101" ht="14.399999618530273" customHeight="1">
      <x:c r="C101" s="362" t="s">
        <x:v>101</x:v>
      </x:c>
      <x:c r="D101" s="476">
        <x:v>3000</x:v>
      </x:c>
      <x:c r="E101" s="476">
        <x:v>-43000</x:v>
      </x:c>
      <x:c r="F101" s="476">
        <x:v>-2000</x:v>
      </x:c>
      <x:c r="G101" s="480">
        <x:v>0</x:v>
      </x:c>
      <x:c r="H101" s="480">
        <x:v>0</x:v>
      </x:c>
      <x:c r="I101" s="480">
        <x:v>0</x:v>
      </x:c>
      <x:c r="J101" s="480">
        <x:v>0</x:v>
      </x:c>
      <x:c r="K101" s="749">
        <x:v>0</x:v>
      </x:c>
    </x:row>
    <x:row r="102" ht="14.399999618530273" customHeight="1">
      <x:c r="C102" s="362"/>
      <x:c r="D102" s="494"/>
      <x:c r="E102" s="494"/>
      <x:c r="F102" s="484"/>
      <x:c r="G102" s="394"/>
      <x:c r="H102" s="394"/>
      <x:c r="I102" s="394"/>
      <x:c r="J102" s="394"/>
      <x:c r="K102" s="395"/>
    </x:row>
    <x:row r="103" ht="14.399999618530273" customHeight="1">
      <x:c r="C103" s="497" t="s">
        <x:v>102</x:v>
      </x:c>
      <x:c r="D103" s="498">
        <x:v>301000</x:v>
      </x:c>
      <x:c r="E103" s="498">
        <x:v>-11000</x:v>
      </x:c>
      <x:c r="F103" s="498">
        <x:v>431000</x:v>
      </x:c>
      <x:c r="G103" s="498" t="n">
        <x:f ca="1">+G86+G93+G99+G101</x:f>
        <x:v>685517.0000000005</x:v>
      </x:c>
      <x:c r="H103" s="498" t="n">
        <x:f t="shared" ref="H103:K103" ca="1" si="59">+H86+H93+H99+H101</x:f>
        <x:v>1325996.6246518723</x:v>
      </x:c>
      <x:c r="I103" s="498">
        <x:f t="shared" ca="1" si="59"/>
        <x:v>1495503.4422344947</x:v>
      </x:c>
      <x:c r="J103" s="498">
        <x:f t="shared" ca="1" si="59"/>
        <x:v>922463.0161837663</x:v>
      </x:c>
      <x:c r="K103" s="500">
        <x:f t="shared" ca="1" si="59"/>
        <x:v>1754324.9145772739</x:v>
      </x:c>
      <x:c r="L103" s="25"/>
    </x:row>
    <x:row r="104" ht="14.399999618530273" customHeight="1">
      <x:c r="C104" s="22"/>
      <x:c r="D104" s="22"/>
      <x:c r="E104" s="22"/>
      <x:c r="F104" s="22"/>
      <x:c r="G104" s="22"/>
      <x:c r="H104" s="22"/>
      <x:c r="I104" s="22"/>
      <x:c r="J104" s="22"/>
      <x:c r="K104" s="22"/>
      <x:c r="L104" s="22"/>
    </x:row>
    <x:row r="105" ht="14.399999618530273" customHeight="1">
      <x:c r="C105" s="54" t="s">
        <x:v>103</x:v>
      </x:c>
      <x:c r="D105" s="4"/>
      <x:c r="E105" s="4"/>
      <x:c r="F105" s="4"/>
      <x:c r="G105" s="4"/>
      <x:c r="H105" s="4"/>
      <x:c r="I105" s="4"/>
      <x:c r="J105" s="4"/>
      <x:c r="K105" s="4"/>
      <x:c r="L105" s="22"/>
    </x:row>
    <x:row r="106" ht="14.399999618530273" customHeight="1">
      <x:c r="L106" s="22"/>
    </x:row>
    <x:row r="107" ht="14.399999618530273" customHeight="1">
      <x:c r="C107" s="384" t="s">
        <x:v>104</x:v>
      </x:c>
      <x:c r="D107" s="385" t="s">
        <x:v>9</x:v>
      </x:c>
      <x:c r="E107" s="386"/>
      <x:c r="F107" s="387"/>
      <x:c r="G107" s="385" t="s">
        <x:v>10</x:v>
      </x:c>
      <x:c r="H107" s="386"/>
      <x:c r="I107" s="386"/>
      <x:c r="J107" s="386"/>
      <x:c r="K107" s="388"/>
      <x:c r="L107" s="22"/>
    </x:row>
    <x:row r="108" ht="14.399999618530273" customHeight="1">
      <x:c r="C108" s="363"/>
      <x:c r="D108" s="378" t="n">
        <x:f>+D$12</x:f>
        <x:v>44500</x:v>
      </x:c>
      <x:c r="E108" s="378" t="n">
        <x:f t="shared" ref="E108:K108" si="60">+E$12</x:f>
        <x:v>44865</x:v>
      </x:c>
      <x:c r="F108" s="378">
        <x:f t="shared" si="60"/>
        <x:v>45230</x:v>
      </x:c>
      <x:c r="G108" s="381">
        <x:f t="shared" si="60"/>
        <x:v>45596</x:v>
      </x:c>
      <x:c r="H108" s="381">
        <x:f t="shared" si="60"/>
        <x:v>45961</x:v>
      </x:c>
      <x:c r="I108" s="381">
        <x:f t="shared" si="60"/>
        <x:v>46326</x:v>
      </x:c>
      <x:c r="J108" s="381">
        <x:f t="shared" si="60"/>
        <x:v>46691</x:v>
      </x:c>
      <x:c r="K108" s="746">
        <x:f t="shared" si="60"/>
        <x:v>47057</x:v>
      </x:c>
      <x:c r="L108" s="22"/>
    </x:row>
    <x:row r="109" ht="14.399999618530273" customHeight="1">
      <x:c r="C109" s="362"/>
      <x:c r="D109" s="353"/>
      <x:c r="E109" s="353"/>
      <x:c r="F109" s="353"/>
      <x:c r="G109" s="353"/>
      <x:c r="H109" s="353"/>
      <x:c r="I109" s="353"/>
      <x:c r="J109" s="353"/>
      <x:c r="K109" s="354"/>
      <x:c r="L109" s="22"/>
    </x:row>
    <x:row r="110" ht="14.399999618530273" customHeight="1">
      <x:c r="C110" s="362" t="s">
        <x:v>105</x:v>
      </x:c>
      <x:c r="D110" s="353"/>
      <x:c r="E110" s="353"/>
      <x:c r="F110" s="390"/>
      <x:c r="G110" s="461"/>
      <x:c r="H110" s="353"/>
      <x:c r="I110" s="353"/>
      <x:c r="J110" s="353"/>
      <x:c r="K110" s="354"/>
      <x:c r="L110" s="22"/>
    </x:row>
    <x:row r="111" ht="14.399999618530273" customHeight="1">
      <x:c r="C111" s="355" t="s">
        <x:v>106</x:v>
      </x:c>
      <x:c r="D111" s="501"/>
      <x:c r="E111" s="476" t="n">
        <x:f>+D113</x:f>
        <x:v>735000</x:v>
      </x:c>
      <x:c r="F111" s="476" t="n">
        <x:f>+E113</x:f>
        <x:v>905000</x:v>
      </x:c>
      <x:c r="G111" s="417" t="n">
        <x:f>+F113</x:f>
        <x:v>900000</x:v>
      </x:c>
      <x:c r="H111" s="417" t="n">
        <x:f t="shared" ref="H111:K111" si="61">+G113</x:f>
        <x:v>945616.0322108344</x:v>
      </x:c>
      <x:c r="I111" s="417">
        <x:f t="shared" si="61"/>
        <x:v>1005825.4062957539</x:v>
      </x:c>
      <x:c r="J111" s="417">
        <x:f t="shared" si="61"/>
        <x:v>1070797.8673133233</x:v>
      </x:c>
      <x:c r="K111" s="747">
        <x:f t="shared" si="61"/>
        <x:v>1135946.2920845533</x:v>
      </x:c>
      <x:c r="L111" s="22"/>
    </x:row>
    <x:row r="112" ht="14.399999618530273" customHeight="1">
      <x:c r="C112" s="355" t="s">
        <x:v>107</x:v>
      </x:c>
      <x:c r="D112" s="501"/>
      <x:c r="E112" s="476" t="n">
        <x:f>+E113-E111</x:f>
        <x:v>170000</x:v>
      </x:c>
      <x:c r="F112" s="476" t="n">
        <x:f>+F113-F111</x:f>
        <x:v>-5000</x:v>
      </x:c>
      <x:c r="G112" s="417" t="n">
        <x:f t="shared" ref="G112:K112" si="62">+G113-G111</x:f>
        <x:v>45616.03221083444</x:v>
      </x:c>
      <x:c r="H112" s="417">
        <x:f t="shared" si="62"/>
        <x:v>60209.374084919458</x:v>
      </x:c>
      <x:c r="I112" s="417">
        <x:f t="shared" si="62"/>
        <x:v>64972.461017569411</x:v>
      </x:c>
      <x:c r="J112" s="417">
        <x:f t="shared" si="62"/>
        <x:v>65148.424771229969</x:v>
      </x:c>
      <x:c r="K112" s="747">
        <x:f t="shared" si="62"/>
        <x:v>70156.623356058029</x:v>
      </x:c>
      <x:c r="L112" s="22"/>
    </x:row>
    <x:row r="113" ht="14.399999618530273" customHeight="1">
      <x:c r="C113" s="502" t="s">
        <x:v>108</x:v>
      </x:c>
      <x:c r="D113" s="477" t="n">
        <x:f>+D47</x:f>
        <x:v>735000</x:v>
      </x:c>
      <x:c r="E113" s="477" t="n">
        <x:f>+E47</x:f>
        <x:v>905000</x:v>
      </x:c>
      <x:c r="F113" s="477" t="n">
        <x:f>+F47</x:f>
        <x:v>900000</x:v>
      </x:c>
      <x:c r="G113" s="418" t="n">
        <x:f>+IF($E$115=1,F113*(1+G117),IF($E$115=2,G119*G118/365,"NA"))</x:f>
        <x:v>945616.0322108344</x:v>
      </x:c>
      <x:c r="H113" s="418" t="n">
        <x:f t="shared" ref="H113:K113" si="63">+IF($E$115=1,G113*(1+H117),IF($E$115=2,H119*H118/365,"NA"))</x:f>
        <x:v>1005825.4062957539</x:v>
      </x:c>
      <x:c r="I113" s="418">
        <x:f t="shared" si="63"/>
        <x:v>1070797.8673133233</x:v>
      </x:c>
      <x:c r="J113" s="418">
        <x:f t="shared" si="63"/>
        <x:v>1135946.2920845533</x:v>
      </x:c>
      <x:c r="K113" s="748">
        <x:f t="shared" si="63"/>
        <x:v>1206102.9154406113</x:v>
      </x:c>
      <x:c r="L113" s="22"/>
    </x:row>
    <x:row r="114" ht="14.399999618530273" customHeight="1">
      <x:c r="C114" s="362"/>
      <x:c r="D114" s="353"/>
      <x:c r="E114" s="353"/>
      <x:c r="F114" s="390"/>
      <x:c r="G114" s="353"/>
      <x:c r="H114" s="353"/>
      <x:c r="I114" s="353"/>
      <x:c r="J114" s="353"/>
      <x:c r="K114" s="354"/>
      <x:c r="L114" s="22"/>
    </x:row>
    <x:row r="115" ht="14.399999618530273" customHeight="1">
      <x:c r="C115" s="355" t="s">
        <x:v>109</x:v>
      </x:c>
      <x:c r="D115" s="353"/>
      <x:c r="E115" s="517">
        <x:v>1</x:v>
      </x:c>
      <x:c r="F115" s="390"/>
      <x:c r="G115" s="353"/>
      <x:c r="H115" s="353"/>
      <x:c r="I115" s="353"/>
      <x:c r="J115" s="353"/>
      <x:c r="K115" s="354"/>
      <x:c r="L115" s="22"/>
    </x:row>
    <x:row r="116" ht="14.399999618530273" customHeight="1">
      <x:c r="C116" s="355"/>
      <x:c r="D116" s="353"/>
      <x:c r="E116" s="353"/>
      <x:c r="F116" s="390"/>
      <x:c r="G116" s="353"/>
      <x:c r="H116" s="353"/>
      <x:c r="I116" s="353"/>
      <x:c r="J116" s="353"/>
      <x:c r="K116" s="354"/>
      <x:c r="L116" s="22"/>
    </x:row>
    <x:row r="117" ht="14.399999618530273" customHeight="1">
      <x:c r="C117" s="355" t="s">
        <x:v>110</x:v>
      </x:c>
      <x:c r="D117" s="398"/>
      <x:c r="E117" s="518" t="n">
        <x:f t="shared" ref="E117:K117" si="64">+E34</x:f>
        <x:v>0.09694393847399319</x:v>
      </x:c>
      <x:c r="F117" s="518">
        <x:f t="shared" si="64"/>
        <x:v>8.1180811808116982E-3</x:v>
      </x:c>
      <x:c r="G117" s="419">
        <x:f t="shared" si="64"/>
        <x:v>5.0684480234260532E-2</x:v>
      </x:c>
      <x:c r="H117" s="419">
        <x:f t="shared" si="64"/>
        <x:v>6.3672116412991642E-2</x:v>
      </x:c>
      <x:c r="I117" s="419">
        <x:f t="shared" si="64"/>
        <x:v>6.4596162128027323E-2</x:v>
      </x:c>
      <x:c r="J117" s="419">
        <x:f t="shared" si="64"/>
        <x:v>6.0841010950731578E-2</x:v>
      </x:c>
      <x:c r="K117" s="750">
        <x:f t="shared" si="64"/>
        <x:v>6.176051090172141E-2</x:v>
      </x:c>
      <x:c r="L117" s="22"/>
    </x:row>
    <x:row r="118" ht="14.399999618530273" customHeight="1">
      <x:c r="C118" s="355" t="s">
        <x:v>111</x:v>
      </x:c>
      <x:c r="D118" s="519" t="n">
        <x:f>+D113*365/D119</x:f>
        <x:v>54.295689131754706</x:v>
      </x:c>
      <x:c r="E118" s="519" t="n">
        <x:f t="shared" ref="E118:F118" si="65">+E113*365/E119</x:f>
        <x:v>60.94557195571956</x:v>
      </x:c>
      <x:c r="F118" s="519">
        <x:f t="shared" si="65"/>
        <x:v>60.120790629575403</x:v>
      </x:c>
      <x:c r="G118" s="521" t="n">
        <x:f>+'Revenue Build &amp; Growth Drivers'!G48</x:f>
        <x:v>60</x:v>
      </x:c>
      <x:c r="H118" s="521" t="n">
        <x:f>+'Revenue Build &amp; Growth Drivers'!H48</x:f>
        <x:v>60</x:v>
      </x:c>
      <x:c r="I118" s="521" t="n">
        <x:f>+'Revenue Build &amp; Growth Drivers'!I48</x:f>
        <x:v>60</x:v>
      </x:c>
      <x:c r="J118" s="521" t="n">
        <x:f>+'Revenue Build &amp; Growth Drivers'!J48</x:f>
        <x:v>60</x:v>
      </x:c>
      <x:c r="K118" s="751" t="n">
        <x:f>+'Revenue Build &amp; Growth Drivers'!K48</x:f>
        <x:v>60</x:v>
      </x:c>
      <x:c r="L118" s="22"/>
    </x:row>
    <x:row r="119" ht="14.399999618530273" customHeight="1">
      <x:c r="C119" s="355" t="s">
        <x:v>112</x:v>
      </x:c>
      <x:c r="D119" s="476" t="n">
        <x:f t="shared" ref="D119:K119" si="66">+D14</x:f>
        <x:v>4941000</x:v>
      </x:c>
      <x:c r="E119" s="476">
        <x:f t="shared" si="66"/>
        <x:v>5420000</x:v>
      </x:c>
      <x:c r="F119" s="476">
        <x:f t="shared" si="66"/>
        <x:v>5464000</x:v>
      </x:c>
      <x:c r="G119" s="417">
        <x:f t="shared" si="66"/>
        <x:v>5740940</x:v>
      </x:c>
      <x:c r="H119" s="417">
        <x:f t="shared" si="66"/>
        <x:v>6106477.7999999998</x:v>
      </x:c>
      <x:c r="I119" s="417">
        <x:f t="shared" si="66"/>
        <x:v>6500932.8299999991</x:v>
      </x:c>
      <x:c r="J119" s="417">
        <x:f t="shared" si="66"/>
        <x:v>6896456.1554999994</x:v>
      </x:c>
      <x:c r="K119" s="747">
        <x:f t="shared" si="66"/>
        <x:v>7322384.811075001</x:v>
      </x:c>
      <x:c r="L119" s="22"/>
    </x:row>
    <x:row r="120" ht="14.399999618530273" customHeight="1">
      <x:c r="C120" s="355"/>
      <x:c r="D120" s="461"/>
      <x:c r="E120" s="461"/>
      <x:c r="F120" s="508"/>
      <x:c r="G120" s="461"/>
      <x:c r="H120" s="461"/>
      <x:c r="I120" s="461"/>
      <x:c r="J120" s="461"/>
      <x:c r="K120" s="485"/>
      <x:c r="L120" s="22"/>
    </x:row>
    <x:row r="121" ht="14.399999618530273" customHeight="1">
      <x:c r="C121" s="355" t="s">
        <x:v>62</x:v>
      </x:c>
      <x:c r="D121" s="353"/>
      <x:c r="E121" s="353"/>
      <x:c r="F121" s="390"/>
      <x:c r="G121" s="353"/>
      <x:c r="H121" s="353"/>
      <x:c r="I121" s="353"/>
      <x:c r="J121" s="353"/>
      <x:c r="K121" s="354"/>
      <x:c r="L121" s="22"/>
    </x:row>
    <x:row r="122" ht="14.399999618530273" customHeight="1">
      <x:c r="C122" s="355" t="s">
        <x:v>106</x:v>
      </x:c>
      <x:c r="D122" s="501"/>
      <x:c r="E122" s="476" t="n">
        <x:f>+D124</x:f>
        <x:v>777000</x:v>
      </x:c>
      <x:c r="F122" s="476" t="n">
        <x:f t="shared" ref="F122:K122" si="67">+E124</x:f>
        <x:v>1057000</x:v>
      </x:c>
      <x:c r="G122" s="417">
        <x:f t="shared" si="67"/>
        <x:v>1195000</x:v>
      </x:c>
      <x:c r="H122" s="417">
        <x:f t="shared" si="67"/>
        <x:v>1234523.473007712</x:v>
      </x:c>
      <x:c r="I122" s="417">
        <x:f t="shared" si="67"/>
        <x:v>1313128.1952956298</x:v>
      </x:c>
      <x:c r="J122" s="417">
        <x:f t="shared" si="67"/>
        <x:v>1397951.23709383</x:v>
      </x:c>
      <x:c r="K122" s="747">
        <x:f t="shared" si="67"/>
        <x:v>1483004.0036184448</x:v>
      </x:c>
      <x:c r="L122" s="22"/>
    </x:row>
    <x:row r="123" ht="14.399999618530273" customHeight="1">
      <x:c r="C123" s="355" t="s">
        <x:v>107</x:v>
      </x:c>
      <x:c r="D123" s="501"/>
      <x:c r="E123" s="476" t="n">
        <x:f>+E124-E122</x:f>
        <x:v>280000</x:v>
      </x:c>
      <x:c r="F123" s="476" t="n">
        <x:f t="shared" ref="F123:K123" si="68">+F124-F122</x:f>
        <x:v>138000</x:v>
      </x:c>
      <x:c r="G123" s="417">
        <x:f t="shared" si="68"/>
        <x:v>39523.473007712048</x:v>
      </x:c>
      <x:c r="H123" s="417">
        <x:f t="shared" si="68"/>
        <x:v>78604.722287917743</x:v>
      </x:c>
      <x:c r="I123" s="417">
        <x:f t="shared" si="68"/>
        <x:v>84823.041798200225</x:v>
      </x:c>
      <x:c r="J123" s="417">
        <x:f t="shared" si="68"/>
        <x:v>85052.766524614766</x:v>
      </x:c>
      <x:c r="K123" s="747">
        <x:f t="shared" si="68"/>
        <x:v>91591.084932773141</x:v>
      </x:c>
      <x:c r="L123" s="22"/>
    </x:row>
    <x:row r="124" ht="14.399999618530273" customHeight="1">
      <x:c r="C124" s="502" t="s">
        <x:v>108</x:v>
      </x:c>
      <x:c r="D124" s="477" t="n">
        <x:f>+D48</x:f>
        <x:v>777000</x:v>
      </x:c>
      <x:c r="E124" s="477" t="n">
        <x:f>+E48</x:f>
        <x:v>1057000</x:v>
      </x:c>
      <x:c r="F124" s="477" t="n">
        <x:f>+F48</x:f>
        <x:v>1195000</x:v>
      </x:c>
      <x:c r="G124" s="418" t="n">
        <x:f>+IF($E$126=1,F124*(1+G128),IF($E$126=2,G130/G129,"NA"))</x:f>
        <x:v>1234523.473007712</x:v>
      </x:c>
      <x:c r="H124" s="418" t="n">
        <x:f t="shared" ref="H124:K124" si="69">+IF($E$126=1,G124*(1+H128),IF($E$126=2,H130/H129,"NA"))</x:f>
        <x:v>1313128.1952956298</x:v>
      </x:c>
      <x:c r="I124" s="418">
        <x:f t="shared" si="69"/>
        <x:v>1397951.23709383</x:v>
      </x:c>
      <x:c r="J124" s="418">
        <x:f t="shared" si="69"/>
        <x:v>1483004.0036184448</x:v>
      </x:c>
      <x:c r="K124" s="748">
        <x:f t="shared" si="69"/>
        <x:v>1574595.0885512179</x:v>
      </x:c>
      <x:c r="L124" s="22"/>
    </x:row>
    <x:row r="125" ht="14.399999618530273" customHeight="1">
      <x:c r="C125" s="362"/>
      <x:c r="D125" s="353"/>
      <x:c r="E125" s="353"/>
      <x:c r="F125" s="390"/>
      <x:c r="G125" s="353"/>
      <x:c r="H125" s="353"/>
      <x:c r="I125" s="353"/>
      <x:c r="J125" s="353"/>
      <x:c r="K125" s="354"/>
      <x:c r="L125" s="22"/>
    </x:row>
    <x:row r="126" ht="14.399999618530273" customHeight="1">
      <x:c r="C126" s="355" t="s">
        <x:v>113</x:v>
      </x:c>
      <x:c r="D126" s="353"/>
      <x:c r="E126" s="517">
        <x:v>1</x:v>
      </x:c>
      <x:c r="F126" s="390"/>
      <x:c r="G126" s="353"/>
      <x:c r="H126" s="353"/>
      <x:c r="I126" s="353"/>
      <x:c r="J126" s="353"/>
      <x:c r="K126" s="354"/>
      <x:c r="L126" s="22"/>
    </x:row>
    <x:row r="127" ht="14.399999618530273" customHeight="1">
      <x:c r="C127" s="355"/>
      <x:c r="D127" s="353"/>
      <x:c r="E127" s="353"/>
      <x:c r="F127" s="390"/>
      <x:c r="G127" s="353"/>
      <x:c r="H127" s="353"/>
      <x:c r="I127" s="353"/>
      <x:c r="J127" s="353"/>
      <x:c r="K127" s="354"/>
      <x:c r="L127" s="22"/>
    </x:row>
    <x:row r="128" ht="14.399999618530273" customHeight="1">
      <x:c r="C128" s="355" t="s">
        <x:v>114</x:v>
      </x:c>
      <x:c r="D128" s="398"/>
      <x:c r="E128" s="415" t="n">
        <x:f>+E130/D130-1</x:f>
        <x:v>0.059797116924719784</x:v>
      </x:c>
      <x:c r="F128" s="415" t="n">
        <x:f t="shared" ref="F128:K128" si="70">+F130/E130-1</x:f>
        <x:v>-0.02015113350125941</x:v>
      </x:c>
      <x:c r="G128" s="483">
        <x:f t="shared" si="70"/>
        <x:v>3.3074035989717254E-2</x:v>
      </x:c>
      <x:c r="H128" s="483">
        <x:f t="shared" si="70"/>
        <x:v>6.3672116412991642E-2</x:v>
      </x:c>
      <x:c r="I128" s="483">
        <x:f t="shared" si="70"/>
        <x:v>6.4596162128027101E-2</x:v>
      </x:c>
      <x:c r="J128" s="483">
        <x:f t="shared" si="70"/>
        <x:v>6.08410109507318E-2</x:v>
      </x:c>
      <x:c r="K128" s="752">
        <x:f t="shared" si="70"/>
        <x:v>6.1760510901721188E-2</x:v>
      </x:c>
      <x:c r="L128" s="22"/>
    </x:row>
    <x:row r="129" ht="14.399999618530273" customHeight="1">
      <x:c r="C129" s="355" t="s">
        <x:v>115</x:v>
      </x:c>
      <x:c r="D129" s="510"/>
      <x:c r="E129" s="520" t="n">
        <x:f>+E130/E124</x:f>
        <x:v>1.8779564806054871</x:v>
      </x:c>
      <x:c r="F129" s="520" t="n">
        <x:f t="shared" ref="F129" si="71">+F130/F124</x:f>
        <x:v>1.6276150627615062</x:v>
      </x:c>
      <x:c r="G129" s="522" t="n">
        <x:f>'Revenue Build &amp; Growth Drivers'!G49</x:f>
        <x:v>1.5</x:v>
      </x:c>
      <x:c r="H129" s="522" t="n">
        <x:f>'Revenue Build &amp; Growth Drivers'!H49</x:f>
        <x:v>1.5</x:v>
      </x:c>
      <x:c r="I129" s="522" t="n">
        <x:f>'Revenue Build &amp; Growth Drivers'!I49</x:f>
        <x:v>1.5</x:v>
      </x:c>
      <x:c r="J129" s="522" t="n">
        <x:f>'Revenue Build &amp; Growth Drivers'!J49</x:f>
        <x:v>1.5</x:v>
      </x:c>
      <x:c r="K129" s="753" t="n">
        <x:f>'Revenue Build &amp; Growth Drivers'!K49</x:f>
        <x:v>1.5</x:v>
      </x:c>
      <x:c r="L129" s="22"/>
    </x:row>
    <x:row r="130" ht="14.399999618530273" customHeight="1">
      <x:c r="C130" s="355" t="s">
        <x:v>116</x:v>
      </x:c>
      <x:c r="D130" s="476" t="n">
        <x:f t="shared" ref="D130:K130" si="72">+D15</x:f>
        <x:v>1873000</x:v>
      </x:c>
      <x:c r="E130" s="476">
        <x:f t="shared" si="72"/>
        <x:v>1985000</x:v>
      </x:c>
      <x:c r="F130" s="476">
        <x:f t="shared" si="72"/>
        <x:v>1945000</x:v>
      </x:c>
      <x:c r="G130" s="417">
        <x:f t="shared" si="72"/>
        <x:v>2009329</x:v>
      </x:c>
      <x:c r="H130" s="417">
        <x:f t="shared" si="72"/>
        <x:v>2137267.23</x:v>
      </x:c>
      <x:c r="I130" s="417">
        <x:f t="shared" si="72"/>
        <x:v>2275326.4904999994</x:v>
      </x:c>
      <x:c r="J130" s="417">
        <x:f t="shared" si="72"/>
        <x:v>2413759.6544249998</x:v>
      </x:c>
      <x:c r="K130" s="747">
        <x:f t="shared" si="72"/>
        <x:v>2562834.6838762499</x:v>
      </x:c>
      <x:c r="L130" s="22"/>
    </x:row>
    <x:row r="131" ht="14.399999618530273" customHeight="1">
      <x:c r="C131" s="355"/>
      <x:c r="D131" s="461"/>
      <x:c r="E131" s="461"/>
      <x:c r="F131" s="508"/>
      <x:c r="G131" s="461"/>
      <x:c r="H131" s="461"/>
      <x:c r="I131" s="461"/>
      <x:c r="J131" s="461"/>
      <x:c r="K131" s="485"/>
      <x:c r="L131" s="22"/>
    </x:row>
    <x:row r="132" ht="14.399999618530273" customHeight="1">
      <x:c r="C132" s="515" t="s">
        <x:v>117</x:v>
      </x:c>
      <x:c r="D132" s="498" t="n">
        <x:f>+D113+D124</x:f>
        <x:v>1512000</x:v>
      </x:c>
      <x:c r="E132" s="498" t="n">
        <x:f t="shared" ref="E132:K132" si="73">+E113+E124</x:f>
        <x:v>1962000</x:v>
      </x:c>
      <x:c r="F132" s="498">
        <x:f t="shared" si="73"/>
        <x:v>2095000</x:v>
      </x:c>
      <x:c r="G132" s="498">
        <x:f t="shared" si="73"/>
        <x:v>2180139.5052185464</x:v>
      </x:c>
      <x:c r="H132" s="498">
        <x:f t="shared" si="73"/>
        <x:v>2318953.6015913836</x:v>
      </x:c>
      <x:c r="I132" s="498">
        <x:f t="shared" si="73"/>
        <x:v>2468749.1044071531</x:v>
      </x:c>
      <x:c r="J132" s="498">
        <x:f t="shared" si="73"/>
        <x:v>2618950.2957029981</x:v>
      </x:c>
      <x:c r="K132" s="500">
        <x:f t="shared" si="73"/>
        <x:v>2780698.0039918292</x:v>
      </x:c>
      <x:c r="L132" s="22"/>
    </x:row>
    <x:row r="133" ht="14.399999618530273" customHeight="1">
      <x:c r="D133" s="20"/>
      <x:c r="L133" s="22"/>
    </x:row>
    <x:row r="134" ht="14.399999618530273" customHeight="1">
      <x:c r="C134" s="384" t="s">
        <x:v>118</x:v>
      </x:c>
      <x:c r="D134" s="385" t="s">
        <x:v>9</x:v>
      </x:c>
      <x:c r="E134" s="386"/>
      <x:c r="F134" s="387"/>
      <x:c r="G134" s="385" t="s">
        <x:v>10</x:v>
      </x:c>
      <x:c r="H134" s="386"/>
      <x:c r="I134" s="386"/>
      <x:c r="J134" s="386"/>
      <x:c r="K134" s="388"/>
      <x:c r="L134" s="22"/>
    </x:row>
    <x:row r="135" ht="14.399999618530273" customHeight="1">
      <x:c r="C135" s="363"/>
      <x:c r="D135" s="378" t="n">
        <x:f>+D$12</x:f>
        <x:v>44500</x:v>
      </x:c>
      <x:c r="E135" s="378" t="n">
        <x:f t="shared" ref="E135:K135" si="74">+E$12</x:f>
        <x:v>44865</x:v>
      </x:c>
      <x:c r="F135" s="378">
        <x:f t="shared" si="74"/>
        <x:v>45230</x:v>
      </x:c>
      <x:c r="G135" s="381">
        <x:f t="shared" si="74"/>
        <x:v>45596</x:v>
      </x:c>
      <x:c r="H135" s="381">
        <x:f t="shared" si="74"/>
        <x:v>45961</x:v>
      </x:c>
      <x:c r="I135" s="381">
        <x:f t="shared" si="74"/>
        <x:v>46326</x:v>
      </x:c>
      <x:c r="J135" s="381">
        <x:f t="shared" si="74"/>
        <x:v>46691</x:v>
      </x:c>
      <x:c r="K135" s="746">
        <x:f t="shared" si="74"/>
        <x:v>47057</x:v>
      </x:c>
      <x:c r="L135" s="22"/>
    </x:row>
    <x:row r="136" ht="14.399999618530273" customHeight="1">
      <x:c r="C136" s="362"/>
      <x:c r="D136" s="353"/>
      <x:c r="E136" s="353"/>
      <x:c r="F136" s="353"/>
      <x:c r="G136" s="353"/>
      <x:c r="H136" s="353"/>
      <x:c r="I136" s="353"/>
      <x:c r="J136" s="353"/>
      <x:c r="K136" s="354"/>
      <x:c r="L136" s="22"/>
    </x:row>
    <x:row r="137" ht="14.399999618530273" customHeight="1">
      <x:c r="C137" s="362" t="s">
        <x:v>119</x:v>
      </x:c>
      <x:c r="D137" s="353"/>
      <x:c r="E137" s="461"/>
      <x:c r="F137" s="390"/>
      <x:c r="G137" s="353"/>
      <x:c r="H137" s="353"/>
      <x:c r="I137" s="353"/>
      <x:c r="J137" s="353"/>
      <x:c r="K137" s="354"/>
      <x:c r="L137" s="22"/>
    </x:row>
    <x:row r="138" ht="14.399999618530273" customHeight="1">
      <x:c r="C138" s="355" t="s">
        <x:v>106</x:v>
      </x:c>
      <x:c r="D138" s="414">
        <x:v>1537000</x:v>
      </x:c>
      <x:c r="E138" s="476" t="n">
        <x:f>+D141</x:f>
        <x:v>1628000</x:v>
      </x:c>
      <x:c r="F138" s="476" t="n">
        <x:f>+E141</x:f>
        <x:v>1582000</x:v>
      </x:c>
      <x:c r="G138" s="417" t="n">
        <x:f>+F141</x:f>
        <x:v>1640000</x:v>
      </x:c>
      <x:c r="H138" s="417" t="n">
        <x:f t="shared" ref="H138:K138" si="75">+G141</x:f>
        <x:v>1640000</x:v>
      </x:c>
      <x:c r="I138" s="417">
        <x:f t="shared" si="75"/>
        <x:v>1640000</x:v>
      </x:c>
      <x:c r="J138" s="417">
        <x:f t="shared" si="75"/>
        <x:v>1640000</x:v>
      </x:c>
      <x:c r="K138" s="747">
        <x:f t="shared" si="75"/>
        <x:v>1640000</x:v>
      </x:c>
      <x:c r="L138" s="22"/>
    </x:row>
    <x:row r="139" ht="14.399999618530273" customHeight="1">
      <x:c r="C139" s="355" t="s">
        <x:v>120</x:v>
      </x:c>
      <x:c r="D139" s="414">
        <x:v>100000</x:v>
      </x:c>
      <x:c r="E139" s="414">
        <x:v>20000</x:v>
      </x:c>
      <x:c r="F139" s="414">
        <x:v>56000</x:v>
      </x:c>
      <x:c r="G139" s="480">
        <x:v>0</x:v>
      </x:c>
      <x:c r="H139" s="480">
        <x:v>0</x:v>
      </x:c>
      <x:c r="I139" s="480">
        <x:v>0</x:v>
      </x:c>
      <x:c r="J139" s="480">
        <x:v>0</x:v>
      </x:c>
      <x:c r="K139" s="749">
        <x:v>0</x:v>
      </x:c>
      <x:c r="L139" s="22"/>
    </x:row>
    <x:row r="140" ht="14.399999618530273" customHeight="1">
      <x:c r="C140" s="355" t="s">
        <x:v>121</x:v>
      </x:c>
      <x:c r="D140" s="414">
        <x:v>9000</x:v>
      </x:c>
      <x:c r="E140" s="414">
        <x:v>66000</x:v>
      </x:c>
      <x:c r="F140" s="414">
        <x:v>-2000</x:v>
      </x:c>
      <x:c r="G140" s="480">
        <x:v>0</x:v>
      </x:c>
      <x:c r="H140" s="480">
        <x:v>0</x:v>
      </x:c>
      <x:c r="I140" s="480">
        <x:v>0</x:v>
      </x:c>
      <x:c r="J140" s="480">
        <x:v>0</x:v>
      </x:c>
      <x:c r="K140" s="749">
        <x:v>0</x:v>
      </x:c>
      <x:c r="L140" s="22"/>
    </x:row>
    <x:row r="141" ht="14.399999618530273" customHeight="1">
      <x:c r="C141" s="502" t="s">
        <x:v>108</x:v>
      </x:c>
      <x:c r="D141" s="477" t="n">
        <x:f>+D138+D139-D140</x:f>
        <x:v>1628000</x:v>
      </x:c>
      <x:c r="E141" s="477" t="n">
        <x:f>+E138+E139-E140</x:f>
        <x:v>1582000</x:v>
      </x:c>
      <x:c r="F141" s="477" t="n">
        <x:f t="shared" ref="F141" si="76">+F138+F139-F140</x:f>
        <x:v>1640000</x:v>
      </x:c>
      <x:c r="G141" s="527" t="n">
        <x:f t="shared" ref="G141" si="77">+G138+G139-G140</x:f>
        <x:v>1640000</x:v>
      </x:c>
      <x:c r="H141" s="527" t="n">
        <x:f t="shared" ref="H141" si="78">+H138+H139-H140</x:f>
        <x:v>1640000</x:v>
      </x:c>
      <x:c r="I141" s="527" t="n">
        <x:f t="shared" ref="I141" si="79">+I138+I139-I140</x:f>
        <x:v>1640000</x:v>
      </x:c>
      <x:c r="J141" s="527" t="n">
        <x:f t="shared" ref="J141" si="80">+J138+J139-J140</x:f>
        <x:v>1640000</x:v>
      </x:c>
      <x:c r="K141" s="754" t="n">
        <x:f t="shared" ref="K141" si="81">+K138+K139-K140</x:f>
        <x:v>1640000</x:v>
      </x:c>
      <x:c r="L141" s="22"/>
    </x:row>
    <x:row r="142" ht="14.399999618530273" customHeight="1">
      <x:c r="C142" s="362"/>
      <x:c r="D142" s="394"/>
      <x:c r="E142" s="394"/>
      <x:c r="F142" s="462"/>
      <x:c r="G142" s="394"/>
      <x:c r="H142" s="394"/>
      <x:c r="I142" s="394"/>
      <x:c r="J142" s="394"/>
      <x:c r="K142" s="395"/>
      <x:c r="L142" s="22"/>
    </x:row>
    <x:row r="143" ht="14.399999618530273" customHeight="1">
      <x:c r="C143" s="362" t="s">
        <x:v>122</x:v>
      </x:c>
      <x:c r="D143" s="394"/>
      <x:c r="E143" s="394"/>
      <x:c r="F143" s="462"/>
      <x:c r="G143" s="394"/>
      <x:c r="H143" s="394"/>
      <x:c r="I143" s="394"/>
      <x:c r="J143" s="394"/>
      <x:c r="K143" s="395"/>
      <x:c r="L143" s="22"/>
    </x:row>
    <x:row r="144" ht="14.399999618530273" customHeight="1">
      <x:c r="C144" s="355" t="s">
        <x:v>106</x:v>
      </x:c>
      <x:c r="D144" s="414">
        <x:v>361000</x:v>
      </x:c>
      <x:c r="E144" s="476" t="n">
        <x:f>+D147</x:f>
        <x:v>272000</x:v>
      </x:c>
      <x:c r="F144" s="476" t="n">
        <x:f>+E147</x:f>
        <x:v>189000</x:v>
      </x:c>
      <x:c r="G144" s="417" t="n">
        <x:f>+F147</x:f>
        <x:v>155000</x:v>
      </x:c>
      <x:c r="H144" s="417" t="n">
        <x:f t="shared" ref="H144:K144" si="82">+G147</x:f>
        <x:v>102000</x:v>
      </x:c>
      <x:c r="I144" s="417">
        <x:f t="shared" si="82"/>
        <x:v>67000</x:v>
      </x:c>
      <x:c r="J144" s="417">
        <x:f t="shared" si="82"/>
        <x:v>43000</x:v>
      </x:c>
      <x:c r="K144" s="747">
        <x:f t="shared" si="82"/>
        <x:v>25000</x:v>
      </x:c>
      <x:c r="L144" s="22"/>
    </x:row>
    <x:row r="145" ht="14.399999618530273" customHeight="1">
      <x:c r="C145" s="355" t="s">
        <x:v>123</x:v>
      </x:c>
      <x:c r="D145" s="476" t="n">
        <x:f>+D147+D146-D144</x:f>
        <x:v>85000</x:v>
      </x:c>
      <x:c r="E145" s="476" t="n">
        <x:f>+E147+E146-E144</x:f>
        <x:v>20000</x:v>
      </x:c>
      <x:c r="F145" s="476" t="n">
        <x:f t="shared" ref="F145" si="83">+F147+F146-F144</x:f>
        <x:v>56000</x:v>
      </x:c>
      <x:c r="G145" s="480">
        <x:v>0</x:v>
      </x:c>
      <x:c r="H145" s="480">
        <x:v>0</x:v>
      </x:c>
      <x:c r="I145" s="480">
        <x:v>0</x:v>
      </x:c>
      <x:c r="J145" s="480">
        <x:v>0</x:v>
      </x:c>
      <x:c r="K145" s="749">
        <x:v>0</x:v>
      </x:c>
      <x:c r="L145" s="22"/>
    </x:row>
    <x:row r="146" ht="14.399999618530273" customHeight="1">
      <x:c r="C146" s="355" t="s">
        <x:v>124</x:v>
      </x:c>
      <x:c r="D146" s="414">
        <x:v>174000</x:v>
      </x:c>
      <x:c r="E146" s="414">
        <x:v>103000</x:v>
      </x:c>
      <x:c r="F146" s="414">
        <x:v>90000</x:v>
      </x:c>
      <x:c r="G146" s="480">
        <x:v>53000</x:v>
      </x:c>
      <x:c r="H146" s="480">
        <x:v>35000</x:v>
      </x:c>
      <x:c r="I146" s="480">
        <x:v>24000</x:v>
      </x:c>
      <x:c r="J146" s="480">
        <x:v>18000</x:v>
      </x:c>
      <x:c r="K146" s="749">
        <x:v>14000</x:v>
      </x:c>
      <x:c r="L146" s="22"/>
    </x:row>
    <x:row r="147" ht="14.399999618530273" customHeight="1">
      <x:c r="C147" s="515" t="s">
        <x:v>108</x:v>
      </x:c>
      <x:c r="D147" s="498" t="n">
        <x:f>+D53-D141</x:f>
        <x:v>272000</x:v>
      </x:c>
      <x:c r="E147" s="498" t="n">
        <x:f>+E53-E141</x:f>
        <x:v>189000</x:v>
      </x:c>
      <x:c r="F147" s="498" t="n">
        <x:f>+F53-F141</x:f>
        <x:v>155000</x:v>
      </x:c>
      <x:c r="G147" s="525" t="n">
        <x:f t="shared" ref="G147" si="84">+G144+G145-G146</x:f>
        <x:v>102000</x:v>
      </x:c>
      <x:c r="H147" s="525" t="n">
        <x:f t="shared" ref="H147" si="85">+H144+H145-H146</x:f>
        <x:v>67000</x:v>
      </x:c>
      <x:c r="I147" s="525" t="n">
        <x:f t="shared" ref="I147" si="86">+I144+I145-I146</x:f>
        <x:v>43000</x:v>
      </x:c>
      <x:c r="J147" s="525" t="n">
        <x:f t="shared" ref="J147" si="87">+J144+J145-J146</x:f>
        <x:v>25000</x:v>
      </x:c>
      <x:c r="K147" s="526" t="n">
        <x:f t="shared" ref="K147" si="88">+K144+K145-K146</x:f>
        <x:v>11000</x:v>
      </x:c>
      <x:c r="L147" s="22"/>
    </x:row>
    <x:row r="148" ht="14.399999618530273" customHeight="1">
      <x:c r="E148" s="14"/>
      <x:c r="F148" s="160"/>
      <x:c r="L148" s="22"/>
    </x:row>
    <x:row r="149" ht="14.399999618530273" customHeight="1">
      <x:c r="C149" s="384" t="s">
        <x:v>125</x:v>
      </x:c>
      <x:c r="D149" s="385" t="s">
        <x:v>9</x:v>
      </x:c>
      <x:c r="E149" s="386"/>
      <x:c r="F149" s="387"/>
      <x:c r="G149" s="385" t="s">
        <x:v>10</x:v>
      </x:c>
      <x:c r="H149" s="386"/>
      <x:c r="I149" s="386"/>
      <x:c r="J149" s="386"/>
      <x:c r="K149" s="386"/>
      <x:c r="L149" s="528"/>
      <x:c r="M149" s="460" t="s">
        <x:v>35</x:v>
      </x:c>
    </x:row>
    <x:row r="150" ht="14.399999618530273" customHeight="1">
      <x:c r="C150" s="363"/>
      <x:c r="D150" s="378" t="n">
        <x:f>+D$12</x:f>
        <x:v>44500</x:v>
      </x:c>
      <x:c r="E150" s="378" t="n">
        <x:f t="shared" ref="E150:K150" si="89">+E$12</x:f>
        <x:v>44865</x:v>
      </x:c>
      <x:c r="F150" s="378">
        <x:f t="shared" si="89"/>
        <x:v>45230</x:v>
      </x:c>
      <x:c r="G150" s="381">
        <x:f t="shared" si="89"/>
        <x:v>45596</x:v>
      </x:c>
      <x:c r="H150" s="381">
        <x:f t="shared" si="89"/>
        <x:v>45961</x:v>
      </x:c>
      <x:c r="I150" s="381">
        <x:f t="shared" si="89"/>
        <x:v>46326</x:v>
      </x:c>
      <x:c r="J150" s="381">
        <x:f t="shared" si="89"/>
        <x:v>46691</x:v>
      </x:c>
      <x:c r="K150" s="381">
        <x:f t="shared" si="89"/>
        <x:v>47057</x:v>
      </x:c>
      <x:c r="L150" s="529"/>
      <x:c r="M150" s="368" t="s">
        <x:v>36</x:v>
      </x:c>
    </x:row>
    <x:row r="151" ht="14.399999618530273" customHeight="1">
      <x:c r="C151" s="362"/>
      <x:c r="D151" s="353"/>
      <x:c r="E151" s="353"/>
      <x:c r="F151" s="353"/>
      <x:c r="G151" s="353"/>
      <x:c r="H151" s="353"/>
      <x:c r="I151" s="353"/>
      <x:c r="J151" s="353"/>
      <x:c r="K151" s="353"/>
      <x:c r="L151" s="529"/>
      <x:c r="M151" s="354"/>
    </x:row>
    <x:row r="152" ht="14.399999618530273" customHeight="1">
      <x:c r="C152" s="362" t="s">
        <x:v>126</x:v>
      </x:c>
      <x:c r="D152" s="353"/>
      <x:c r="E152" s="461"/>
      <x:c r="F152" s="390"/>
      <x:c r="G152" s="353"/>
      <x:c r="H152" s="353"/>
      <x:c r="I152" s="353"/>
      <x:c r="J152" s="353"/>
      <x:c r="K152" s="353"/>
      <x:c r="L152" s="529"/>
      <x:c r="M152" s="530"/>
    </x:row>
    <x:row r="153" ht="14.399999618530273" customHeight="1">
      <x:c r="C153" s="355" t="s">
        <x:v>106</x:v>
      </x:c>
      <x:c r="D153" s="501"/>
      <x:c r="E153" s="501"/>
      <x:c r="F153" s="531"/>
      <x:c r="G153" s="417" t="n">
        <x:f t="shared" ref="G153:K153" si="90">+F156</x:f>
        <x:v>761000</x:v>
      </x:c>
      <x:c r="H153" s="417">
        <x:f t="shared" si="90"/>
        <x:v>834408.53710371419</x:v>
      </x:c>
      <x:c r="I153" s="417">
        <x:f t="shared" si="90"/>
        <x:v>913534.60945726396</x:v>
      </x:c>
      <x:c r="J153" s="417">
        <x:f t="shared" si="90"/>
        <x:v>997216.49154256913</x:v>
      </x:c>
      <x:c r="K153" s="417">
        <x:f t="shared" si="90"/>
        <x:v>1086284.2758531955</x:v>
      </x:c>
      <x:c r="L153" s="529"/>
      <x:c r="M153" s="530"/>
    </x:row>
    <x:row r="154" ht="14.399999618530273" customHeight="1">
      <x:c r="C154" s="355" t="s">
        <x:v>127</x:v>
      </x:c>
      <x:c r="D154" s="414">
        <x:v>174000</x:v>
      </x:c>
      <x:c r="E154" s="414">
        <x:v>185000</x:v>
      </x:c>
      <x:c r="F154" s="414">
        <x:v>196000</x:v>
      </x:c>
      <x:c r="G154" s="417" t="n">
        <x:f>+AVERAGE(D154:$F$154)*(1+G34)</x:f>
        <x:v>194376.6288433382</x:v>
      </x:c>
      <x:c r="H154" s="417" t="n">
        <x:f>+G154*(1+H34)</x:f>
        <x:v>206753.0001830161</x:v>
      </x:c>
      <x:c r="I154" s="417" t="n">
        <x:f t="shared" ref="I154:K154" si="91">+H154*(1+I34)</x:f>
        <x:v>220108.45050329427</x:v>
      </x:c>
      <x:c r="J154" s="417">
        <x:f t="shared" si="91"/>
        <x:v>233500.07115071375</x:v>
      </x:c>
      <x:c r="K154" s="417">
        <x:f t="shared" si="91"/>
        <x:v>247921.15484057012</x:v>
      </x:c>
      <x:c r="L154" s="529"/>
      <x:c r="M154" s="354"/>
    </x:row>
    <x:row r="155" ht="14.399999618530273" customHeight="1">
      <x:c r="C155" s="355" t="s">
        <x:v>128</x:v>
      </x:c>
      <x:c r="D155" s="414">
        <x:v>117000</x:v>
      </x:c>
      <x:c r="E155" s="414">
        <x:v>117000</x:v>
      </x:c>
      <x:c r="F155" s="414">
        <x:v>120000</x:v>
      </x:c>
      <x:c r="G155" s="417" t="n">
        <x:f>+G158*G154</x:f>
        <x:v>120968.0917396241</x:v>
      </x:c>
      <x:c r="H155" s="417" t="n">
        <x:f>+H158*H154</x:f>
        <x:v>127626.92782946634</x:v>
      </x:c>
      <x:c r="I155" s="417" t="n">
        <x:f>+I158*I154</x:f>
        <x:v>136426.56841798915</x:v>
      </x:c>
      <x:c r="J155" s="417" t="n">
        <x:f>+J158*J154</x:f>
        <x:v>144432.28684008744</x:v>
      </x:c>
      <x:c r="K155" s="417" t="n">
        <x:f>+K158*K154</x:f>
        <x:v>153508.90231790996</x:v>
      </x:c>
      <x:c r="L155" s="529"/>
      <x:c r="M155" s="354"/>
    </x:row>
    <x:row r="156" ht="14.399999618530273" customHeight="1">
      <x:c r="C156" s="502" t="s">
        <x:v>108</x:v>
      </x:c>
      <x:c r="D156" s="416">
        <x:v>650000</x:v>
      </x:c>
      <x:c r="E156" s="416">
        <x:v>690000</x:v>
      </x:c>
      <x:c r="F156" s="416">
        <x:v>761000</x:v>
      </x:c>
      <x:c r="G156" s="527" t="n">
        <x:f>+G153+G154-G155</x:f>
        <x:v>834408.5371037142</x:v>
      </x:c>
      <x:c r="H156" s="527" t="n">
        <x:f>+H153+H154-H155</x:f>
        <x:v>913534.609457264</x:v>
      </x:c>
      <x:c r="I156" s="527" t="n">
        <x:f>+I153+I154-I155</x:f>
        <x:v>997216.4915425691</x:v>
      </x:c>
      <x:c r="J156" s="527" t="n">
        <x:f>+J153+J154-J155</x:f>
        <x:v>1086284.2758531955</x:v>
      </x:c>
      <x:c r="K156" s="527" t="n">
        <x:f>+K153+K154-K155</x:f>
        <x:v>1180696.5283758556</x:v>
      </x:c>
      <x:c r="L156" s="529"/>
      <x:c r="M156" s="479" t="n">
        <x:f>+_xlfn.RRI(YEAR($K$12)-YEAR($F$12),F156,K156)</x:f>
        <x:v>0.09181919661328553</x:v>
      </x:c>
    </x:row>
    <x:row r="157" ht="14.399999618530273" customHeight="1">
      <x:c r="C157" s="362"/>
      <x:c r="D157" s="461"/>
      <x:c r="E157" s="461"/>
      <x:c r="F157" s="508"/>
      <x:c r="G157" s="461"/>
      <x:c r="H157" s="461"/>
      <x:c r="I157" s="353"/>
      <x:c r="J157" s="353"/>
      <x:c r="K157" s="353"/>
      <x:c r="L157" s="529"/>
      <x:c r="M157" s="354"/>
    </x:row>
    <x:row r="158" ht="14.399999618530273" customHeight="1">
      <x:c r="C158" s="438" t="s">
        <x:v>129</x:v>
      </x:c>
      <x:c r="D158" s="532"/>
      <x:c r="E158" s="475" t="n">
        <x:f>+E155/E154</x:f>
        <x:v>0.6324324324324324</x:v>
      </x:c>
      <x:c r="F158" s="475" t="n">
        <x:f>+F155/F154</x:f>
        <x:v>0.6122448979591837</x:v>
      </x:c>
      <x:c r="G158" s="475" t="n">
        <x:f>+AVERAGE(E158:F158)</x:f>
        <x:v>0.622338665195808</x:v>
      </x:c>
      <x:c r="H158" s="475" t="n">
        <x:f t="shared" ref="H158:K158" si="92">+AVERAGE(F158:G158)</x:f>
        <x:v>0.6172917815774959</x:v>
      </x:c>
      <x:c r="I158" s="475">
        <x:f t="shared" si="92"/>
        <x:v>0.61981522338665196</x:v>
      </x:c>
      <x:c r="J158" s="475">
        <x:f t="shared" si="92"/>
        <x:v>0.61855350248207386</x:v>
      </x:c>
      <x:c r="K158" s="475">
        <x:f t="shared" si="92"/>
        <x:v>0.61918436293436296</x:v>
      </x:c>
      <x:c r="L158" s="534"/>
      <x:c r="M158" s="459"/>
    </x:row>
    <x:row r="159" ht="14.399999618530273" customHeight="1">
      <x:c r="C159" s="23"/>
      <x:c r="D159" s="24"/>
      <x:c r="E159" s="24"/>
      <x:c r="F159" s="24"/>
      <x:c r="G159" s="24"/>
      <x:c r="H159" s="24"/>
      <x:c r="I159" s="24"/>
      <x:c r="J159" s="24"/>
      <x:c r="K159" s="24"/>
      <x:c r="L159" s="22"/>
    </x:row>
    <x:row r="160" ht="14.399999618530273" customHeight="1">
      <x:c r="C160" s="384" t="s">
        <x:v>130</x:v>
      </x:c>
      <x:c r="D160" s="385" t="s">
        <x:v>9</x:v>
      </x:c>
      <x:c r="E160" s="386"/>
      <x:c r="F160" s="387"/>
      <x:c r="G160" s="385" t="s">
        <x:v>10</x:v>
      </x:c>
      <x:c r="H160" s="386"/>
      <x:c r="I160" s="386"/>
      <x:c r="J160" s="386"/>
      <x:c r="K160" s="388"/>
      <x:c r="L160" s="22"/>
    </x:row>
    <x:row r="161" ht="14.399999618530273" customHeight="1">
      <x:c r="C161" s="363"/>
      <x:c r="D161" s="378" t="n">
        <x:f>+D$12</x:f>
        <x:v>44500</x:v>
      </x:c>
      <x:c r="E161" s="378" t="n">
        <x:f t="shared" ref="E161:K161" si="93">+E$12</x:f>
        <x:v>44865</x:v>
      </x:c>
      <x:c r="F161" s="378">
        <x:f t="shared" si="93"/>
        <x:v>45230</x:v>
      </x:c>
      <x:c r="G161" s="381">
        <x:f t="shared" si="93"/>
        <x:v>45596</x:v>
      </x:c>
      <x:c r="H161" s="381">
        <x:f t="shared" si="93"/>
        <x:v>45961</x:v>
      </x:c>
      <x:c r="I161" s="381">
        <x:f t="shared" si="93"/>
        <x:v>46326</x:v>
      </x:c>
      <x:c r="J161" s="381">
        <x:f t="shared" si="93"/>
        <x:v>46691</x:v>
      </x:c>
      <x:c r="K161" s="746">
        <x:f t="shared" si="93"/>
        <x:v>47057</x:v>
      </x:c>
      <x:c r="L161" s="22"/>
    </x:row>
    <x:row r="162" ht="14.399999618530273" customHeight="1">
      <x:c r="C162" s="362"/>
      <x:c r="D162" s="353"/>
      <x:c r="E162" s="353"/>
      <x:c r="F162" s="353"/>
      <x:c r="G162" s="353"/>
      <x:c r="H162" s="353"/>
      <x:c r="I162" s="353"/>
      <x:c r="J162" s="353"/>
      <x:c r="K162" s="354"/>
      <x:c r="L162" s="22"/>
    </x:row>
    <x:row r="163" ht="14.399999618530273" customHeight="1">
      <x:c r="C163" s="362" t="s">
        <x:v>106</x:v>
      </x:c>
      <x:c r="D163" s="414">
        <x:v>2536000</x:v>
      </x:c>
      <x:c r="E163" s="476" t="n">
        <x:f>+D167</x:f>
        <x:v>3430000</x:v>
      </x:c>
      <x:c r="F163" s="476" t="n">
        <x:f t="shared" ref="F163:K163" si="94">+E167</x:f>
        <x:v>4554000</x:v>
      </x:c>
      <x:c r="G163" s="417">
        <x:f t="shared" si="94"/>
        <x:v>5611000</x:v>
      </x:c>
      <x:c r="H163" s="417">
        <x:f t="shared" ca="1" si="94"/>
        <x:v>6866159.1303413343</x:v>
      </x:c>
      <x:c r="I163" s="417">
        <x:f t="shared" ca="1" si="94"/>
        <x:v>8243744.4679629263</x:v>
      </x:c>
      <x:c r="J163" s="417">
        <x:f t="shared" ca="1" si="94"/>
        <x:v>9754620.4544871785</x:v>
      </x:c>
      <x:c r="K163" s="747">
        <x:f t="shared" ca="1" si="94"/>
        <x:v>11403059.654077906</x:v>
      </x:c>
      <x:c r="L163" s="22"/>
    </x:row>
    <x:row r="164" ht="14.399999618530273" customHeight="1">
      <x:c r="C164" s="355" t="s">
        <x:v>131</x:v>
      </x:c>
      <x:c r="D164" s="476" t="n">
        <x:f t="shared" ref="D164:K164" si="95">+D26</x:f>
        <x:v>894000</x:v>
      </x:c>
      <x:c r="E164" s="476">
        <x:f t="shared" si="95"/>
        <x:v>1124000</x:v>
      </x:c>
      <x:c r="F164" s="476">
        <x:f t="shared" si="95"/>
        <x:v>1057000</x:v>
      </x:c>
      <x:c r="G164" s="417">
        <x:f t="shared" ca="1" si="95"/>
        <x:v>1255159.1303413343</x:v>
      </x:c>
      <x:c r="H164" s="417">
        <x:f t="shared" ca="1" si="95"/>
        <x:v>1377585.3376215925</x:v>
      </x:c>
      <x:c r="I164" s="417">
        <x:f t="shared" ca="1" si="95"/>
        <x:v>1510875.9865242525</x:v>
      </x:c>
      <x:c r="J164" s="417">
        <x:f t="shared" ca="1" si="95"/>
        <x:v>1648439.1995907277</x:v>
      </x:c>
      <x:c r="K164" s="747">
        <x:f t="shared" ca="1" si="95"/>
        <x:v>1796952.421729892</x:v>
      </x:c>
      <x:c r="L164" s="22"/>
    </x:row>
    <x:row r="165" ht="14.399999618530273" customHeight="1">
      <x:c r="C165" s="355" t="s">
        <x:v>132</x:v>
      </x:c>
      <x:c r="D165" s="414">
        <x:v>0</x:v>
      </x:c>
      <x:c r="E165" s="414">
        <x:v>0</x:v>
      </x:c>
      <x:c r="F165" s="414">
        <x:v>0</x:v>
      </x:c>
      <x:c r="G165" s="417" t="n">
        <x:f ca="1">+G164*G169</x:f>
        <x:v>0</x:v>
      </x:c>
      <x:c r="H165" s="417" t="n">
        <x:f t="shared" ref="H165:K165" ca="1" si="96">+H164*H169</x:f>
        <x:v>0</x:v>
      </x:c>
      <x:c r="I165" s="417">
        <x:f t="shared" ca="1" si="96"/>
        <x:v>0</x:v>
      </x:c>
      <x:c r="J165" s="417">
        <x:f t="shared" ca="1" si="96"/>
        <x:v>0</x:v>
      </x:c>
      <x:c r="K165" s="747">
        <x:f t="shared" ca="1" si="96"/>
        <x:v>0</x:v>
      </x:c>
      <x:c r="L165" s="22"/>
    </x:row>
    <x:row r="166" ht="14.399999618530273" customHeight="1">
      <x:c r="C166" s="355" t="s">
        <x:v>133</x:v>
      </x:c>
      <x:c r="D166" s="414">
        <x:v>0</x:v>
      </x:c>
      <x:c r="E166" s="414">
        <x:v>0</x:v>
      </x:c>
      <x:c r="F166" s="414">
        <x:v>0</x:v>
      </x:c>
      <x:c r="G166" s="480">
        <x:v>0</x:v>
      </x:c>
      <x:c r="H166" s="480">
        <x:v>0</x:v>
      </x:c>
      <x:c r="I166" s="480">
        <x:v>0</x:v>
      </x:c>
      <x:c r="J166" s="480">
        <x:v>0</x:v>
      </x:c>
      <x:c r="K166" s="749">
        <x:v>0</x:v>
      </x:c>
      <x:c r="L166" s="22"/>
    </x:row>
    <x:row r="167" ht="14.399999618530273" customHeight="1">
      <x:c r="C167" s="502" t="s">
        <x:v>108</x:v>
      </x:c>
      <x:c r="D167" s="477" t="n">
        <x:f>+D163+D164-D165-D166</x:f>
        <x:v>3430000</x:v>
      </x:c>
      <x:c r="E167" s="477" t="n">
        <x:f t="shared" ref="E167:K167" si="97">+E163+E164-E165-E166</x:f>
        <x:v>4554000</x:v>
      </x:c>
      <x:c r="F167" s="477">
        <x:f t="shared" si="97"/>
        <x:v>5611000</x:v>
      </x:c>
      <x:c r="G167" s="418">
        <x:f t="shared" ca="1" si="97"/>
        <x:v>6866159.1303413343</x:v>
      </x:c>
      <x:c r="H167" s="418">
        <x:f t="shared" ca="1" si="97"/>
        <x:v>8243744.4679629263</x:v>
      </x:c>
      <x:c r="I167" s="418">
        <x:f t="shared" ca="1" si="97"/>
        <x:v>9754620.4544871785</x:v>
      </x:c>
      <x:c r="J167" s="418">
        <x:f t="shared" ca="1" si="97"/>
        <x:v>11403059.654077906</x:v>
      </x:c>
      <x:c r="K167" s="748">
        <x:f t="shared" ca="1" si="97"/>
        <x:v>13200012.075807799</x:v>
      </x:c>
      <x:c r="L167" s="22"/>
    </x:row>
    <x:row r="168" ht="14.399999618530273" customHeight="1">
      <x:c r="C168" s="362"/>
      <x:c r="D168" s="465"/>
      <x:c r="E168" s="465"/>
      <x:c r="F168" s="508"/>
      <x:c r="G168" s="353"/>
      <x:c r="H168" s="353"/>
      <x:c r="I168" s="353"/>
      <x:c r="J168" s="353"/>
      <x:c r="K168" s="354"/>
      <x:c r="L168" s="22"/>
    </x:row>
    <x:row r="169" ht="14.399999618530273" customHeight="1">
      <x:c r="C169" s="455" t="s">
        <x:v>134</x:v>
      </x:c>
      <x:c r="D169" s="475" t="n">
        <x:f>+D165/D164</x:f>
        <x:v>0</x:v>
      </x:c>
      <x:c r="E169" s="475" t="n">
        <x:f t="shared" ref="E169:F169" si="98">+E165/E164</x:f>
        <x:v>0</x:v>
      </x:c>
      <x:c r="F169" s="475">
        <x:f t="shared" si="98"/>
        <x:v>0</x:v>
      </x:c>
      <x:c r="G169" s="475" t="n">
        <x:f>+AVERAGE(D169:F169)</x:f>
        <x:v>0</x:v>
      </x:c>
      <x:c r="H169" s="475" t="n">
        <x:f t="shared" ref="H169:K169" si="99">+AVERAGE(E169:G169)</x:f>
        <x:v>0</x:v>
      </x:c>
      <x:c r="I169" s="475">
        <x:f t="shared" si="99"/>
        <x:v>0</x:v>
      </x:c>
      <x:c r="J169" s="475">
        <x:f t="shared" si="99"/>
        <x:v>0</x:v>
      </x:c>
      <x:c r="K169" s="535">
        <x:f t="shared" si="99"/>
        <x:v>0</x:v>
      </x:c>
      <x:c r="L169" s="22"/>
    </x:row>
    <x:row r="170" ht="14.399999618530273" customHeight="1">
      <x:c r="C170" s="310"/>
      <x:c r="D170" s="311"/>
      <x:c r="E170" s="311"/>
      <x:c r="F170" s="311"/>
      <x:c r="G170" s="311"/>
      <x:c r="H170" s="311"/>
      <x:c r="I170" s="311"/>
      <x:c r="J170" s="311"/>
      <x:c r="K170" s="311"/>
      <x:c r="L170" s="22"/>
    </x:row>
    <x:row r="171" ht="14.399999618530273" customHeight="1">
      <x:c r="C171" s="384" t="s">
        <x:v>135</x:v>
      </x:c>
      <x:c r="D171" s="385" t="s">
        <x:v>9</x:v>
      </x:c>
      <x:c r="E171" s="386"/>
      <x:c r="F171" s="387"/>
      <x:c r="G171" s="385" t="s">
        <x:v>10</x:v>
      </x:c>
      <x:c r="H171" s="386"/>
      <x:c r="I171" s="386"/>
      <x:c r="J171" s="386"/>
      <x:c r="K171" s="388"/>
      <x:c r="L171" s="22"/>
    </x:row>
    <x:row r="172" ht="14.399999618530273" customHeight="1">
      <x:c r="C172" s="363"/>
      <x:c r="D172" s="378" t="n">
        <x:f>+D$12</x:f>
        <x:v>44500</x:v>
      </x:c>
      <x:c r="E172" s="378" t="n">
        <x:f t="shared" ref="E172:K172" si="100">+E$12</x:f>
        <x:v>44865</x:v>
      </x:c>
      <x:c r="F172" s="378">
        <x:f t="shared" si="100"/>
        <x:v>45230</x:v>
      </x:c>
      <x:c r="G172" s="381">
        <x:f t="shared" si="100"/>
        <x:v>45596</x:v>
      </x:c>
      <x:c r="H172" s="381">
        <x:f t="shared" si="100"/>
        <x:v>45961</x:v>
      </x:c>
      <x:c r="I172" s="381">
        <x:f t="shared" si="100"/>
        <x:v>46326</x:v>
      </x:c>
      <x:c r="J172" s="381">
        <x:f t="shared" si="100"/>
        <x:v>46691</x:v>
      </x:c>
      <x:c r="K172" s="746">
        <x:f t="shared" si="100"/>
        <x:v>47057</x:v>
      </x:c>
      <x:c r="L172" s="22"/>
    </x:row>
    <x:row r="173" ht="14.399999618530273" customHeight="1">
      <x:c r="C173" s="362"/>
      <x:c r="D173" s="353"/>
      <x:c r="E173" s="353"/>
      <x:c r="F173" s="353"/>
      <x:c r="G173" s="353"/>
      <x:c r="H173" s="353"/>
      <x:c r="I173" s="353"/>
      <x:c r="J173" s="353"/>
      <x:c r="K173" s="354"/>
      <x:c r="L173" s="22"/>
    </x:row>
    <x:row r="174" ht="14.399999618530273" customHeight="1">
      <x:c r="C174" s="362" t="s">
        <x:v>106</x:v>
      </x:c>
      <x:c r="D174" s="414">
        <x:v>0</x:v>
      </x:c>
      <x:c r="E174" s="476" t="n">
        <x:f>+D177</x:f>
        <x:v>0</x:v>
      </x:c>
      <x:c r="F174" s="476" t="n">
        <x:f t="shared" ref="F174" si="101">+E177</x:f>
        <x:v>0</x:v>
      </x:c>
      <x:c r="G174" s="417" t="n">
        <x:f t="shared" ref="G174" si="102">+F177</x:f>
        <x:v>0</x:v>
      </x:c>
      <x:c r="H174" s="417" t="n">
        <x:f t="shared" ref="H174" ca="1" si="103">+G177</x:f>
        <x:v>0</x:v>
      </x:c>
      <x:c r="I174" s="417" t="n">
        <x:f t="shared" ref="I174" ca="1" si="104">+H177</x:f>
        <x:v>0</x:v>
      </x:c>
      <x:c r="J174" s="417" t="n">
        <x:f t="shared" ref="J174" ca="1" si="105">+I177</x:f>
        <x:v>0</x:v>
      </x:c>
      <x:c r="K174" s="747" t="n">
        <x:f t="shared" ref="K174" ca="1" si="106">+J177</x:f>
        <x:v>0</x:v>
      </x:c>
      <x:c r="L174" s="22"/>
    </x:row>
    <x:row r="175" ht="14.399999618530273" customHeight="1">
      <x:c r="C175" s="355" t="s">
        <x:v>136</x:v>
      </x:c>
      <x:c r="D175" s="414">
        <x:v>0</x:v>
      </x:c>
      <x:c r="E175" s="414">
        <x:v>0</x:v>
      </x:c>
      <x:c r="F175" s="414">
        <x:v>0</x:v>
      </x:c>
      <x:c r="G175" s="417" t="n">
        <x:f ca="1">+G179*(G23-G24)</x:f>
        <x:v>0</x:v>
      </x:c>
      <x:c r="H175" s="417" t="n">
        <x:f t="shared" ref="H175:K175" ca="1" si="107">+H179*(H23-H24)</x:f>
        <x:v>0</x:v>
      </x:c>
      <x:c r="I175" s="417">
        <x:f t="shared" ca="1" si="107"/>
        <x:v>0</x:v>
      </x:c>
      <x:c r="J175" s="417">
        <x:f t="shared" ca="1" si="107"/>
        <x:v>0</x:v>
      </x:c>
      <x:c r="K175" s="747">
        <x:f t="shared" ca="1" si="107"/>
        <x:v>0</x:v>
      </x:c>
      <x:c r="L175" s="22"/>
    </x:row>
    <x:row r="176" ht="14.399999618530273" customHeight="1">
      <x:c r="C176" s="355" t="s">
        <x:v>133</x:v>
      </x:c>
      <x:c r="D176" s="414">
        <x:v>0</x:v>
      </x:c>
      <x:c r="E176" s="414">
        <x:v>0</x:v>
      </x:c>
      <x:c r="F176" s="414">
        <x:v>0</x:v>
      </x:c>
      <x:c r="G176" s="480">
        <x:v>0</x:v>
      </x:c>
      <x:c r="H176" s="480">
        <x:v>0</x:v>
      </x:c>
      <x:c r="I176" s="480">
        <x:v>0</x:v>
      </x:c>
      <x:c r="J176" s="480">
        <x:v>0</x:v>
      </x:c>
      <x:c r="K176" s="749">
        <x:v>0</x:v>
      </x:c>
      <x:c r="L176" s="22"/>
    </x:row>
    <x:row r="177" ht="14.399999618530273" customHeight="1">
      <x:c r="C177" s="502" t="s">
        <x:v>108</x:v>
      </x:c>
      <x:c r="D177" s="477" t="n">
        <x:f>+D174+D175-D176</x:f>
        <x:v>0</x:v>
      </x:c>
      <x:c r="E177" s="477" t="n">
        <x:f t="shared" ref="E177:K177" si="108">+E174+E175-E176</x:f>
        <x:v>0</x:v>
      </x:c>
      <x:c r="F177" s="477">
        <x:f t="shared" si="108"/>
        <x:v>0</x:v>
      </x:c>
      <x:c r="G177" s="418">
        <x:f t="shared" ca="1" si="108"/>
        <x:v>0</x:v>
      </x:c>
      <x:c r="H177" s="418">
        <x:f t="shared" ca="1" si="108"/>
        <x:v>0</x:v>
      </x:c>
      <x:c r="I177" s="418">
        <x:f t="shared" ca="1" si="108"/>
        <x:v>0</x:v>
      </x:c>
      <x:c r="J177" s="418">
        <x:f t="shared" ca="1" si="108"/>
        <x:v>0</x:v>
      </x:c>
      <x:c r="K177" s="748">
        <x:f t="shared" ca="1" si="108"/>
        <x:v>0</x:v>
      </x:c>
      <x:c r="L177" s="22"/>
      <x:c r="N177" s="321"/>
      <x:c r="O177" s="321"/>
    </x:row>
    <x:row r="178" ht="14.399999618530273" customHeight="1">
      <x:c r="C178" s="362"/>
      <x:c r="D178" s="465"/>
      <x:c r="E178" s="465"/>
      <x:c r="F178" s="508"/>
      <x:c r="G178" s="353"/>
      <x:c r="H178" s="353"/>
      <x:c r="I178" s="353"/>
      <x:c r="J178" s="353"/>
      <x:c r="K178" s="354"/>
      <x:c r="L178" s="22"/>
      <x:c r="N178" s="321"/>
      <x:c r="O178" s="321"/>
    </x:row>
    <x:row r="179" ht="14.399999618530273" customHeight="1">
      <x:c r="C179" s="455" t="s">
        <x:v>137</x:v>
      </x:c>
      <x:c r="D179" s="475" t="n">
        <x:f>+D175/SUM(D175,D164)</x:f>
        <x:v>0</x:v>
      </x:c>
      <x:c r="E179" s="475" t="n">
        <x:f t="shared" ref="E179:F179" si="109">+E175/SUM(E175,E164)</x:f>
        <x:v>0</x:v>
      </x:c>
      <x:c r="F179" s="475">
        <x:f t="shared" si="109"/>
        <x:v>0</x:v>
      </x:c>
      <x:c r="G179" s="475" t="n">
        <x:f>+AVERAGE(D179:F179)</x:f>
        <x:v>0</x:v>
      </x:c>
      <x:c r="H179" s="475" t="n">
        <x:f t="shared" ref="H179" si="110">+AVERAGE(E179:G179)</x:f>
        <x:v>0</x:v>
      </x:c>
      <x:c r="I179" s="475" t="n">
        <x:f t="shared" ref="I179" si="111">+AVERAGE(F179:H179)</x:f>
        <x:v>0</x:v>
      </x:c>
      <x:c r="J179" s="475" t="n">
        <x:f t="shared" ref="J179" si="112">+AVERAGE(G179:I179)</x:f>
        <x:v>0</x:v>
      </x:c>
      <x:c r="K179" s="535" t="n">
        <x:f t="shared" ref="K179" si="113">+AVERAGE(H179:J179)</x:f>
        <x:v>0</x:v>
      </x:c>
      <x:c r="L179" s="22"/>
      <x:c r="N179" s="321"/>
      <x:c r="O179" s="321"/>
    </x:row>
    <x:row r="180" ht="14.399999618530273" customHeight="1">
      <x:c r="L180" s="22"/>
    </x:row>
    <x:row r="181" ht="14.399999618530273" customHeight="1">
      <x:c r="C181" s="384" t="s">
        <x:v>138</x:v>
      </x:c>
      <x:c r="D181" s="385" t="s">
        <x:v>9</x:v>
      </x:c>
      <x:c r="E181" s="386"/>
      <x:c r="F181" s="387"/>
      <x:c r="G181" s="385" t="s">
        <x:v>10</x:v>
      </x:c>
      <x:c r="H181" s="386"/>
      <x:c r="I181" s="386"/>
      <x:c r="J181" s="386"/>
      <x:c r="K181" s="388"/>
      <x:c r="L181" s="22"/>
    </x:row>
    <x:row r="182" ht="14.399999618530273" customHeight="1">
      <x:c r="C182" s="363"/>
      <x:c r="D182" s="378" t="n">
        <x:f>+D$12</x:f>
        <x:v>44500</x:v>
      </x:c>
      <x:c r="E182" s="378" t="n">
        <x:f t="shared" ref="E182:K182" si="114">+E$12</x:f>
        <x:v>44865</x:v>
      </x:c>
      <x:c r="F182" s="378">
        <x:f t="shared" si="114"/>
        <x:v>45230</x:v>
      </x:c>
      <x:c r="G182" s="381">
        <x:f t="shared" si="114"/>
        <x:v>45596</x:v>
      </x:c>
      <x:c r="H182" s="381">
        <x:f t="shared" si="114"/>
        <x:v>45961</x:v>
      </x:c>
      <x:c r="I182" s="381">
        <x:f t="shared" si="114"/>
        <x:v>46326</x:v>
      </x:c>
      <x:c r="J182" s="381">
        <x:f t="shared" si="114"/>
        <x:v>46691</x:v>
      </x:c>
      <x:c r="K182" s="746">
        <x:f t="shared" si="114"/>
        <x:v>47057</x:v>
      </x:c>
      <x:c r="L182" s="22"/>
    </x:row>
    <x:row r="183" ht="14.399999618530273" customHeight="1">
      <x:c r="C183" s="362"/>
      <x:c r="D183" s="461"/>
      <x:c r="E183" s="353"/>
      <x:c r="F183" s="353"/>
      <x:c r="G183" s="353"/>
      <x:c r="H183" s="353"/>
      <x:c r="I183" s="353"/>
      <x:c r="J183" s="353"/>
      <x:c r="K183" s="354"/>
      <x:c r="L183" s="22"/>
    </x:row>
    <x:row r="184" ht="14.399999618530273" customHeight="1">
      <x:c r="C184" s="362" t="s">
        <x:v>139</x:v>
      </x:c>
      <x:c r="D184" s="461"/>
      <x:c r="E184" s="353"/>
      <x:c r="F184" s="353"/>
      <x:c r="G184" s="394"/>
      <x:c r="H184" s="353"/>
      <x:c r="I184" s="353"/>
      <x:c r="J184" s="353"/>
      <x:c r="K184" s="354"/>
      <x:c r="L184" s="22"/>
    </x:row>
    <x:row r="185" ht="14.399999618530273" customHeight="1">
      <x:c r="C185" s="355" t="s">
        <x:v>140</x:v>
      </x:c>
      <x:c r="D185" s="501"/>
      <x:c r="E185" s="501"/>
      <x:c r="F185" s="531"/>
      <x:c r="G185" s="417" t="n">
        <x:f ca="1">+G86+G93+G95+G98+F46+G200-F200+G201-F201+G97</x:f>
        <x:v>3099985.1891056905</x:v>
      </x:c>
      <x:c r="H185" s="417" t="n">
        <x:f t="shared" ref="H185:K185" ca="1" si="115">+H86+H93+H95+H98+G46+H200-G200+H201-G201+H97</x:f>
        <x:v>4541045.435546183</x:v>
      </x:c>
      <x:c r="I185" s="417">
        <x:f t="shared" ca="1" si="115"/>
        <x:v>5979017.0668863673</x:v>
      </x:c>
      <x:c r="J185" s="417">
        <x:f t="shared" ca="1" si="115"/>
        <x:v>6901480.0830701338</x:v>
      </x:c>
      <x:c r="K185" s="747">
        <x:f t="shared" ca="1" si="115"/>
        <x:v>8655804.9976474084</x:v>
      </x:c>
      <x:c r="L185" s="22"/>
    </x:row>
    <x:row r="186" ht="14.399999618530273" customHeight="1">
      <x:c r="C186" s="355" t="s">
        <x:v>141</x:v>
      </x:c>
      <x:c r="D186" s="501"/>
      <x:c r="E186" s="501"/>
      <x:c r="F186" s="531"/>
      <x:c r="G186" s="417" t="n">
        <x:f>+G187*G14</x:f>
        <x:v>3157517.0000000005</x:v>
      </x:c>
      <x:c r="H186" s="417" t="n">
        <x:f>+H187*H14</x:f>
        <x:v>1526619.45</x:v>
      </x:c>
      <x:c r="I186" s="417" t="n">
        <x:f>+I187*I14</x:f>
        <x:v>1625233.2074999998</x:v>
      </x:c>
      <x:c r="J186" s="417" t="n">
        <x:f>+J187*J14</x:f>
        <x:v>1724114.0388749999</x:v>
      </x:c>
      <x:c r="K186" s="747" t="n">
        <x:f>+K187*K14</x:f>
        <x:v>1830596.2027687503</x:v>
      </x:c>
      <x:c r="L186" s="22"/>
    </x:row>
    <x:row r="187" ht="14.399999618530273" customHeight="1">
      <x:c r="C187" s="352" t="s">
        <x:v>142</x:v>
      </x:c>
      <x:c r="D187" s="536"/>
      <x:c r="E187" s="536"/>
      <x:c r="F187" s="531"/>
      <x:c r="G187" s="447">
        <x:v>0.55000000000000004</x:v>
      </x:c>
      <x:c r="H187" s="447">
        <x:v>0.25</x:v>
      </x:c>
      <x:c r="I187" s="447">
        <x:v>0.25</x:v>
      </x:c>
      <x:c r="J187" s="447">
        <x:v>0.25</x:v>
      </x:c>
      <x:c r="K187" s="755">
        <x:v>0.25</x:v>
      </x:c>
      <x:c r="L187" s="22"/>
    </x:row>
    <x:row r="188" ht="14.399999618530273" customHeight="1">
      <x:c r="C188" s="502"/>
      <x:c r="D188" s="394"/>
      <x:c r="E188" s="394"/>
      <x:c r="F188" s="462"/>
      <x:c r="G188" s="394"/>
      <x:c r="H188" s="394"/>
      <x:c r="I188" s="394"/>
      <x:c r="J188" s="394"/>
      <x:c r="K188" s="395"/>
      <x:c r="L188" s="22"/>
    </x:row>
    <x:row r="189" ht="14.399999618530273" customHeight="1">
      <x:c r="C189" s="362" t="s">
        <x:v>143</x:v>
      </x:c>
      <x:c r="D189" s="394"/>
      <x:c r="E189" s="394"/>
      <x:c r="F189" s="462"/>
      <x:c r="G189" s="394"/>
      <x:c r="H189" s="394"/>
      <x:c r="I189" s="394"/>
      <x:c r="J189" s="394"/>
      <x:c r="K189" s="395"/>
      <x:c r="L189" s="22"/>
      <x:c r="M189" s="325"/>
      <x:c r="N189" s="325"/>
      <x:c r="O189" s="338"/>
      <x:c r="P189" s="338"/>
      <x:c r="Q189" s="338"/>
      <x:c r="R189" s="338"/>
      <x:c r="S189" s="338"/>
      <x:c r="T189" s="338"/>
      <x:c r="U189" s="338"/>
      <x:c r="V189" s="338"/>
      <x:c r="W189" s="338"/>
      <x:c r="X189" s="338"/>
    </x:row>
    <x:row r="190" ht="14.399999618530273" customHeight="1">
      <x:c r="C190" s="355" t="s">
        <x:v>144</x:v>
      </x:c>
      <x:c r="D190" s="501"/>
      <x:c r="E190" s="501"/>
      <x:c r="F190" s="531"/>
      <x:c r="G190" s="417" t="n">
        <x:f>+F192</x:f>
        <x:v>0</x:v>
      </x:c>
      <x:c r="H190" s="417" t="n">
        <x:f t="shared" ref="H190:K190" ca="1" si="116">+G192</x:f>
        <x:v>57531.81089431001</x:v>
      </x:c>
      <x:c r="I190" s="417">
        <x:f t="shared" ca="1" si="116"/>
        <x:v>0</x:v>
      </x:c>
      <x:c r="J190" s="417">
        <x:f t="shared" ca="1" si="116"/>
        <x:v>0</x:v>
      </x:c>
      <x:c r="K190" s="747">
        <x:f t="shared" ca="1" si="116"/>
        <x:v>0</x:v>
      </x:c>
      <x:c r="L190" s="22"/>
      <x:c r="M190" s="325"/>
      <x:c r="N190" s="325"/>
      <x:c r="O190" s="338"/>
      <x:c r="P190" s="338"/>
      <x:c r="Q190" s="338"/>
      <x:c r="R190" s="338"/>
      <x:c r="S190" s="338"/>
      <x:c r="T190" s="338"/>
      <x:c r="U190" s="338"/>
      <x:c r="V190" s="338"/>
      <x:c r="W190" s="338"/>
      <x:c r="X190" s="338"/>
    </x:row>
    <x:row r="191" ht="14.399999618530273" customHeight="1">
      <x:c r="C191" s="355" t="s">
        <x:v>145</x:v>
      </x:c>
      <x:c r="D191" s="501"/>
      <x:c r="E191" s="501"/>
      <x:c r="F191" s="531"/>
      <x:c r="G191" s="417" t="n">
        <x:f ca="1">+IF(G185-G186&gt;0,-MIN(G190,G185-G186),MAX(0,G186-G185))</x:f>
        <x:v>57531.81089431001</x:v>
      </x:c>
      <x:c r="H191" s="417" t="n">
        <x:f t="shared" ref="H191:K191" ca="1" si="117">+IF(H185-H186&gt;0,-MIN(H190,H185-H186),MAX(0,H186-H185))</x:f>
        <x:v>-57531.81089431001</x:v>
      </x:c>
      <x:c r="I191" s="417">
        <x:f t="shared" ca="1" si="117"/>
        <x:v>0</x:v>
      </x:c>
      <x:c r="J191" s="417">
        <x:f t="shared" ca="1" si="117"/>
        <x:v>0</x:v>
      </x:c>
      <x:c r="K191" s="747">
        <x:f t="shared" ca="1" si="117"/>
        <x:v>0</x:v>
      </x:c>
      <x:c r="L191" s="22"/>
      <x:c r="M191" s="325"/>
      <x:c r="N191" s="325"/>
      <x:c r="O191" s="338"/>
      <x:c r="P191" s="338"/>
      <x:c r="Q191" s="338"/>
      <x:c r="R191" s="338"/>
      <x:c r="S191" s="338"/>
      <x:c r="T191" s="338"/>
      <x:c r="U191" s="338"/>
      <x:c r="V191" s="338"/>
      <x:c r="W191" s="338"/>
      <x:c r="X191" s="338"/>
    </x:row>
    <x:row r="192" ht="14.399999618530273" customHeight="1">
      <x:c r="C192" s="502" t="s">
        <x:v>108</x:v>
      </x:c>
      <x:c r="D192" s="416">
        <x:v>0</x:v>
      </x:c>
      <x:c r="E192" s="416">
        <x:v>0</x:v>
      </x:c>
      <x:c r="F192" s="416">
        <x:v>0</x:v>
      </x:c>
      <x:c r="G192" s="418" t="n">
        <x:f ca="1">+G190+G191</x:f>
        <x:v>57531.81089431001</x:v>
      </x:c>
      <x:c r="H192" s="418" t="n">
        <x:f t="shared" ref="H192:K192" ca="1" si="118">+H190+H191</x:f>
        <x:v>0</x:v>
      </x:c>
      <x:c r="I192" s="418">
        <x:f t="shared" ca="1" si="118"/>
        <x:v>0</x:v>
      </x:c>
      <x:c r="J192" s="418">
        <x:f t="shared" ca="1" si="118"/>
        <x:v>0</x:v>
      </x:c>
      <x:c r="K192" s="748">
        <x:f t="shared" ca="1" si="118"/>
        <x:v>0</x:v>
      </x:c>
      <x:c r="L192" s="22"/>
      <x:c r="M192" s="325"/>
      <x:c r="N192" s="325"/>
      <x:c r="O192" s="321"/>
      <x:c r="P192" s="325"/>
      <x:c r="Q192" s="325"/>
      <x:c r="R192" s="325"/>
    </x:row>
    <x:row r="193" ht="14.399999618530273" customHeight="1">
      <x:c r="C193" s="362"/>
      <x:c r="D193" s="353"/>
      <x:c r="E193" s="353"/>
      <x:c r="F193" s="390"/>
      <x:c r="G193" s="353"/>
      <x:c r="H193" s="353"/>
      <x:c r="I193" s="353"/>
      <x:c r="J193" s="353"/>
      <x:c r="K193" s="354"/>
      <x:c r="L193" s="22"/>
      <x:c r="M193" s="325"/>
    </x:row>
    <x:row r="194" ht="14.399999618530273" customHeight="1">
      <x:c r="C194" s="355" t="s">
        <x:v>146</x:v>
      </x:c>
      <x:c r="D194" s="537"/>
      <x:c r="E194" s="545">
        <x:v>0.03</x:v>
      </x:c>
      <x:c r="F194" s="545">
        <x:v>0.03</x:v>
      </x:c>
      <x:c r="G194" s="483" t="n">
        <x:f>+F194</x:f>
        <x:v>0.03</x:v>
      </x:c>
      <x:c r="H194" s="483" t="n">
        <x:f t="shared" ref="H194:K194" si="119">+G194</x:f>
        <x:v>0.03</x:v>
      </x:c>
      <x:c r="I194" s="483">
        <x:f t="shared" si="119"/>
        <x:v>0.03</x:v>
      </x:c>
      <x:c r="J194" s="483">
        <x:f t="shared" si="119"/>
        <x:v>0.03</x:v>
      </x:c>
      <x:c r="K194" s="752">
        <x:f t="shared" si="119"/>
        <x:v>0.03</x:v>
      </x:c>
      <x:c r="L194" s="22"/>
      <x:c r="O194" s="321"/>
    </x:row>
    <x:row r="195" ht="14.399999618530273" customHeight="1">
      <x:c r="C195" s="502" t="s">
        <x:v>43</x:v>
      </x:c>
      <x:c r="D195" s="539"/>
      <x:c r="E195" s="477" t="n">
        <x:f>+E194*AVERAGE(D192:E192)</x:f>
        <x:v>0</x:v>
      </x:c>
      <x:c r="F195" s="477" t="n">
        <x:f>+F194*AVERAGE(E192:F192)</x:f>
        <x:v>0</x:v>
      </x:c>
      <x:c r="G195" s="418" t="n">
        <x:f ca="1">+IF($J$5=1,G194*AVERAGE(F192:G192),0)</x:f>
        <x:v>862.9771634146501</x:v>
      </x:c>
      <x:c r="H195" s="418" t="n">
        <x:f t="shared" ref="H195:K195" ca="1" si="120">+IF($J$5=1,H194*AVERAGE(G192:H192),0)</x:f>
        <x:v>862.9771634146501</x:v>
      </x:c>
      <x:c r="I195" s="418">
        <x:f t="shared" ca="1" si="120"/>
        <x:v>0</x:v>
      </x:c>
      <x:c r="J195" s="418">
        <x:f t="shared" ca="1" si="120"/>
        <x:v>0</x:v>
      </x:c>
      <x:c r="K195" s="748">
        <x:f t="shared" ca="1" si="120"/>
        <x:v>0</x:v>
      </x:c>
      <x:c r="L195" s="22"/>
    </x:row>
    <x:row r="196" ht="14.399999618530273" customHeight="1">
      <x:c r="C196" s="362"/>
      <x:c r="D196" s="353"/>
      <x:c r="E196" s="353"/>
      <x:c r="F196" s="390"/>
      <x:c r="G196" s="353"/>
      <x:c r="H196" s="353"/>
      <x:c r="I196" s="353"/>
      <x:c r="J196" s="353"/>
      <x:c r="K196" s="354"/>
      <x:c r="L196" s="22"/>
    </x:row>
    <x:row r="197" ht="14.399999618530273" customHeight="1">
      <x:c r="C197" s="362" t="s">
        <x:v>147</x:v>
      </x:c>
      <x:c r="D197" s="353"/>
      <x:c r="E197" s="353"/>
      <x:c r="F197" s="390"/>
      <x:c r="G197" s="353"/>
      <x:c r="H197" s="353"/>
      <x:c r="I197" s="353"/>
      <x:c r="J197" s="353"/>
      <x:c r="K197" s="354"/>
      <x:c r="L197" s="22"/>
    </x:row>
    <x:row r="198" ht="14.399999618530273" customHeight="1">
      <x:c r="C198" s="355" t="s">
        <x:v>146</x:v>
      </x:c>
      <x:c r="D198" s="537"/>
      <x:c r="E198" s="518" t="n">
        <x:f>+E202/AVERAGE(D201+D200,E200+E201)</x:f>
        <x:v>0.04408482142857143</x:v>
      </x:c>
      <x:c r="F198" s="518" t="n">
        <x:f>+F202/AVERAGE(E201+E200,F200+F201)</x:f>
        <x:v>0.04349038193476443</x:v>
      </x:c>
      <x:c r="G198" s="483" t="n">
        <x:f>+F198</x:f>
        <x:v>0.04349038193476443</x:v>
      </x:c>
      <x:c r="H198" s="483" t="n">
        <x:f t="shared" ref="H198:K198" si="121">+G198</x:f>
        <x:v>0.04349038193476443</x:v>
      </x:c>
      <x:c r="I198" s="483">
        <x:f t="shared" si="121"/>
        <x:v>4.3490381934764427E-2</x:v>
      </x:c>
      <x:c r="J198" s="483">
        <x:f t="shared" si="121"/>
        <x:v>4.3490381934764427E-2</x:v>
      </x:c>
      <x:c r="K198" s="752">
        <x:f t="shared" si="121"/>
        <x:v>4.3490381934764427E-2</x:v>
      </x:c>
      <x:c r="L198" s="22"/>
      <x:c r="O198" s="321"/>
    </x:row>
    <x:row r="199" ht="14.399999618530273" customHeight="1">
      <x:c r="C199" s="355" t="s">
        <x:v>148</x:v>
      </x:c>
      <x:c r="D199" s="461"/>
      <x:c r="E199" s="461"/>
      <x:c r="F199" s="508"/>
      <x:c r="G199" s="461"/>
      <x:c r="H199" s="461"/>
      <x:c r="I199" s="461"/>
      <x:c r="J199" s="461"/>
      <x:c r="K199" s="485"/>
      <x:c r="L199" s="22"/>
      <x:c r="O199" s="339"/>
      <x:c r="P199" s="339"/>
      <x:c r="Q199" s="339"/>
      <x:c r="R199" s="339"/>
      <x:c r="S199" s="339"/>
      <x:c r="T199" s="339"/>
      <x:c r="U199" s="339"/>
      <x:c r="V199" s="339"/>
      <x:c r="W199" s="339"/>
      <x:c r="X199" s="339"/>
      <x:c r="Y199" s="339"/>
      <x:c r="Z199" s="339"/>
      <x:c r="AA199" s="339"/>
    </x:row>
    <x:row r="200" ht="14.399999618530273" customHeight="1">
      <x:c r="C200" s="355" t="s">
        <x:v>149</x:v>
      </x:c>
      <x:c r="D200" s="414">
        <x:v>0</x:v>
      </x:c>
      <x:c r="E200" s="414">
        <x:v>0</x:v>
      </x:c>
      <x:c r="F200" s="414">
        <x:v>599000</x:v>
      </x:c>
      <x:c r="G200" s="480">
        <x:v>0</x:v>
      </x:c>
      <x:c r="H200" s="480">
        <x:v>0</x:v>
      </x:c>
      <x:c r="I200" s="480">
        <x:v>698000</x:v>
      </x:c>
      <x:c r="J200" s="480">
        <x:v>0</x:v>
      </x:c>
      <x:c r="K200" s="749">
        <x:v>497000</x:v>
      </x:c>
      <x:c r="L200" s="22"/>
      <x:c r="O200" s="339"/>
      <x:c r="P200" s="339"/>
      <x:c r="Q200" s="339"/>
      <x:c r="R200" s="339"/>
      <x:c r="S200" s="339"/>
      <x:c r="T200" s="339"/>
      <x:c r="U200" s="339"/>
      <x:c r="V200" s="339"/>
      <x:c r="W200" s="339"/>
      <x:c r="X200" s="339"/>
      <x:c r="Y200" s="339"/>
      <x:c r="Z200" s="339"/>
      <x:c r="AA200" s="339"/>
    </x:row>
    <x:row r="201" ht="14.399999618530273" customHeight="1">
      <x:c r="C201" s="355" t="s">
        <x:v>150</x:v>
      </x:c>
      <x:c r="D201" s="414">
        <x:v>1791000</x:v>
      </x:c>
      <x:c r="E201" s="414">
        <x:v>1793000</x:v>
      </x:c>
      <x:c r="F201" s="414">
        <x:v>1195000</x:v>
      </x:c>
      <x:c r="G201" s="546" t="n">
        <x:f>+F201-G200</x:f>
        <x:v>1195000</x:v>
      </x:c>
      <x:c r="H201" s="546" t="n">
        <x:f t="shared" ref="H201:K201" si="122">+G201-H200</x:f>
        <x:v>1195000</x:v>
      </x:c>
      <x:c r="I201" s="546">
        <x:f t="shared" si="122"/>
        <x:v>497000</x:v>
      </x:c>
      <x:c r="J201" s="546">
        <x:f t="shared" si="122"/>
        <x:v>497000</x:v>
      </x:c>
      <x:c r="K201" s="756">
        <x:f t="shared" si="122"/>
        <x:v>0</x:v>
      </x:c>
      <x:c r="L201" s="22"/>
      <x:c r="O201" s="339"/>
      <x:c r="P201" s="339"/>
      <x:c r="Q201" s="339"/>
      <x:c r="R201" s="339"/>
      <x:c r="S201" s="339"/>
      <x:c r="T201" s="339"/>
      <x:c r="U201" s="339"/>
      <x:c r="V201" s="339"/>
      <x:c r="W201" s="339"/>
      <x:c r="X201" s="339"/>
      <x:c r="Y201" s="339"/>
      <x:c r="Z201" s="339"/>
      <x:c r="AA201" s="339"/>
    </x:row>
    <x:row r="202" ht="14.399999618530273" customHeight="1">
      <x:c r="C202" s="502" t="s">
        <x:v>43</x:v>
      </x:c>
      <x:c r="D202" s="536"/>
      <x:c r="E202" s="477" t="n">
        <x:f>E21-E195</x:f>
        <x:v>79000</x:v>
      </x:c>
      <x:c r="F202" s="477" t="n">
        <x:f>F21-F195</x:f>
        <x:v>78000</x:v>
      </x:c>
      <x:c r="G202" s="418" t="n">
        <x:f>+IF($J$5=1,AVERAGE(G201+G200,F201+F200)*G198,0)</x:f>
        <x:v>64996.37580150543</x:v>
      </x:c>
      <x:c r="H202" s="418" t="n">
        <x:f t="shared" ref="H202:K202" si="123">+IF($J$5=1,AVERAGE(H201+H200,G201+G200)*H198,0)</x:f>
        <x:v>51971.00641204349</x:v>
      </x:c>
      <x:c r="I202" s="418">
        <x:f t="shared" si="123"/>
        <x:v>51971.006412043491</x:v>
      </x:c>
      <x:c r="J202" s="418">
        <x:f t="shared" si="123"/>
        <x:v>36792.863116810702</x:v>
      </x:c>
      <x:c r="K202" s="748">
        <x:f t="shared" si="123"/>
        <x:v>21614.719821577921</x:v>
      </x:c>
      <x:c r="L202" s="22"/>
    </x:row>
    <x:row r="203" ht="14.399999618530273" customHeight="1">
      <x:c r="C203" s="362"/>
      <x:c r="D203" s="394"/>
      <x:c r="E203" s="394"/>
      <x:c r="F203" s="462"/>
      <x:c r="G203" s="394"/>
      <x:c r="H203" s="394"/>
      <x:c r="I203" s="394"/>
      <x:c r="J203" s="394"/>
      <x:c r="K203" s="395"/>
      <x:c r="L203" s="22"/>
    </x:row>
    <x:row r="204" ht="14.399999618530273" customHeight="1">
      <x:c r="C204" s="389" t="s">
        <x:v>151</x:v>
      </x:c>
      <x:c r="D204" s="536"/>
      <x:c r="E204" s="477" t="n">
        <x:f>+E202+E195</x:f>
        <x:v>79000</x:v>
      </x:c>
      <x:c r="F204" s="477" t="n">
        <x:f t="shared" ref="F204:K204" si="124">+F202+F195</x:f>
        <x:v>78000</x:v>
      </x:c>
      <x:c r="G204" s="418">
        <x:f t="shared" ca="1" si="124"/>
        <x:v>65859.352964920079</x:v>
      </x:c>
      <x:c r="H204" s="418">
        <x:f t="shared" ca="1" si="124"/>
        <x:v>52833.983575458144</x:v>
      </x:c>
      <x:c r="I204" s="418">
        <x:f t="shared" ca="1" si="124"/>
        <x:v>51971.006412043491</x:v>
      </x:c>
      <x:c r="J204" s="418">
        <x:f t="shared" ca="1" si="124"/>
        <x:v>36792.863116810702</x:v>
      </x:c>
      <x:c r="K204" s="748">
        <x:f t="shared" ca="1" si="124"/>
        <x:v>21614.719821577921</x:v>
      </x:c>
      <x:c r="L204" s="22"/>
    </x:row>
    <x:row r="205" ht="14.399999618530273" customHeight="1">
      <x:c r="C205" s="362"/>
      <x:c r="D205" s="353"/>
      <x:c r="E205" s="353"/>
      <x:c r="F205" s="390"/>
      <x:c r="G205" s="353"/>
      <x:c r="H205" s="353"/>
      <x:c r="I205" s="353"/>
      <x:c r="J205" s="353"/>
      <x:c r="K205" s="354"/>
      <x:c r="L205" s="22"/>
    </x:row>
    <x:row r="206" ht="14.399999618530273" customHeight="1">
      <x:c r="C206" s="362" t="s">
        <x:v>152</x:v>
      </x:c>
      <x:c r="D206" s="353"/>
      <x:c r="E206" s="353"/>
      <x:c r="F206" s="390"/>
      <x:c r="G206" s="353"/>
      <x:c r="H206" s="353"/>
      <x:c r="I206" s="353"/>
      <x:c r="J206" s="353"/>
      <x:c r="K206" s="354"/>
      <x:c r="L206" s="22"/>
    </x:row>
    <x:row r="207" ht="14.399999618530273" customHeight="1">
      <x:c r="C207" s="355" t="s">
        <x:v>146</x:v>
      </x:c>
      <x:c r="D207" s="398"/>
      <x:c r="E207" s="518" t="n">
        <x:f>+E209/AVERAGE(D208:E208)</x:f>
        <x:v>0.007816316560820713</x:v>
      </x:c>
      <x:c r="F207" s="518" t="n">
        <x:f>+F209/AVERAGE(E208:F208)</x:f>
        <x:v>0.04519273371732388</x:v>
      </x:c>
      <x:c r="G207" s="483" t="n">
        <x:f>+F207</x:f>
        <x:v>0.04519273371732388</x:v>
      </x:c>
      <x:c r="H207" s="483" t="n">
        <x:f t="shared" ref="H207:K207" si="125">+G207</x:f>
        <x:v>0.04519273371732388</x:v>
      </x:c>
      <x:c r="I207" s="483">
        <x:f t="shared" si="125"/>
        <x:v>4.519273371732388E-2</x:v>
      </x:c>
      <x:c r="J207" s="483">
        <x:f t="shared" si="125"/>
        <x:v>4.519273371732388E-2</x:v>
      </x:c>
      <x:c r="K207" s="752">
        <x:f t="shared" si="125"/>
        <x:v>4.519273371732388E-2</x:v>
      </x:c>
      <x:c r="L207" s="22"/>
      <x:c r="N207" s="68"/>
      <x:c r="O207" s="321"/>
      <x:c r="P207" s="68"/>
      <x:c r="Q207" s="68"/>
      <x:c r="R207" s="68"/>
    </x:row>
    <x:row r="208" ht="14.399999618530273" customHeight="1">
      <x:c r="C208" s="355" t="s">
        <x:v>153</x:v>
      </x:c>
      <x:c r="D208" s="476" t="n">
        <x:f t="shared" ref="D208:K208" si="126">+D46</x:f>
        <x:v>2052000</x:v>
      </x:c>
      <x:c r="E208" s="476">
        <x:f t="shared" si="126"/>
        <x:v>2042000</x:v>
      </x:c>
      <x:c r="F208" s="476">
        <x:f t="shared" si="126"/>
        <x:v>2472000</x:v>
      </x:c>
      <x:c r="G208" s="417">
        <x:f t="shared" ca="1" si="126"/>
        <x:v>3157517.0000000005</x:v>
      </x:c>
      <x:c r="H208" s="417">
        <x:f t="shared" ca="1" si="126"/>
        <x:v>4483513.6246518726</x:v>
      </x:c>
      <x:c r="I208" s="417">
        <x:f t="shared" ca="1" si="126"/>
        <x:v>5979017.0668863673</x:v>
      </x:c>
      <x:c r="J208" s="417">
        <x:f t="shared" ca="1" si="126"/>
        <x:v>6901480.0830701338</x:v>
      </x:c>
      <x:c r="K208" s="747">
        <x:f t="shared" ca="1" si="126"/>
        <x:v>8655804.9976474084</x:v>
      </x:c>
      <x:c r="L208" s="22"/>
      <x:c r="N208" s="68"/>
      <x:c r="O208" s="326"/>
      <x:c r="P208" s="68"/>
      <x:c r="Q208" s="68"/>
      <x:c r="R208" s="68"/>
    </x:row>
    <x:row r="209" ht="14.399999618530273" customHeight="1">
      <x:c r="C209" s="515" t="s">
        <x:v>154</x:v>
      </x:c>
      <x:c r="D209" s="542"/>
      <x:c r="E209" s="543">
        <x:v>16000</x:v>
      </x:c>
      <x:c r="F209" s="543">
        <x:v>102000</x:v>
      </x:c>
      <x:c r="G209" s="498" t="n">
        <x:f ca="1">+IF($J$5=1,G207*AVERAGE(F208:G208),0)</x:f>
        <x:v>127206.63136907399</x:v>
      </x:c>
      <x:c r="H209" s="498" t="n">
        <x:f t="shared" ref="H209:K209" ca="1" si="127">+IF($J$5=1,H207*AVERAGE(G208:H208),0)</x:f>
        <x:v>172659.53117290454</x:v>
      </x:c>
      <x:c r="I209" s="498">
        <x:f t="shared" ca="1" si="127"/>
        <x:v>236415.1817760081</x:v>
      </x:c>
      <x:c r="J209" s="498">
        <x:f t="shared" ca="1" si="127"/>
        <x:v>291052.43892236665</x:v>
      </x:c>
      <x:c r="K209" s="500">
        <x:f t="shared" ca="1" si="127"/>
        <x:v>351538.12100868172</x:v>
      </x:c>
      <x:c r="L209" s="22"/>
    </x:row>
    <x:row r="210" ht="14.399999618530273" customHeight="1">
      <x:c r="C210" s="22"/>
      <x:c r="D210" s="22"/>
      <x:c r="E210" s="22"/>
      <x:c r="F210" s="22"/>
      <x:c r="G210" s="22"/>
      <x:c r="H210" s="22"/>
      <x:c r="I210" s="22"/>
      <x:c r="J210" s="22"/>
      <x:c r="K210" s="22"/>
      <x:c r="L210" s="22"/>
    </x:row>
    <x:row r="211" ht="14.399999618530273" customHeight="1">
      <x:c r="C211" s="384" t="s">
        <x:v>155</x:v>
      </x:c>
      <x:c r="D211" s="385" t="s">
        <x:v>9</x:v>
      </x:c>
      <x:c r="E211" s="386"/>
      <x:c r="F211" s="387"/>
      <x:c r="G211" s="385" t="s">
        <x:v>10</x:v>
      </x:c>
      <x:c r="H211" s="386"/>
      <x:c r="I211" s="386"/>
      <x:c r="J211" s="386"/>
      <x:c r="K211" s="388"/>
      <x:c r="L211" s="22"/>
    </x:row>
    <x:row r="212" ht="14.399999618530273" customHeight="1">
      <x:c r="C212" s="363"/>
      <x:c r="D212" s="378" t="n">
        <x:f>+D$12</x:f>
        <x:v>44500</x:v>
      </x:c>
      <x:c r="E212" s="378" t="n">
        <x:f t="shared" ref="E212:K212" si="128">+E$12</x:f>
        <x:v>44865</x:v>
      </x:c>
      <x:c r="F212" s="378">
        <x:f t="shared" si="128"/>
        <x:v>45230</x:v>
      </x:c>
      <x:c r="G212" s="381">
        <x:f t="shared" si="128"/>
        <x:v>45596</x:v>
      </x:c>
      <x:c r="H212" s="381">
        <x:f t="shared" si="128"/>
        <x:v>45961</x:v>
      </x:c>
      <x:c r="I212" s="381">
        <x:f t="shared" si="128"/>
        <x:v>46326</x:v>
      </x:c>
      <x:c r="J212" s="381">
        <x:f t="shared" si="128"/>
        <x:v>46691</x:v>
      </x:c>
      <x:c r="K212" s="746">
        <x:f t="shared" si="128"/>
        <x:v>47057</x:v>
      </x:c>
      <x:c r="L212" s="22"/>
    </x:row>
    <x:row r="213" ht="14.399999618530273" customHeight="1">
      <x:c r="C213" s="362"/>
      <x:c r="D213" s="461"/>
      <x:c r="E213" s="353"/>
      <x:c r="F213" s="353"/>
      <x:c r="G213" s="353"/>
      <x:c r="H213" s="353"/>
      <x:c r="I213" s="353"/>
      <x:c r="J213" s="353"/>
      <x:c r="K213" s="354"/>
      <x:c r="L213" s="22"/>
    </x:row>
    <x:row r="214" ht="14.399999618530273" customHeight="1">
      <x:c r="C214" s="355" t="s">
        <x:v>156</x:v>
      </x:c>
      <x:c r="D214" s="414" t="n">
        <x:f>51000+14000</x:f>
        <x:v>65000</x:v>
      </x:c>
      <x:c r="E214" s="414" t="n">
        <x:f>51000+17000</x:f>
        <x:v>68000</x:v>
      </x:c>
      <x:c r="F214" s="414" t="n">
        <x:f>52000+22000</x:f>
        <x:v>74000</x:v>
      </x:c>
      <x:c r="G214" s="417" t="n">
        <x:f>+G215*G14</x:f>
        <x:v>77750.65153733529</x:v>
      </x:c>
      <x:c r="H214" s="417" t="n">
        <x:f>+H215*H14</x:f>
        <x:v>82701.20007320645</x:v>
      </x:c>
      <x:c r="I214" s="417" t="n">
        <x:f>+I215*I14</x:f>
        <x:v>88043.3802013177</x:v>
      </x:c>
      <x:c r="J214" s="417" t="n">
        <x:f>+J215*J14</x:f>
        <x:v>93400.0284602855</x:v>
      </x:c>
      <x:c r="K214" s="747" t="n">
        <x:f>+K215*K14</x:f>
        <x:v>99168.46193622805</x:v>
      </x:c>
      <x:c r="L214" s="22"/>
    </x:row>
    <x:row r="215" ht="14.399999618530273" customHeight="1">
      <x:c r="C215" s="355" t="s">
        <x:v>157</x:v>
      </x:c>
      <x:c r="D215" s="415" t="n">
        <x:f>+D214/D14</x:f>
        <x:v>0.013155231734466708</x:v>
      </x:c>
      <x:c r="E215" s="415" t="n">
        <x:f>+E214/E14</x:f>
        <x:v>0.012546125461254613</x:v>
      </x:c>
      <x:c r="F215" s="415" t="n">
        <x:f>+F214/F14</x:f>
        <x:v>0.013543191800878478</x:v>
      </x:c>
      <x:c r="G215" s="419" t="n">
        <x:f>+F215</x:f>
        <x:v>0.013543191800878478</x:v>
      </x:c>
      <x:c r="H215" s="419" t="n">
        <x:f t="shared" ref="H215:K215" si="129">+G215</x:f>
        <x:v>0.013543191800878478</x:v>
      </x:c>
      <x:c r="I215" s="419">
        <x:f t="shared" si="129"/>
        <x:v>1.3543191800878478E-2</x:v>
      </x:c>
      <x:c r="J215" s="419">
        <x:f t="shared" si="129"/>
        <x:v>1.3543191800878478E-2</x:v>
      </x:c>
      <x:c r="K215" s="750">
        <x:f t="shared" si="129"/>
        <x:v>1.3543191800878478E-2</x:v>
      </x:c>
      <x:c r="L215" s="22"/>
    </x:row>
    <x:row r="216" ht="14.399999618530273" customHeight="1">
      <x:c r="C216" s="355"/>
      <x:c r="D216" s="392"/>
      <x:c r="E216" s="392"/>
      <x:c r="F216" s="547"/>
      <x:c r="G216" s="394"/>
      <x:c r="H216" s="394"/>
      <x:c r="I216" s="394"/>
      <x:c r="J216" s="394"/>
      <x:c r="K216" s="395"/>
      <x:c r="L216" s="22"/>
    </x:row>
    <x:row r="217" ht="14.399999618530273" customHeight="1">
      <x:c r="C217" s="355" t="s">
        <x:v>158</x:v>
      </x:c>
      <x:c r="D217" s="414">
        <x:v>53000</x:v>
      </x:c>
      <x:c r="E217" s="414">
        <x:v>51000</x:v>
      </x:c>
      <x:c r="F217" s="414">
        <x:v>53000</x:v>
      </x:c>
      <x:c r="G217" s="417" t="n">
        <x:f>+G218*G214</x:f>
        <x:v>55686.277452415816</x:v>
      </x:c>
      <x:c r="H217" s="417" t="n">
        <x:f t="shared" ref="H217:K217" si="130">+H218*H214</x:f>
        <x:v>59231.94059297218</x:v>
      </x:c>
      <x:c r="I217" s="417">
        <x:f t="shared" si="130"/>
        <x:v>63058.096630673492</x:v>
      </x:c>
      <x:c r="J217" s="417">
        <x:f t="shared" si="130"/>
        <x:v>66894.614978312587</x:v>
      </x:c>
      <x:c r="K217" s="747">
        <x:f t="shared" si="130"/>
        <x:v>71026.060575947122</x:v>
      </x:c>
      <x:c r="L217" s="22"/>
    </x:row>
    <x:row r="218" ht="14.399999618530273" customHeight="1">
      <x:c r="C218" s="355" t="s">
        <x:v>159</x:v>
      </x:c>
      <x:c r="D218" s="518" t="n">
        <x:f>+D217/D214</x:f>
        <x:v>0.8153846153846154</x:v>
      </x:c>
      <x:c r="E218" s="518" t="n">
        <x:f>+E217/E214</x:f>
        <x:v>0.75</x:v>
      </x:c>
      <x:c r="F218" s="518" t="n">
        <x:f>+F217/F214</x:f>
        <x:v>0.7162162162162162</x:v>
      </x:c>
      <x:c r="G218" s="483" t="n">
        <x:f>+F218</x:f>
        <x:v>0.7162162162162162</x:v>
      </x:c>
      <x:c r="H218" s="483" t="n">
        <x:f t="shared" ref="H218:K218" si="131">+G218</x:f>
        <x:v>0.7162162162162162</x:v>
      </x:c>
      <x:c r="I218" s="483">
        <x:f t="shared" si="131"/>
        <x:v>0.71621621621621623</x:v>
      </x:c>
      <x:c r="J218" s="483">
        <x:f t="shared" si="131"/>
        <x:v>0.71621621621621623</x:v>
      </x:c>
      <x:c r="K218" s="752">
        <x:f t="shared" si="131"/>
        <x:v>0.71621621621621623</x:v>
      </x:c>
      <x:c r="L218" s="22"/>
    </x:row>
    <x:row r="219" ht="14.399999618530273" customHeight="1">
      <x:c r="C219" s="355"/>
      <x:c r="D219" s="407"/>
      <x:c r="E219" s="407"/>
      <x:c r="F219" s="549"/>
      <x:c r="G219" s="405"/>
      <x:c r="H219" s="405"/>
      <x:c r="I219" s="405"/>
      <x:c r="J219" s="405"/>
      <x:c r="K219" s="509"/>
      <x:c r="L219" s="22"/>
    </x:row>
    <x:row r="220" ht="14.399999618530273" customHeight="1">
      <x:c r="C220" s="355" t="s">
        <x:v>160</x:v>
      </x:c>
      <x:c r="D220" s="398"/>
      <x:c r="E220" s="398"/>
      <x:c r="F220" s="550"/>
      <x:c r="G220" s="447">
        <x:v>0.03</x:v>
      </x:c>
      <x:c r="H220" s="447">
        <x:v>0.03</x:v>
      </x:c>
      <x:c r="I220" s="447">
        <x:v>0.03</x:v>
      </x:c>
      <x:c r="J220" s="447">
        <x:v>0.03</x:v>
      </x:c>
      <x:c r="K220" s="755">
        <x:v>0.03</x:v>
      </x:c>
    </x:row>
    <x:row r="221" ht="14.399999618530273" customHeight="1">
      <x:c r="C221" s="355"/>
      <x:c r="D221" s="407"/>
      <x:c r="E221" s="407"/>
      <x:c r="F221" s="549"/>
      <x:c r="G221" s="405"/>
      <x:c r="H221" s="405"/>
      <x:c r="I221" s="405"/>
      <x:c r="J221" s="405"/>
      <x:c r="K221" s="509"/>
    </x:row>
    <x:row r="222" ht="14.399999618530273" customHeight="1">
      <x:c r="C222" s="355" t="s">
        <x:v>161</x:v>
      </x:c>
      <x:c r="D222" s="398"/>
      <x:c r="E222" s="398"/>
      <x:c r="F222" s="550"/>
      <x:c r="G222" s="546" t="n">
        <x:f>+F226</x:f>
        <x:v>232000</x:v>
      </x:c>
      <x:c r="H222" s="546" t="n">
        <x:f t="shared" ref="H222:K222" si="132">+G226</x:f>
        <x:v>243758.79941434847</x:v>
      </x:c>
      <x:c r="I222" s="546">
        <x:f t="shared" si="132"/>
        <x:v>259279.43806734993</x:v>
      </x:c>
      <x:c r="J222" s="546">
        <x:f t="shared" si="132"/>
        <x:v>276027.89468521229</x:v>
      </x:c>
      <x:c r="K222" s="756">
        <x:f t="shared" si="132"/>
        <x:v>292821.71084846265</x:v>
      </x:c>
    </x:row>
    <x:row r="223" ht="14.399999618530273" customHeight="1">
      <x:c r="C223" s="355" t="s">
        <x:v>162</x:v>
      </x:c>
      <x:c r="D223" s="398"/>
      <x:c r="E223" s="398"/>
      <x:c r="F223" s="550"/>
      <x:c r="G223" s="546" t="n">
        <x:f>+G226+G225-G224-G222</x:f>
        <x:v>60308.69487554906</x:v>
      </x:c>
      <x:c r="H223" s="546" t="n">
        <x:f t="shared" ref="H223:K223" si="133">+H226+H225-H224-H222</x:f>
        <x:v>67207.00568374814</x:v>
      </x:c>
      <x:c r="I223" s="546">
        <x:f t="shared" si="133"/>
        <x:v>71776.943257247418</x:v>
      </x:c>
      <x:c r="J223" s="546">
        <x:f t="shared" si="133"/>
        <x:v>75155.687058557814</x:v>
      </x:c>
      <x:c r="K223" s="756">
        <x:f t="shared" si="133"/>
        <x:v>80054.955438633682</x:v>
      </x:c>
      <x:c r="O223" s="320"/>
    </x:row>
    <x:row r="224" ht="14.399999618530273" customHeight="1">
      <x:c r="C224" s="355" t="s">
        <x:v>163</x:v>
      </x:c>
      <x:c r="D224" s="398"/>
      <x:c r="E224" s="398"/>
      <x:c r="F224" s="550"/>
      <x:c r="G224" s="546" t="n">
        <x:f>+IF($J$5=0,0,G220*AVERAGE(G226,F226))</x:f>
        <x:v>7136.381991215227</x:v>
      </x:c>
      <x:c r="H224" s="546" t="n">
        <x:f t="shared" ref="H224:K224" si="134">+IF($J$5=0,0,H220*AVERAGE(H226,G226))</x:f>
        <x:v>7545.573562225476</x:v>
      </x:c>
      <x:c r="I224" s="546">
        <x:f t="shared" si="134"/>
        <x:v>8029.6099912884338</x:v>
      </x:c>
      <x:c r="J224" s="546">
        <x:f t="shared" si="134"/>
        <x:v>8532.7440830051237</x:v>
      </x:c>
      <x:c r="K224" s="756">
        <x:f t="shared" si="134"/>
        <x:v>9055.9236024306356</x:v>
      </x:c>
      <x:c r="O224" s="320"/>
    </x:row>
    <x:row r="225" ht="14.399999618530273" customHeight="1">
      <x:c r="C225" s="355" t="s">
        <x:v>164</x:v>
      </x:c>
      <x:c r="D225" s="398"/>
      <x:c r="E225" s="398"/>
      <x:c r="F225" s="550"/>
      <x:c r="G225" s="546" t="n">
        <x:f>G217</x:f>
        <x:v>55686.277452415816</x:v>
      </x:c>
      <x:c r="H225" s="546" t="n">
        <x:f t="shared" ref="H225:K225" si="135">H217</x:f>
        <x:v>59231.94059297218</x:v>
      </x:c>
      <x:c r="I225" s="546">
        <x:f t="shared" si="135"/>
        <x:v>63058.096630673492</x:v>
      </x:c>
      <x:c r="J225" s="546">
        <x:f t="shared" si="135"/>
        <x:v>66894.614978312587</x:v>
      </x:c>
      <x:c r="K225" s="756">
        <x:f t="shared" si="135"/>
        <x:v>71026.060575947122</x:v>
      </x:c>
      <x:c r="O225" s="320"/>
    </x:row>
    <x:row r="226" ht="14.399999618530273" customHeight="1">
      <x:c r="C226" s="355" t="s">
        <x:v>165</x:v>
      </x:c>
      <x:c r="D226" s="476" t="n">
        <x:f>+D229+D232</x:f>
        <x:v>232000</x:v>
      </x:c>
      <x:c r="E226" s="476" t="n">
        <x:f>+E229+E232</x:f>
        <x:v>225000</x:v>
      </x:c>
      <x:c r="F226" s="476" t="n">
        <x:f>+F229+F232</x:f>
        <x:v>232000</x:v>
      </x:c>
      <x:c r="G226" s="417" t="n">
        <x:f>+G227*G14</x:f>
        <x:v>243758.79941434847</x:v>
      </x:c>
      <x:c r="H226" s="417" t="n">
        <x:f t="shared" ref="H226:K226" si="136">+H227*H14</x:f>
        <x:v>259279.43806734993</x:v>
      </x:c>
      <x:c r="I226" s="417">
        <x:f t="shared" si="136"/>
        <x:v>276027.89468521229</x:v>
      </x:c>
      <x:c r="J226" s="417">
        <x:f t="shared" si="136"/>
        <x:v>292821.71084846265</x:v>
      </x:c>
      <x:c r="K226" s="747">
        <x:f t="shared" si="136"/>
        <x:v>310906.52931357984</x:v>
      </x:c>
      <x:c r="O226" s="320"/>
    </x:row>
    <x:row r="227" ht="14.399999618530273" customHeight="1">
      <x:c r="C227" s="355" t="s">
        <x:v>166</x:v>
      </x:c>
      <x:c r="D227" s="518" t="n">
        <x:f>+D226/D14</x:f>
        <x:v>0.04695405788301963</x:v>
      </x:c>
      <x:c r="E227" s="518" t="n">
        <x:f t="shared" ref="E227:F227" si="137">+E226/E14</x:f>
        <x:v>0.04151291512915129</x:v>
      </x:c>
      <x:c r="F227" s="518">
        <x:f t="shared" si="137"/>
        <x:v>4.24597364568082E-2</x:v>
      </x:c>
      <x:c r="G227" s="419" t="n">
        <x:f>+F227</x:f>
        <x:v>0.0424597364568082</x:v>
      </x:c>
      <x:c r="H227" s="419" t="n">
        <x:f t="shared" ref="H227:K227" si="138">+G227</x:f>
        <x:v>0.0424597364568082</x:v>
      </x:c>
      <x:c r="I227" s="419">
        <x:f t="shared" si="138"/>
        <x:v>4.24597364568082E-2</x:v>
      </x:c>
      <x:c r="J227" s="419">
        <x:f t="shared" si="138"/>
        <x:v>4.24597364568082E-2</x:v>
      </x:c>
      <x:c r="K227" s="750">
        <x:f t="shared" si="138"/>
        <x:v>4.24597364568082E-2</x:v>
      </x:c>
    </x:row>
    <x:row r="228" ht="14.399999618530273" customHeight="1">
      <x:c r="C228" s="355"/>
      <x:c r="D228" s="394"/>
      <x:c r="E228" s="394"/>
      <x:c r="F228" s="484"/>
      <x:c r="G228" s="394"/>
      <x:c r="H228" s="394"/>
      <x:c r="I228" s="394"/>
      <x:c r="J228" s="394"/>
      <x:c r="K228" s="395"/>
      <x:c r="O228" s="320"/>
    </x:row>
    <x:row r="229" ht="14.399999618530273" customHeight="1">
      <x:c r="C229" s="355" t="s">
        <x:v>167</x:v>
      </x:c>
      <x:c r="D229" s="476" t="n">
        <x:f>+D58-D192-D200</x:f>
        <x:v>41000</x:v>
      </x:c>
      <x:c r="E229" s="476" t="n">
        <x:f>+E58-E192-E200</x:f>
        <x:v>39000</x:v>
      </x:c>
      <x:c r="F229" s="476" t="n">
        <x:f>+F58-F192-F200</x:f>
        <x:v>40000</x:v>
      </x:c>
      <x:c r="G229" s="417" t="n">
        <x:f>+G230*G226</x:f>
        <x:v>42027.379209370425</x:v>
      </x:c>
      <x:c r="H229" s="417" t="n">
        <x:f>+H230*H226</x:f>
        <x:v>44703.351390922406</x:v>
      </x:c>
      <x:c r="I229" s="417" t="n">
        <x:f>+I230*I226</x:f>
        <x:v>47591.0163250366</x:v>
      </x:c>
      <x:c r="J229" s="417" t="n">
        <x:f>+J230*J226</x:f>
        <x:v>50486.501870424596</x:v>
      </x:c>
      <x:c r="K229" s="747" t="n">
        <x:f>+K230*K226</x:f>
        <x:v>53604.57401958274</x:v>
      </x:c>
      <x:c r="O229" s="320"/>
    </x:row>
    <x:row r="230" ht="14.399999618530273" customHeight="1">
      <x:c r="C230" s="355" t="s">
        <x:v>168</x:v>
      </x:c>
      <x:c r="D230" s="557" t="n">
        <x:f>+D229/D226</x:f>
        <x:v>0.17672413793103448</x:v>
      </x:c>
      <x:c r="E230" s="557" t="n">
        <x:f>+E229/E226</x:f>
        <x:v>0.17333333333333334</x:v>
      </x:c>
      <x:c r="F230" s="557" t="n">
        <x:f>+F229/F226</x:f>
        <x:v>0.1724137931034483</x:v>
      </x:c>
      <x:c r="G230" s="558" t="n">
        <x:f>+F230</x:f>
        <x:v>0.1724137931034483</x:v>
      </x:c>
      <x:c r="H230" s="558" t="n">
        <x:f>+G230</x:f>
        <x:v>0.1724137931034483</x:v>
      </x:c>
      <x:c r="I230" s="558" t="n">
        <x:f t="shared" ref="I230:K230" si="139">+H230</x:f>
        <x:v>0.1724137931034483</x:v>
      </x:c>
      <x:c r="J230" s="558">
        <x:f t="shared" si="139"/>
        <x:v>0.17241379310344829</x:v>
      </x:c>
      <x:c r="K230" s="757">
        <x:f t="shared" si="139"/>
        <x:v>0.17241379310344829</x:v>
      </x:c>
    </x:row>
    <x:row r="231" ht="14.399999618530273" customHeight="1">
      <x:c r="C231" s="355"/>
      <x:c r="D231" s="551"/>
      <x:c r="E231" s="551"/>
      <x:c r="F231" s="552"/>
      <x:c r="G231" s="553"/>
      <x:c r="H231" s="553"/>
      <x:c r="I231" s="553"/>
      <x:c r="J231" s="553"/>
      <x:c r="K231" s="554"/>
      <x:c r="O231" s="320"/>
    </x:row>
    <x:row r="232" ht="14.399999618530273" customHeight="1">
      <x:c r="A232" t="s">
        <x:v>23</x:v>
      </x:c>
      <x:c r="C232" s="355" t="s">
        <x:v>169</x:v>
      </x:c>
      <x:c r="D232" s="476" t="n">
        <x:f>+D64-D201</x:f>
        <x:v>191000</x:v>
      </x:c>
      <x:c r="E232" s="476" t="n">
        <x:f>+E64-E201</x:f>
        <x:v>186000</x:v>
      </x:c>
      <x:c r="F232" s="476" t="n">
        <x:f>+F64-F201</x:f>
        <x:v>192000</x:v>
      </x:c>
      <x:c r="G232" s="417" t="n">
        <x:f>+G226-G229</x:f>
        <x:v>201731.42020497803</x:v>
      </x:c>
      <x:c r="H232" s="417" t="n">
        <x:f t="shared" ref="H232:K232" si="140">+H226-H229</x:f>
        <x:v>214576.0866764275</x:v>
      </x:c>
      <x:c r="I232" s="417">
        <x:f t="shared" si="140"/>
        <x:v>228436.8783601757</x:v>
      </x:c>
      <x:c r="J232" s="417">
        <x:f t="shared" si="140"/>
        <x:v>242335.20897803805</x:v>
      </x:c>
      <x:c r="K232" s="747">
        <x:f t="shared" si="140"/>
        <x:v>257301.9552939971</x:v>
      </x:c>
      <x:c r="O232" s="320"/>
    </x:row>
    <x:row r="233" ht="14.399999618530273" customHeight="1">
      <x:c r="C233" s="355"/>
      <x:c r="D233" s="407"/>
      <x:c r="E233" s="407"/>
      <x:c r="F233" s="549"/>
      <x:c r="G233" s="405"/>
      <x:c r="H233" s="405"/>
      <x:c r="I233" s="405"/>
      <x:c r="J233" s="405"/>
      <x:c r="K233" s="509"/>
      <x:c r="O233" s="320"/>
    </x:row>
    <x:row r="234" ht="14.399999618530273" customHeight="1">
      <x:c r="C234" s="362" t="s">
        <x:v>170</x:v>
      </x:c>
      <x:c r="D234" s="501"/>
      <x:c r="E234" s="501"/>
      <x:c r="F234" s="555"/>
      <x:c r="G234" s="417" t="n">
        <x:f>+F237</x:f>
        <x:v>226000</x:v>
      </x:c>
      <x:c r="H234" s="417" t="n">
        <x:f t="shared" ref="H234:K234" si="141">+G237</x:f>
        <x:v>215694.42532942898</x:v>
      </x:c>
      <x:c r="I234" s="417">
        <x:f t="shared" si="141"/>
        <x:v>207745.80450219617</x:v>
      </x:c>
      <x:c r="J234" s="417">
        <x:f t="shared" si="141"/>
        <x:v>199508.97754941433</x:v>
      </x:c>
      <x:c r="K234" s="747">
        <x:f t="shared" si="141"/>
        <x:v>189797.38023069175</x:v>
      </x:c>
      <x:c r="O234" s="320"/>
    </x:row>
    <x:row r="235" ht="14.399999618530273" customHeight="1">
      <x:c r="C235" s="362" t="s">
        <x:v>162</x:v>
      </x:c>
      <x:c r="D235" s="501"/>
      <x:c r="E235" s="501"/>
      <x:c r="F235" s="555"/>
      <x:c r="G235" s="417" t="n">
        <x:f>+G223</x:f>
        <x:v>60308.69487554906</x:v>
      </x:c>
      <x:c r="H235" s="417" t="n">
        <x:f t="shared" ref="H235:K235" si="142">+H223</x:f>
        <x:v>67207.00568374814</x:v>
      </x:c>
      <x:c r="I235" s="417">
        <x:f t="shared" si="142"/>
        <x:v>71776.943257247418</x:v>
      </x:c>
      <x:c r="J235" s="417">
        <x:f t="shared" si="142"/>
        <x:v>75155.687058557814</x:v>
      </x:c>
      <x:c r="K235" s="747">
        <x:f t="shared" si="142"/>
        <x:v>80054.955438633682</x:v>
      </x:c>
      <x:c r="O235" s="320"/>
    </x:row>
    <x:row r="236" ht="14.399999618530273" customHeight="1">
      <x:c r="C236" s="362" t="s">
        <x:v>171</x:v>
      </x:c>
      <x:c r="D236" s="501"/>
      <x:c r="E236" s="501"/>
      <x:c r="F236" s="555"/>
      <x:c r="G236" s="417" t="n">
        <x:f>+G214-G224</x:f>
        <x:v>70614.26954612006</x:v>
      </x:c>
      <x:c r="H236" s="417" t="n">
        <x:f t="shared" ref="H236:K236" si="143">+H214-H224</x:f>
        <x:v>75155.62651098098</x:v>
      </x:c>
      <x:c r="I236" s="417">
        <x:f t="shared" si="143"/>
        <x:v>80013.770210029266</x:v>
      </x:c>
      <x:c r="J236" s="417">
        <x:f t="shared" si="143"/>
        <x:v>84867.284377280375</x:v>
      </x:c>
      <x:c r="K236" s="747">
        <x:f t="shared" si="143"/>
        <x:v>90112.53833379742</x:v>
      </x:c>
      <x:c r="O236" s="320"/>
    </x:row>
    <x:row r="237" ht="14.399999618530273" customHeight="1">
      <x:c r="C237" s="438" t="s">
        <x:v>172</x:v>
      </x:c>
      <x:c r="D237" s="491" t="n">
        <x:f>+D51-D156</x:f>
        <x:v>227000</x:v>
      </x:c>
      <x:c r="E237" s="491" t="n">
        <x:f>+E51-E156</x:f>
        <x:v>220000</x:v>
      </x:c>
      <x:c r="F237" s="491" t="n">
        <x:f>+F51-F156</x:f>
        <x:v>226000</x:v>
      </x:c>
      <x:c r="G237" s="491" t="n">
        <x:f>+G234+G235-G236</x:f>
        <x:v>215694.42532942898</x:v>
      </x:c>
      <x:c r="H237" s="491" t="n">
        <x:f t="shared" ref="H237:K237" si="144">+H234+H235-H236</x:f>
        <x:v>207745.80450219617</x:v>
      </x:c>
      <x:c r="I237" s="491">
        <x:f t="shared" si="144"/>
        <x:v>199508.97754941433</x:v>
      </x:c>
      <x:c r="J237" s="491">
        <x:f t="shared" si="144"/>
        <x:v>189797.38023069175</x:v>
      </x:c>
      <x:c r="K237" s="556">
        <x:f t="shared" si="144"/>
        <x:v>179739.79733552801</x:v>
      </x:c>
      <x:c r="O237" s="320"/>
    </x:row>
  </x:sheetData>
  <x:mergeCells>
    <x:mergeCell ref="D211:F211"/>
    <x:mergeCell ref="G211:K211"/>
    <x:mergeCell ref="O5:W6"/>
    <x:mergeCell ref="O199:AA201"/>
    <x:mergeCell ref="G107:K107"/>
    <x:mergeCell ref="D181:F181"/>
    <x:mergeCell ref="G181:K181"/>
    <x:mergeCell ref="D107:F107"/>
    <x:mergeCell ref="D149:F149"/>
    <x:mergeCell ref="G149:K149"/>
    <x:mergeCell ref="D160:F160"/>
    <x:mergeCell ref="G160:K160"/>
    <x:mergeCell ref="D134:F134"/>
    <x:mergeCell ref="G134:K134"/>
    <x:mergeCell ref="D11:F11"/>
    <x:mergeCell ref="G11:K11"/>
    <x:mergeCell ref="D43:F43"/>
    <x:mergeCell ref="G43:K43"/>
    <x:mergeCell ref="O189:X191"/>
    <x:mergeCell ref="D77:F77"/>
    <x:mergeCell ref="G77:K77"/>
    <x:mergeCell ref="D171:F171"/>
    <x:mergeCell ref="G171:K171"/>
  </x:mergeCells>
  <x:dataValidations count="2">
    <x:dataValidation type="list" allowBlank="1" showErrorMessage="1" sqref="E115 E126">
      <x:formula1>"1,2"</x:formula1>
    </x:dataValidation>
    <x:dataValidation type="list" allowBlank="1" showErrorMessage="1" sqref="J5">
      <x:formula1>"0,1"</x:formula1>
    </x:dataValidation>
  </x:dataValidations>
  <x:pageMargins left="0.7" right="0.7" top="0.75" bottom="0.75" header="0.3" footer="0.3"/>
  <x:legacyDrawing xmlns:r="http://schemas.openxmlformats.org/officeDocument/2006/relationships" r:id="R4cd643ea405040e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4.44140625" defaultRowHeight="14.399999618530273"/>
  <x:cols>
    <x:col min="1" max="1" width="1.6640625" style="83" customWidth="1"/>
    <x:col min="2" max="2" width="2.6640625" style="83" customWidth="1"/>
    <x:col min="3" max="3" width="45.6640625" style="83" customWidth="1"/>
    <x:col min="4" max="12" width="12.5546875" style="83" customWidth="1"/>
    <x:col min="13" max="13" width="2.6640625" style="83" customWidth="1"/>
    <x:col min="14" max="14" width="12.5546875" style="83" customWidth="1"/>
    <x:col min="15" max="15" width="2.6640625" style="83" customWidth="1"/>
    <x:col min="16" max="19" width="11.33203125" style="83" customWidth="1"/>
    <x:col min="20" max="26" width="8.6640625" style="83" customWidth="1"/>
    <x:col min="27" max="16384" width="14.44140625" style="83" customWidth="0"/>
  </x:cols>
  <x:sheetData>
    <x:row r="1" ht="14.399999618530273" customHeight="1"/>
    <x:row r="2" ht="18" customHeight="1">
      <x:c r="C2" s="346" t="str">
        <x:f>"Discounted Cash Flow Model For "&amp;D5</x:f>
        <x:v>Discounted Cash Flow Model For Keysight Technologies, Inc.</x:v>
      </x:c>
      <x:c r="D2" s="559"/>
      <x:c r="E2" s="347"/>
      <x:c r="F2" s="347"/>
      <x:c r="G2" s="347"/>
      <x:c r="H2" s="347"/>
      <x:c r="I2" s="347"/>
      <x:c r="J2" s="347"/>
      <x:c r="K2" s="347"/>
      <x:c r="L2" s="347"/>
      <x:c r="M2" s="347"/>
      <x:c r="N2" s="348"/>
    </x:row>
    <x:row r="3" ht="14.399999618530273" customHeight="1">
      <x:c r="C3" s="349" t="s">
        <x:v>31</x:v>
      </x:c>
      <x:c r="D3" s="560"/>
      <x:c r="E3" s="350"/>
      <x:c r="F3" s="350"/>
      <x:c r="G3" s="350"/>
      <x:c r="H3" s="350"/>
      <x:c r="I3" s="350"/>
      <x:c r="J3" s="561" t="s">
        <x:v>173</x:v>
      </x:c>
      <x:c r="K3" s="350"/>
      <x:c r="L3" s="350"/>
      <x:c r="M3" s="350"/>
      <x:c r="N3" s="351"/>
    </x:row>
    <x:row r="4" ht="14.399999618530273" customHeight="1">
      <x:c r="C4" s="352"/>
      <x:c r="D4" s="562"/>
      <x:c r="E4" s="353"/>
      <x:c r="F4" s="353"/>
      <x:c r="G4" s="353"/>
      <x:c r="H4" s="353"/>
      <x:c r="I4" s="353"/>
      <x:c r="J4" s="353"/>
      <x:c r="K4" s="353"/>
      <x:c r="L4" s="353"/>
      <x:c r="M4" s="353"/>
      <x:c r="N4" s="354"/>
    </x:row>
    <x:row r="5" ht="14.399999618530273" customHeight="1">
      <x:c r="C5" s="355" t="s">
        <x:v>1</x:v>
      </x:c>
      <x:c r="D5" s="356" t="str">
        <x:f>'Revenue Build &amp; Growth Drivers'!D5</x:f>
        <x:v>Keysight Technologies, Inc.</x:v>
      </x:c>
      <x:c r="E5" s="353"/>
      <x:c r="F5" s="353"/>
      <x:c r="G5" s="356" t="s">
        <x:v>174</x:v>
      </x:c>
      <x:c r="H5" s="353"/>
      <x:c r="I5" s="353"/>
      <x:c r="J5" s="563" t="n">
        <x:f>+D66</x:f>
        <x:v>175044.604</x:v>
      </x:c>
      <x:c r="K5" s="353"/>
      <x:c r="L5" s="353"/>
      <x:c r="M5" s="353"/>
      <x:c r="N5" s="354"/>
    </x:row>
    <x:row r="6" ht="14.399999618530273" customHeight="1">
      <x:c r="C6" s="355" t="s">
        <x:v>3</x:v>
      </x:c>
      <x:c r="D6" s="357" t="str">
        <x:f>'Revenue Build &amp; Growth Drivers'!D6</x:f>
        <x:v>KEYS</x:v>
      </x:c>
      <x:c r="E6" s="353"/>
      <x:c r="F6" s="353"/>
      <x:c r="G6" s="356" t="s">
        <x:v>175</x:v>
      </x:c>
      <x:c r="H6" s="353"/>
      <x:c r="I6" s="353"/>
      <x:c r="J6" s="563" t="n">
        <x:f>+D71</x:f>
        <x:v>178193.604</x:v>
      </x:c>
      <x:c r="K6" s="353"/>
      <x:c r="L6" s="353"/>
      <x:c r="M6" s="353"/>
      <x:c r="N6" s="354"/>
    </x:row>
    <x:row r="7" ht="14.399999618530273" customHeight="1">
      <x:c r="C7" s="355" t="s">
        <x:v>5</x:v>
      </x:c>
      <x:c r="D7" s="453" t="n">
        <x:f>'Revenue Build &amp; Growth Drivers'!D7</x:f>
        <x:v>45394</x:v>
      </x:c>
      <x:c r="E7" s="353"/>
      <x:c r="F7" s="353"/>
      <x:c r="G7" s="356" t="s">
        <x:v>176</x:v>
      </x:c>
      <x:c r="H7" s="353"/>
      <x:c r="I7" s="353"/>
      <x:c r="J7" s="564" t="n">
        <x:f>+'WACC Build'!D45</x:f>
        <x:v>0.1068471786257682</x:v>
      </x:c>
      <x:c r="K7" s="353"/>
      <x:c r="L7" s="353"/>
      <x:c r="M7" s="353"/>
      <x:c r="N7" s="354"/>
    </x:row>
    <x:row r="8" ht="14.399999618530273" customHeight="1">
      <x:c r="C8" s="355" t="s">
        <x:v>6</x:v>
      </x:c>
      <x:c r="D8" s="453" t="n">
        <x:f>'Revenue Build &amp; Growth Drivers'!D8</x:f>
        <x:v>45393</x:v>
      </x:c>
      <x:c r="E8" s="353"/>
      <x:c r="F8" s="353"/>
      <x:c r="G8" s="356" t="s">
        <x:v>177</x:v>
      </x:c>
      <x:c r="H8" s="356"/>
      <x:c r="I8" s="356"/>
      <x:c r="J8" s="451">
        <x:v>0</x:v>
      </x:c>
      <x:c r="K8" s="353"/>
      <x:c r="L8" s="353"/>
      <x:c r="M8" s="353"/>
      <x:c r="N8" s="354"/>
    </x:row>
    <x:row r="9" ht="14.399999618530273" customHeight="1">
      <x:c r="C9" s="455" t="s">
        <x:v>7</x:v>
      </x:c>
      <x:c r="D9" s="456" t="n">
        <x:f>'Revenue Build &amp; Growth Drivers'!D9</x:f>
        <x:v>160.14</x:v>
      </x:c>
      <x:c r="E9" s="457"/>
      <x:c r="F9" s="457"/>
      <x:c r="G9" s="457"/>
      <x:c r="H9" s="457"/>
      <x:c r="I9" s="457"/>
      <x:c r="J9" s="457"/>
      <x:c r="K9" s="457"/>
      <x:c r="L9" s="457"/>
      <x:c r="M9" s="457"/>
      <x:c r="N9" s="459"/>
    </x:row>
    <x:row r="10" ht="14.399999618530273" customHeight="1">
      <x:c r="H10" s="96"/>
    </x:row>
    <x:row r="11" ht="14.399999618530273" customHeight="1">
      <x:c r="C11" s="384" t="s">
        <x:v>178</x:v>
      </x:c>
      <x:c r="D11" s="565"/>
      <x:c r="E11" s="385" t="s">
        <x:v>9</x:v>
      </x:c>
      <x:c r="F11" s="386"/>
      <x:c r="G11" s="387"/>
      <x:c r="H11" s="385" t="s">
        <x:v>10</x:v>
      </x:c>
      <x:c r="I11" s="386"/>
      <x:c r="J11" s="386"/>
      <x:c r="K11" s="386"/>
      <x:c r="L11" s="386"/>
      <x:c r="M11" s="347"/>
      <x:c r="N11" s="460" t="s">
        <x:v>35</x:v>
      </x:c>
    </x:row>
    <x:row r="12" ht="14.399999618530273" customHeight="1">
      <x:c r="C12" s="363"/>
      <x:c r="D12" s="566"/>
      <x:c r="E12" s="378" t="n">
        <x:f>'Financial Statement Model'!D12</x:f>
        <x:v>44500</x:v>
      </x:c>
      <x:c r="F12" s="378" t="n">
        <x:f>'Financial Statement Model'!E12</x:f>
        <x:v>44865</x:v>
      </x:c>
      <x:c r="G12" s="378" t="n">
        <x:f>'Financial Statement Model'!F12</x:f>
        <x:v>45230</x:v>
      </x:c>
      <x:c r="H12" s="381" t="n">
        <x:f>'Financial Statement Model'!G12</x:f>
        <x:v>45596</x:v>
      </x:c>
      <x:c r="I12" s="381" t="n">
        <x:f>'Financial Statement Model'!H12</x:f>
        <x:v>45961</x:v>
      </x:c>
      <x:c r="J12" s="381" t="n">
        <x:f>'Financial Statement Model'!I12</x:f>
        <x:v>46326</x:v>
      </x:c>
      <x:c r="K12" s="381" t="n">
        <x:f>'Financial Statement Model'!J12</x:f>
        <x:v>46691</x:v>
      </x:c>
      <x:c r="L12" s="381" t="n">
        <x:f>'Financial Statement Model'!K12</x:f>
        <x:v>47057</x:v>
      </x:c>
      <x:c r="M12" s="353"/>
      <x:c r="N12" s="368" t="s">
        <x:v>36</x:v>
      </x:c>
    </x:row>
    <x:row r="13">
      <x:c r="C13" s="362"/>
      <x:c r="D13" s="353"/>
      <x:c r="E13" s="353"/>
      <x:c r="F13" s="353"/>
      <x:c r="G13" s="353"/>
      <x:c r="H13" s="353"/>
      <x:c r="I13" s="353"/>
      <x:c r="J13" s="353"/>
      <x:c r="K13" s="353"/>
      <x:c r="L13" s="353"/>
      <x:c r="M13" s="353"/>
      <x:c r="N13" s="354"/>
    </x:row>
    <x:row r="14" ht="14.399999618530273" customHeight="1">
      <x:c r="C14" s="362" t="s">
        <x:v>11</x:v>
      </x:c>
      <x:c r="D14" s="353"/>
      <x:c r="E14" s="578" t="n">
        <x:f>+'Financial Statement Model'!D14</x:f>
        <x:v>4941000</x:v>
      </x:c>
      <x:c r="F14" s="578" t="n">
        <x:f>+'Financial Statement Model'!E14</x:f>
        <x:v>5420000</x:v>
      </x:c>
      <x:c r="G14" s="578" t="n">
        <x:f>+'Financial Statement Model'!F14</x:f>
        <x:v>5464000</x:v>
      </x:c>
      <x:c r="H14" s="581" t="n">
        <x:f>+'Financial Statement Model'!G14</x:f>
        <x:v>5740940</x:v>
      </x:c>
      <x:c r="I14" s="581" t="n">
        <x:f>+'Financial Statement Model'!H14</x:f>
        <x:v>6106477.8</x:v>
      </x:c>
      <x:c r="J14" s="581" t="n">
        <x:f>+'Financial Statement Model'!I14</x:f>
        <x:v>6500932.829999999</x:v>
      </x:c>
      <x:c r="K14" s="581" t="n">
        <x:f>+'Financial Statement Model'!J14</x:f>
        <x:v>6896456.155499999</x:v>
      </x:c>
      <x:c r="L14" s="581" t="n">
        <x:f>+'Financial Statement Model'!K14</x:f>
        <x:v>7322384.811075001</x:v>
      </x:c>
      <x:c r="M14" s="353"/>
      <x:c r="N14" s="354"/>
    </x:row>
    <x:row r="15" ht="14.399999618530273" customHeight="1">
      <x:c r="C15" s="352" t="s">
        <x:v>179</x:v>
      </x:c>
      <x:c r="D15" s="562"/>
      <x:c r="E15" s="569"/>
      <x:c r="F15" s="380" t="n">
        <x:f>+F14/E14-1</x:f>
        <x:v>0.09694393847399319</x:v>
      </x:c>
      <x:c r="G15" s="380" t="n">
        <x:f t="shared" ref="G15:L15" si="0">+G14/F14-1</x:f>
        <x:v>0.008118081180811698</x:v>
      </x:c>
      <x:c r="H15" s="383">
        <x:f t="shared" si="0"/>
        <x:v>5.0684480234260532E-2</x:v>
      </x:c>
      <x:c r="I15" s="383">
        <x:f t="shared" si="0"/>
        <x:v>6.3672116412991642E-2</x:v>
      </x:c>
      <x:c r="J15" s="383">
        <x:f t="shared" si="0"/>
        <x:v>6.4596162128027323E-2</x:v>
      </x:c>
      <x:c r="K15" s="383">
        <x:f t="shared" si="0"/>
        <x:v>6.0841010950731578E-2</x:v>
      </x:c>
      <x:c r="L15" s="383">
        <x:f t="shared" si="0"/>
        <x:v>6.176051090172141E-2</x:v>
      </x:c>
      <x:c r="M15" s="570"/>
      <x:c r="N15" s="354"/>
    </x:row>
    <x:row r="16" ht="14.399999618530273" customHeight="1">
      <x:c r="C16" s="352"/>
      <x:c r="D16" s="562"/>
      <x:c r="E16" s="353"/>
      <x:c r="F16" s="353"/>
      <x:c r="G16" s="508"/>
      <x:c r="H16" s="353"/>
      <x:c r="I16" s="353"/>
      <x:c r="J16" s="353"/>
      <x:c r="K16" s="353"/>
      <x:c r="L16" s="353"/>
      <x:c r="M16" s="353"/>
      <x:c r="N16" s="354"/>
    </x:row>
    <x:row r="17" ht="14.399999618530273" customHeight="1">
      <x:c r="C17" s="362" t="s">
        <x:v>38</x:v>
      </x:c>
      <x:c r="D17" s="353"/>
      <x:c r="E17" s="578" t="n">
        <x:f>+'Financial Statement Model'!D16</x:f>
        <x:v>3068000</x:v>
      </x:c>
      <x:c r="F17" s="578" t="n">
        <x:f>+'Financial Statement Model'!E16</x:f>
        <x:v>3435000</x:v>
      </x:c>
      <x:c r="G17" s="578" t="n">
        <x:f>+'Financial Statement Model'!F16</x:f>
        <x:v>3519000</x:v>
      </x:c>
      <x:c r="H17" s="581" t="n">
        <x:f>+'Financial Statement Model'!G16</x:f>
        <x:v>3731611</x:v>
      </x:c>
      <x:c r="I17" s="581" t="n">
        <x:f>+'Financial Statement Model'!H16</x:f>
        <x:v>3969210.57</x:v>
      </x:c>
      <x:c r="J17" s="581" t="n">
        <x:f>+'Financial Statement Model'!I16</x:f>
        <x:v>4225606.3395</x:v>
      </x:c>
      <x:c r="K17" s="581" t="n">
        <x:f>+'Financial Statement Model'!J16</x:f>
        <x:v>4482696.501075</x:v>
      </x:c>
      <x:c r="L17" s="581" t="n">
        <x:f>+'Financial Statement Model'!K16</x:f>
        <x:v>4759550.127198751</x:v>
      </x:c>
      <x:c r="M17" s="353"/>
      <x:c r="N17" s="354"/>
    </x:row>
    <x:row r="18" ht="14.399999618530273" customHeight="1">
      <x:c r="C18" s="352" t="s">
        <x:v>180</x:v>
      </x:c>
      <x:c r="D18" s="562"/>
      <x:c r="E18" s="380" t="n">
        <x:f>+E17/E$14</x:f>
        <x:v>0.6209269378668286</x:v>
      </x:c>
      <x:c r="F18" s="380" t="n">
        <x:f t="shared" ref="F18:L18" si="1">+F17/F$14</x:f>
        <x:v>0.6337638376383764</x:v>
      </x:c>
      <x:c r="G18" s="380">
        <x:f t="shared" si="1"/>
        <x:v>0.64403367496339681</x:v>
      </x:c>
      <x:c r="H18" s="383">
        <x:f t="shared" si="1"/>
        <x:v>0.65</x:v>
      </x:c>
      <x:c r="I18" s="383">
        <x:f t="shared" si="1"/>
        <x:v>0.65</x:v>
      </x:c>
      <x:c r="J18" s="383">
        <x:f t="shared" si="1"/>
        <x:v>0.65</x:v>
      </x:c>
      <x:c r="K18" s="383">
        <x:f t="shared" si="1"/>
        <x:v>0.65</x:v>
      </x:c>
      <x:c r="L18" s="383">
        <x:f t="shared" si="1"/>
        <x:v>0.65</x:v>
      </x:c>
      <x:c r="M18" s="353"/>
      <x:c r="N18" s="354"/>
    </x:row>
    <x:row r="19" ht="14.399999618530273" customHeight="1">
      <x:c r="C19" s="352"/>
      <x:c r="D19" s="562"/>
      <x:c r="E19" s="353"/>
      <x:c r="F19" s="353"/>
      <x:c r="G19" s="508"/>
      <x:c r="H19" s="353"/>
      <x:c r="I19" s="353"/>
      <x:c r="J19" s="353"/>
      <x:c r="K19" s="353"/>
      <x:c r="L19" s="353"/>
      <x:c r="M19" s="353"/>
      <x:c r="N19" s="354"/>
    </x:row>
    <x:row r="20" ht="14.399999618530273" customHeight="1">
      <x:c r="C20" s="362" t="s">
        <x:v>50</x:v>
      </x:c>
      <x:c r="D20" s="353"/>
      <x:c r="E20" s="578" t="n">
        <x:f>+'Financial Statement Model'!D29</x:f>
        <x:v>1372000</x:v>
      </x:c>
      <x:c r="F20" s="578" t="n">
        <x:f>+'Financial Statement Model'!E29</x:f>
        <x:v>1556000</x:v>
      </x:c>
      <x:c r="G20" s="578" t="n">
        <x:f>+'Financial Statement Model'!F29</x:f>
        <x:v>1606000</x:v>
      </x:c>
      <x:c r="H20" s="581" t="n">
        <x:f>+'Financial Statement Model'!G29</x:f>
        <x:v>1724021.8917396239</x:v>
      </x:c>
      <x:c r="I20" s="581" t="n">
        <x:f>+'Financial Statement Model'!H29</x:f>
        <x:v>1811375.9338294663</x:v>
      </x:c>
      <x:c r="J20" s="581" t="n">
        <x:f>+'Financial Statement Model'!I29</x:f>
        <x:v>1915678.432517989</x:v>
      </x:c>
      <x:c r="K20" s="581" t="n">
        <x:f>+'Financial Statement Model'!J29</x:f>
        <x:v>2024475.4488250872</x:v>
      </x:c>
      <x:c r="L20" s="581" t="n">
        <x:f>+'Financial Statement Model'!K29</x:f>
        <x:v>2144552.8013081606</x:v>
      </x:c>
      <x:c r="M20" s="353"/>
      <x:c r="N20" s="582" t="n">
        <x:f>+_xlfn.RRI(YEAR($L$12)-YEAR($G$12),G20,L20)</x:f>
        <x:v>0.05954215564186982</x:v>
      </x:c>
    </x:row>
    <x:row r="21" ht="14.399999618530273" customHeight="1">
      <x:c r="C21" s="352" t="s">
        <x:v>181</x:v>
      </x:c>
      <x:c r="D21" s="562"/>
      <x:c r="E21" s="380" t="n">
        <x:f>+E20/E$14</x:f>
        <x:v>0.27767658368751263</x:v>
      </x:c>
      <x:c r="F21" s="380" t="n">
        <x:f t="shared" ref="F21" si="2">+F20/F$14</x:f>
        <x:v>0.2870848708487085</x:v>
      </x:c>
      <x:c r="G21" s="380" t="n">
        <x:f t="shared" ref="G21" si="3">+G20/G$14</x:f>
        <x:v>0.2939238653001464</x:v>
      </x:c>
      <x:c r="H21" s="383" t="n">
        <x:f t="shared" ref="H21" si="4">+H20/H$14</x:f>
        <x:v>0.30030306739656293</x:v>
      </x:c>
      <x:c r="I21" s="383" t="n">
        <x:f t="shared" ref="I21" si="5">+I20/I$14</x:f>
        <x:v>0.2966318708027509</x:v>
      </x:c>
      <x:c r="J21" s="383" t="n">
        <x:f t="shared" ref="J21" si="6">+J20/J$14</x:f>
        <x:v>0.29467746900531955</x:v>
      </x:c>
      <x:c r="K21" s="383" t="n">
        <x:f t="shared" ref="K21" si="7">+K20/K$14</x:f>
        <x:v>0.2935530079765019</x:v>
      </x:c>
      <x:c r="L21" s="383" t="n">
        <x:f t="shared" ref="L21" si="8">+L20/L$14</x:f>
        <x:v>0.29287627687424395</x:v>
      </x:c>
      <x:c r="M21" s="353"/>
      <x:c r="N21" s="354"/>
    </x:row>
    <x:row r="22" ht="14.399999618530273" customHeight="1">
      <x:c r="C22" s="352"/>
      <x:c r="D22" s="562"/>
      <x:c r="E22" s="353"/>
      <x:c r="F22" s="353"/>
      <x:c r="G22" s="508"/>
      <x:c r="H22" s="353"/>
      <x:c r="I22" s="353"/>
      <x:c r="J22" s="353"/>
      <x:c r="K22" s="353"/>
      <x:c r="L22" s="353"/>
      <x:c r="M22" s="353"/>
      <x:c r="N22" s="354"/>
    </x:row>
    <x:row r="23" ht="14.399999618530273" customHeight="1">
      <x:c r="C23" s="362" t="s">
        <x:v>41</x:v>
      </x:c>
      <x:c r="D23" s="353"/>
      <x:c r="E23" s="578" t="n">
        <x:f>+'Financial Statement Model'!D19</x:f>
        <x:v>1081000</x:v>
      </x:c>
      <x:c r="F23" s="578" t="n">
        <x:f>+'Financial Statement Model'!E19</x:f>
        <x:v>1336000</x:v>
      </x:c>
      <x:c r="G23" s="578" t="n">
        <x:f>+'Financial Statement Model'!F19</x:f>
        <x:v>1396000</x:v>
      </x:c>
      <x:c r="H23" s="581" t="n">
        <x:f>+'Financial Statement Model'!G19</x:f>
        <x:v>1550053.7999999998</x:v>
      </x:c>
      <x:c r="I23" s="581" t="n">
        <x:f>+'Financial Statement Model'!H19</x:f>
        <x:v>1648749.006</x:v>
      </x:c>
      <x:c r="J23" s="581" t="n">
        <x:f>+'Financial Statement Model'!I19</x:f>
        <x:v>1755251.8641</x:v>
      </x:c>
      <x:c r="K23" s="581" t="n">
        <x:f>+'Financial Statement Model'!J19</x:f>
        <x:v>1862043.1619849997</x:v>
      </x:c>
      <x:c r="L23" s="581" t="n">
        <x:f>+'Financial Statement Model'!K19</x:f>
        <x:v>1977043.8989902507</x:v>
      </x:c>
      <x:c r="M23" s="353"/>
      <x:c r="N23" s="354"/>
    </x:row>
    <x:row r="24" ht="14.399999618530273" customHeight="1">
      <x:c r="C24" s="352" t="s">
        <x:v>182</x:v>
      </x:c>
      <x:c r="D24" s="562"/>
      <x:c r="E24" s="380" t="n">
        <x:f>+E23/E$14</x:f>
        <x:v>0.21878162315320784</x:v>
      </x:c>
      <x:c r="F24" s="380" t="n">
        <x:f t="shared" ref="F24" si="9">+F23/F$14</x:f>
        <x:v>0.24649446494464944</x:v>
      </x:c>
      <x:c r="G24" s="380" t="n">
        <x:f t="shared" ref="G24" si="10">+G23/G$14</x:f>
        <x:v>0.2554904831625183</x:v>
      </x:c>
      <x:c r="H24" s="383" t="n">
        <x:f t="shared" ref="H24" si="11">+H23/H$14</x:f>
        <x:v>0.26999999999999996</x:v>
      </x:c>
      <x:c r="I24" s="383" t="n">
        <x:f t="shared" ref="I24" si="12">+I23/I$14</x:f>
        <x:v>0.27</x:v>
      </x:c>
      <x:c r="J24" s="383" t="n">
        <x:f t="shared" ref="J24" si="13">+J23/J$14</x:f>
        <x:v>0.27</x:v>
      </x:c>
      <x:c r="K24" s="383" t="n">
        <x:f t="shared" ref="K24" si="14">+K23/K$14</x:f>
        <x:v>0.26999999999999996</x:v>
      </x:c>
      <x:c r="L24" s="383" t="n">
        <x:f t="shared" ref="L24" si="15">+L23/L$14</x:f>
        <x:v>0.2700000000000001</x:v>
      </x:c>
      <x:c r="M24" s="353"/>
      <x:c r="N24" s="354"/>
    </x:row>
    <x:row r="25" ht="14.399999618530273" customHeight="1">
      <x:c r="C25" s="352"/>
      <x:c r="D25" s="562"/>
      <x:c r="E25" s="353"/>
      <x:c r="F25" s="353"/>
      <x:c r="G25" s="508"/>
      <x:c r="H25" s="353"/>
      <x:c r="I25" s="353"/>
      <x:c r="J25" s="353"/>
      <x:c r="K25" s="353"/>
      <x:c r="L25" s="353"/>
      <x:c r="M25" s="353"/>
      <x:c r="N25" s="354"/>
    </x:row>
    <x:row r="26" ht="14.399999618530273" customHeight="1">
      <x:c r="C26" s="362" t="s">
        <x:v>183</x:v>
      </x:c>
      <x:c r="D26" s="353"/>
      <x:c r="E26" s="579" t="n">
        <x:f>+E23*E27</x:f>
        <x:v>124154.45544554456</x:v>
      </x:c>
      <x:c r="F26" s="579" t="n">
        <x:f t="shared" ref="F26:L26" si="16">+F23*F27</x:f>
        <x:v>167389.8832684825</x:v>
      </x:c>
      <x:c r="G26" s="579">
        <x:f t="shared" si="16"/>
        <x:v>308621.96020633751</x:v>
      </x:c>
      <x:c r="H26" s="546">
        <x:f t="shared" si="16"/>
        <x:v>342679.54310980096</x:v>
      </x:c>
      <x:c r="I26" s="546">
        <x:f t="shared" si="16"/>
        <x:v>364498.67487103905</x:v>
      </x:c>
      <x:c r="J26" s="546">
        <x:f t="shared" si="16"/>
        <x:v>388043.8903684598</x:v>
      </x:c>
      <x:c r="K26" s="546">
        <x:f t="shared" si="16"/>
        <x:v>411652.87295173167</x:v>
      </x:c>
      <x:c r="L26" s="546">
        <x:f t="shared" si="16"/>
        <x:v>437076.7646993922</x:v>
      </x:c>
      <x:c r="M26" s="353"/>
      <x:c r="N26" s="354"/>
    </x:row>
    <x:row r="27" ht="14.399999618530273" customHeight="1">
      <x:c r="C27" s="352" t="s">
        <x:v>184</x:v>
      </x:c>
      <x:c r="D27" s="562"/>
      <x:c r="E27" s="580" t="n">
        <x:f>+'Financial Statement Model'!D41</x:f>
        <x:v>0.11485148514851486</x:v>
      </x:c>
      <x:c r="F27" s="580" t="n">
        <x:f>+'Financial Statement Model'!E41</x:f>
        <x:v>0.12529182879377432</x:v>
      </x:c>
      <x:c r="G27" s="580" t="n">
        <x:f>+'Financial Statement Model'!F41</x:f>
        <x:v>0.2210759027266028</x:v>
      </x:c>
      <x:c r="H27" s="583" t="n">
        <x:f>+'Financial Statement Model'!G41</x:f>
        <x:v>0.2210759027266028</x:v>
      </x:c>
      <x:c r="I27" s="583" t="n">
        <x:f>+'Financial Statement Model'!H41</x:f>
        <x:v>0.2210759027266028</x:v>
      </x:c>
      <x:c r="J27" s="583" t="n">
        <x:f>+'Financial Statement Model'!I41</x:f>
        <x:v>0.2210759027266028</x:v>
      </x:c>
      <x:c r="K27" s="583" t="n">
        <x:f>+'Financial Statement Model'!J41</x:f>
        <x:v>0.2210759027266028</x:v>
      </x:c>
      <x:c r="L27" s="583" t="n">
        <x:f>+'Financial Statement Model'!K41</x:f>
        <x:v>0.2210759027266028</x:v>
      </x:c>
      <x:c r="M27" s="353"/>
      <x:c r="N27" s="354"/>
    </x:row>
    <x:row r="28" ht="14.399999618530273" customHeight="1">
      <x:c r="C28" s="362"/>
      <x:c r="D28" s="353"/>
      <x:c r="E28" s="353"/>
      <x:c r="F28" s="353"/>
      <x:c r="G28" s="508"/>
      <x:c r="H28" s="353"/>
      <x:c r="I28" s="353"/>
      <x:c r="J28" s="353"/>
      <x:c r="K28" s="353"/>
      <x:c r="L28" s="353"/>
      <x:c r="M28" s="353"/>
      <x:c r="N28" s="354"/>
    </x:row>
    <x:row r="29" ht="14.399999618530273" customHeight="1">
      <x:c r="C29" s="389" t="s">
        <x:v>185</x:v>
      </x:c>
      <x:c r="D29" s="575"/>
      <x:c r="E29" s="477" t="n">
        <x:f>+E23-E26</x:f>
        <x:v>956845.5445544554</x:v>
      </x:c>
      <x:c r="F29" s="477" t="n">
        <x:f t="shared" ref="F29:L29" si="17">+F23-F26</x:f>
        <x:v>1168610.1167315175</x:v>
      </x:c>
      <x:c r="G29" s="477">
        <x:f t="shared" si="17"/>
        <x:v>1087378.0397936625</x:v>
      </x:c>
      <x:c r="H29" s="418">
        <x:f t="shared" si="17"/>
        <x:v>1207374.2568901989</x:v>
      </x:c>
      <x:c r="I29" s="418">
        <x:f t="shared" si="17"/>
        <x:v>1284250.3311289609</x:v>
      </x:c>
      <x:c r="J29" s="418">
        <x:f t="shared" si="17"/>
        <x:v>1367207.9737315401</x:v>
      </x:c>
      <x:c r="K29" s="418">
        <x:f t="shared" si="17"/>
        <x:v>1450390.2890332681</x:v>
      </x:c>
      <x:c r="L29" s="418">
        <x:f t="shared" si="17"/>
        <x:v>1539967.1342908584</x:v>
      </x:c>
      <x:c r="M29" s="353"/>
      <x:c r="N29" s="354"/>
    </x:row>
    <x:row r="30" ht="14.399999618530273" customHeight="1">
      <x:c r="C30" s="362"/>
      <x:c r="D30" s="353"/>
      <x:c r="E30" s="353"/>
      <x:c r="F30" s="353"/>
      <x:c r="G30" s="508"/>
      <x:c r="H30" s="353"/>
      <x:c r="I30" s="353"/>
      <x:c r="J30" s="353"/>
      <x:c r="K30" s="353"/>
      <x:c r="L30" s="353"/>
      <x:c r="M30" s="353"/>
      <x:c r="N30" s="354"/>
    </x:row>
    <x:row r="31" ht="14.399999618530273" customHeight="1">
      <x:c r="C31" s="362" t="s">
        <x:v>186</x:v>
      </x:c>
      <x:c r="D31" s="353"/>
      <x:c r="E31" s="501"/>
      <x:c r="F31" s="578" t="n">
        <x:f>+'Financial Statement Model'!E28</x:f>
        <x:v>220000</x:v>
      </x:c>
      <x:c r="G31" s="578" t="n">
        <x:f>+'Financial Statement Model'!F28</x:f>
        <x:v>210000</x:v>
      </x:c>
      <x:c r="H31" s="581" t="n">
        <x:f>+'Financial Statement Model'!G28</x:f>
        <x:v>173968.0917396241</x:v>
      </x:c>
      <x:c r="I31" s="581" t="n">
        <x:f>+'Financial Statement Model'!H28</x:f>
        <x:v>162626.92782946635</x:v>
      </x:c>
      <x:c r="J31" s="581" t="n">
        <x:f>+'Financial Statement Model'!I28</x:f>
        <x:v>160426.56841798915</x:v>
      </x:c>
      <x:c r="K31" s="581" t="n">
        <x:f>+'Financial Statement Model'!J28</x:f>
        <x:v>162432.28684008744</x:v>
      </x:c>
      <x:c r="L31" s="581" t="n">
        <x:f>+'Financial Statement Model'!K28</x:f>
        <x:v>167508.90231790996</x:v>
      </x:c>
      <x:c r="M31" s="353"/>
      <x:c r="N31" s="354"/>
    </x:row>
    <x:row r="32" ht="14.399999618530273" customHeight="1">
      <x:c r="C32" s="362" t="s">
        <x:v>187</x:v>
      </x:c>
      <x:c r="D32" s="353"/>
      <x:c r="E32" s="501"/>
      <x:c r="F32" s="578" t="n">
        <x:f>+'Financial Statement Model'!E31</x:f>
        <x:v>125000</x:v>
      </x:c>
      <x:c r="G32" s="578" t="n">
        <x:f>+'Financial Statement Model'!F31</x:f>
        <x:v>135000</x:v>
      </x:c>
      <x:c r="H32" s="581" t="n">
        <x:f>+'Financial Statement Model'!G31</x:f>
        <x:v>121000</x:v>
      </x:c>
      <x:c r="I32" s="581" t="n">
        <x:f>+'Financial Statement Model'!H31</x:f>
        <x:v>127000</x:v>
      </x:c>
      <x:c r="J32" s="581" t="n">
        <x:f>+'Financial Statement Model'!I31</x:f>
        <x:v>127666.66666666667</x:v>
      </x:c>
      <x:c r="K32" s="581" t="n">
        <x:f>+'Financial Statement Model'!J31</x:f>
        <x:v>125222.22222222223</x:v>
      </x:c>
      <x:c r="L32" s="581" t="n">
        <x:f>+'Financial Statement Model'!K31</x:f>
        <x:v>126629.62962962965</x:v>
      </x:c>
      <x:c r="M32" s="353"/>
      <x:c r="N32" s="354"/>
    </x:row>
    <x:row r="33" ht="14.399999618530273" customHeight="1">
      <x:c r="C33" s="362" t="s">
        <x:v>188</x:v>
      </x:c>
      <x:c r="D33" s="353"/>
      <x:c r="E33" s="501"/>
      <x:c r="F33" s="476" t="n">
        <x:f>F52</x:f>
        <x:v>332000</x:v>
      </x:c>
      <x:c r="G33" s="476" t="n">
        <x:f t="shared" ref="G33:L33" si="18">G52</x:f>
        <x:v>97000</x:v>
      </x:c>
      <x:c r="H33" s="417">
        <x:f t="shared" si="18"/>
        <x:v>35538.222579953028</x:v>
      </x:c>
      <x:c r="I33" s="417">
        <x:f t="shared" si="18"/>
        <x:v>67017.336237234063</x:v>
      </x:c>
      <x:c r="J33" s="417">
        <x:f t="shared" si="18"/>
        <x:v>72318.992388688959</x:v>
      </x:c>
      <x:c r="K33" s="417">
        <x:f t="shared" si="18"/>
        <x:v>72514.852621815167</x:v>
      </x:c>
      <x:c r="L33" s="417">
        <x:f t="shared" si="18"/>
        <x:v>78089.3355591211</x:v>
      </x:c>
      <x:c r="M33" s="353"/>
      <x:c r="N33" s="354"/>
    </x:row>
    <x:row r="34" ht="14.399999618530273" customHeight="1">
      <x:c r="C34" s="362" t="s">
        <x:v>189</x:v>
      </x:c>
      <x:c r="D34" s="353"/>
      <x:c r="E34" s="501"/>
      <x:c r="F34" s="578" t="n">
        <x:f>+'Financial Statement Model'!E154</x:f>
        <x:v>185000</x:v>
      </x:c>
      <x:c r="G34" s="578" t="n">
        <x:f>+'Financial Statement Model'!F154</x:f>
        <x:v>196000</x:v>
      </x:c>
      <x:c r="H34" s="581" t="n">
        <x:f>+'Financial Statement Model'!G154</x:f>
        <x:v>194376.6288433382</x:v>
      </x:c>
      <x:c r="I34" s="581" t="n">
        <x:f>+'Financial Statement Model'!H154</x:f>
        <x:v>206753.0001830161</x:v>
      </x:c>
      <x:c r="J34" s="581" t="n">
        <x:f>+'Financial Statement Model'!I154</x:f>
        <x:v>220108.45050329427</x:v>
      </x:c>
      <x:c r="K34" s="581" t="n">
        <x:f>+'Financial Statement Model'!J154</x:f>
        <x:v>233500.07115071375</x:v>
      </x:c>
      <x:c r="L34" s="581" t="n">
        <x:f>+'Financial Statement Model'!K154</x:f>
        <x:v>247921.15484057012</x:v>
      </x:c>
      <x:c r="M34" s="353"/>
      <x:c r="N34" s="354"/>
    </x:row>
    <x:row r="35" ht="14.399999618530273" customHeight="1">
      <x:c r="C35" s="362"/>
      <x:c r="D35" s="353"/>
      <x:c r="E35" s="394"/>
      <x:c r="F35" s="394"/>
      <x:c r="G35" s="462"/>
      <x:c r="H35" s="394"/>
      <x:c r="I35" s="394"/>
      <x:c r="J35" s="394"/>
      <x:c r="K35" s="394"/>
      <x:c r="L35" s="394"/>
      <x:c r="M35" s="353"/>
      <x:c r="N35" s="354"/>
    </x:row>
    <x:row r="36" ht="14.399999618530273" customHeight="1">
      <x:c r="C36" s="497" t="s">
        <x:v>190</x:v>
      </x:c>
      <x:c r="D36" s="576"/>
      <x:c r="E36" s="542"/>
      <x:c r="F36" s="498" t="n">
        <x:f>+F29+F31+F32-F33-F34</x:f>
        <x:v>996610.1167315175</x:v>
      </x:c>
      <x:c r="G36" s="498" t="n">
        <x:f t="shared" ref="G36:L36" si="19">+G29+G31+G32-G33-G34</x:f>
        <x:v>1139378.0397936625</x:v>
      </x:c>
      <x:c r="H36" s="498">
        <x:f t="shared" si="19"/>
        <x:v>1272427.4972065317</x:v>
      </x:c>
      <x:c r="I36" s="498">
        <x:f t="shared" si="19"/>
        <x:v>1300106.9225381771</x:v>
      </x:c>
      <x:c r="J36" s="498">
        <x:f t="shared" si="19"/>
        <x:v>1362873.7659242128</x:v>
      </x:c>
      <x:c r="K36" s="498">
        <x:f t="shared" si="19"/>
        <x:v>1432029.8743230489</x:v>
      </x:c>
      <x:c r="L36" s="498">
        <x:f t="shared" si="19"/>
        <x:v>1508095.1758387068</x:v>
      </x:c>
      <x:c r="M36" s="457"/>
      <x:c r="N36" s="577" t="n">
        <x:f>+_xlfn.RRI(YEAR($L$12)-YEAR($G$12),G36,L36)</x:f>
        <x:v>0.05767485885243406</x:v>
      </x:c>
    </x:row>
    <x:row r="37" ht="14.399999618530273" customHeight="1">
      <x:c r="G37" s="106"/>
    </x:row>
    <x:row r="38" ht="14.399999618530273" customHeight="1">
      <x:c r="C38" s="384" t="s">
        <x:v>191</x:v>
      </x:c>
      <x:c r="D38" s="565"/>
      <x:c r="E38" s="385" t="s">
        <x:v>9</x:v>
      </x:c>
      <x:c r="F38" s="386"/>
      <x:c r="G38" s="387"/>
      <x:c r="H38" s="385" t="s">
        <x:v>10</x:v>
      </x:c>
      <x:c r="I38" s="386"/>
      <x:c r="J38" s="386"/>
      <x:c r="K38" s="386"/>
      <x:c r="L38" s="388"/>
    </x:row>
    <x:row r="39" ht="14.399999618530273" customHeight="1">
      <x:c r="C39" s="363"/>
      <x:c r="D39" s="566"/>
      <x:c r="E39" s="378" t="n">
        <x:f>'Financial Statement Model'!D12</x:f>
        <x:v>44500</x:v>
      </x:c>
      <x:c r="F39" s="378" t="n">
        <x:f>'Financial Statement Model'!E12</x:f>
        <x:v>44865</x:v>
      </x:c>
      <x:c r="G39" s="378" t="n">
        <x:f>'Financial Statement Model'!F12</x:f>
        <x:v>45230</x:v>
      </x:c>
      <x:c r="H39" s="381" t="n">
        <x:f>'Financial Statement Model'!G12</x:f>
        <x:v>45596</x:v>
      </x:c>
      <x:c r="I39" s="381" t="n">
        <x:f>'Financial Statement Model'!H12</x:f>
        <x:v>45961</x:v>
      </x:c>
      <x:c r="J39" s="381" t="n">
        <x:f>'Financial Statement Model'!I12</x:f>
        <x:v>46326</x:v>
      </x:c>
      <x:c r="K39" s="381" t="n">
        <x:f>'Financial Statement Model'!J12</x:f>
        <x:v>46691</x:v>
      </x:c>
      <x:c r="L39" s="746" t="n">
        <x:f>'Financial Statement Model'!K12</x:f>
        <x:v>47057</x:v>
      </x:c>
    </x:row>
    <x:row r="40">
      <x:c r="C40" s="362"/>
      <x:c r="D40" s="353"/>
      <x:c r="E40" s="353"/>
      <x:c r="F40" s="353"/>
      <x:c r="G40" s="353"/>
      <x:c r="H40" s="353"/>
      <x:c r="I40" s="353"/>
      <x:c r="J40" s="353"/>
      <x:c r="K40" s="353"/>
      <x:c r="L40" s="354"/>
    </x:row>
    <x:row r="41" ht="14.399999618530273" customHeight="1">
      <x:c r="C41" s="362" t="s">
        <x:v>61</x:v>
      </x:c>
      <x:c r="D41" s="353"/>
      <x:c r="E41" s="578" t="n">
        <x:f>+'Financial Statement Model'!D47</x:f>
        <x:v>735000</x:v>
      </x:c>
      <x:c r="F41" s="578" t="n">
        <x:f>+'Financial Statement Model'!E47</x:f>
        <x:v>905000</x:v>
      </x:c>
      <x:c r="G41" s="578" t="n">
        <x:f>+'Financial Statement Model'!F47</x:f>
        <x:v>900000</x:v>
      </x:c>
      <x:c r="H41" s="581" t="n">
        <x:f>+'Financial Statement Model'!G47</x:f>
        <x:v>945616.0322108344</x:v>
      </x:c>
      <x:c r="I41" s="581" t="n">
        <x:f>+'Financial Statement Model'!H47</x:f>
        <x:v>1005825.4062957539</x:v>
      </x:c>
      <x:c r="J41" s="581" t="n">
        <x:f>+'Financial Statement Model'!I47</x:f>
        <x:v>1070797.8673133233</x:v>
      </x:c>
      <x:c r="K41" s="581" t="n">
        <x:f>+'Financial Statement Model'!J47</x:f>
        <x:v>1135946.2920845533</x:v>
      </x:c>
      <x:c r="L41" s="758" t="n">
        <x:f>+'Financial Statement Model'!K47</x:f>
        <x:v>1206102.9154406113</x:v>
      </x:c>
    </x:row>
    <x:row r="42" ht="14.399999618530273" customHeight="1">
      <x:c r="C42" s="362" t="s">
        <x:v>62</x:v>
      </x:c>
      <x:c r="D42" s="353"/>
      <x:c r="E42" s="578" t="n">
        <x:f>+'Financial Statement Model'!D48</x:f>
        <x:v>777000</x:v>
      </x:c>
      <x:c r="F42" s="578" t="n">
        <x:f>+'Financial Statement Model'!E48</x:f>
        <x:v>1057000</x:v>
      </x:c>
      <x:c r="G42" s="578" t="n">
        <x:f>+'Financial Statement Model'!F48</x:f>
        <x:v>1195000</x:v>
      </x:c>
      <x:c r="H42" s="581" t="n">
        <x:f>+'Financial Statement Model'!G48</x:f>
        <x:v>1234523.473007712</x:v>
      </x:c>
      <x:c r="I42" s="581" t="n">
        <x:f>+'Financial Statement Model'!H48</x:f>
        <x:v>1313128.1952956298</x:v>
      </x:c>
      <x:c r="J42" s="581" t="n">
        <x:f>+'Financial Statement Model'!I48</x:f>
        <x:v>1397951.23709383</x:v>
      </x:c>
      <x:c r="K42" s="581" t="n">
        <x:f>+'Financial Statement Model'!J48</x:f>
        <x:v>1483004.0036184448</x:v>
      </x:c>
      <x:c r="L42" s="758" t="n">
        <x:f>+'Financial Statement Model'!K48</x:f>
        <x:v>1574595.088551218</x:v>
      </x:c>
    </x:row>
    <x:row r="43" ht="14.399999618530273" customHeight="1">
      <x:c r="C43" s="362" t="s">
        <x:v>63</x:v>
      </x:c>
      <x:c r="D43" s="353"/>
      <x:c r="E43" s="578" t="n">
        <x:f>+'Financial Statement Model'!D49</x:f>
        <x:v>270000</x:v>
      </x:c>
      <x:c r="F43" s="578" t="n">
        <x:f>+'Financial Statement Model'!E49</x:f>
        <x:v>230000</x:v>
      </x:c>
      <x:c r="G43" s="578" t="n">
        <x:f>+'Financial Statement Model'!F49</x:f>
        <x:v>242000</x:v>
      </x:c>
      <x:c r="H43" s="581" t="n">
        <x:f>+'Financial Statement Model'!G49</x:f>
        <x:v>254265.64421669106</x:v>
      </x:c>
      <x:c r="I43" s="581" t="n">
        <x:f>+'Financial Statement Model'!H49</x:f>
        <x:v>270455.2759150805</x:v>
      </x:c>
      <x:c r="J43" s="581" t="n">
        <x:f>+'Financial Statement Model'!I49</x:f>
        <x:v>287925.6487664714</x:v>
      </x:c>
      <x:c r="K43" s="581" t="n">
        <x:f>+'Financial Statement Model'!J49</x:f>
        <x:v>305443.33631606883</x:v>
      </x:c>
      <x:c r="L43" s="758" t="n">
        <x:f>+'Financial Statement Model'!K49</x:f>
        <x:v>324307.6728184756</x:v>
      </x:c>
    </x:row>
    <x:row r="44" ht="14.399999618530273" customHeight="1">
      <x:c r="C44" s="389" t="s">
        <x:v>192</x:v>
      </x:c>
      <x:c r="D44" s="575"/>
      <x:c r="E44" s="477" t="n">
        <x:f>SUM(E41:E43)</x:f>
        <x:v>1782000</x:v>
      </x:c>
      <x:c r="F44" s="477" t="n">
        <x:f t="shared" ref="F44:L44" si="20">SUM(F41:F43)</x:f>
        <x:v>2192000</x:v>
      </x:c>
      <x:c r="G44" s="477">
        <x:f t="shared" si="20"/>
        <x:v>2337000</x:v>
      </x:c>
      <x:c r="H44" s="418">
        <x:f t="shared" si="20"/>
        <x:v>2434405.1494352375</x:v>
      </x:c>
      <x:c r="I44" s="418">
        <x:f t="shared" si="20"/>
        <x:v>2589408.8775064643</x:v>
      </x:c>
      <x:c r="J44" s="418">
        <x:f t="shared" si="20"/>
        <x:v>2756674.7531736246</x:v>
      </x:c>
      <x:c r="K44" s="418">
        <x:f t="shared" si="20"/>
        <x:v>2924393.6320190667</x:v>
      </x:c>
      <x:c r="L44" s="748">
        <x:f t="shared" si="20"/>
        <x:v>3105005.6768103046</x:v>
      </x:c>
    </x:row>
    <x:row r="45" ht="14.399999618530273" customHeight="1">
      <x:c r="C45" s="362"/>
      <x:c r="D45" s="353"/>
      <x:c r="E45" s="394"/>
      <x:c r="F45" s="394"/>
      <x:c r="G45" s="462"/>
      <x:c r="H45" s="394"/>
      <x:c r="I45" s="394"/>
      <x:c r="J45" s="394"/>
      <x:c r="K45" s="394"/>
      <x:c r="L45" s="395"/>
    </x:row>
    <x:row r="46" ht="14.399999618530273" customHeight="1">
      <x:c r="C46" s="362" t="s">
        <x:v>72</x:v>
      </x:c>
      <x:c r="D46" s="353"/>
      <x:c r="E46" s="578" t="n">
        <x:f>+'Financial Statement Model'!D59</x:f>
        <x:v>287000</x:v>
      </x:c>
      <x:c r="F46" s="578" t="n">
        <x:f>+'Financial Statement Model'!E59</x:f>
        <x:v>348000</x:v>
      </x:c>
      <x:c r="G46" s="578" t="n">
        <x:f>+'Financial Statement Model'!F59</x:f>
        <x:v>286000</x:v>
      </x:c>
      <x:c r="H46" s="581" t="n">
        <x:f>+'Financial Statement Model'!G59</x:f>
        <x:v>295459.17429305916</x:v>
      </x:c>
      <x:c r="I46" s="581" t="n">
        <x:f>+'Financial Statement Model'!H59</x:f>
        <x:v>314271.6852339332</x:v>
      </x:c>
      <x:c r="J46" s="581" t="n">
        <x:f>+'Financial Statement Model'!I59</x:f>
        <x:v>334572.42996555264</x:v>
      </x:c>
      <x:c r="K46" s="581" t="n">
        <x:f>+'Financial Statement Model'!J59</x:f>
        <x:v>354928.1548408998</x:v>
      </x:c>
      <x:c r="L46" s="758" t="n">
        <x:f>+'Financial Statement Model'!K59</x:f>
        <x:v>376848.69901727897</x:v>
      </x:c>
    </x:row>
    <x:row r="47" ht="14.399999618530273" customHeight="1">
      <x:c r="C47" s="362" t="s">
        <x:v>74</x:v>
      </x:c>
      <x:c r="D47" s="353"/>
      <x:c r="E47" s="578" t="n">
        <x:f>+'Financial Statement Model'!D61</x:f>
        <x:v>907000</x:v>
      </x:c>
      <x:c r="F47" s="578" t="n">
        <x:f>+'Financial Statement Model'!E61</x:f>
        <x:v>924000</x:v>
      </x:c>
      <x:c r="G47" s="578" t="n">
        <x:f>+'Financial Statement Model'!F61</x:f>
        <x:v>1034000</x:v>
      </x:c>
      <x:c r="H47" s="581" t="n">
        <x:f>+'Financial Statement Model'!G61</x:f>
        <x:v>1086407.7525622253</x:v>
      </x:c>
      <x:c r="I47" s="581" t="n">
        <x:f>+'Financial Statement Model'!H61</x:f>
        <x:v>1155581.633455344</x:v>
      </x:c>
      <x:c r="J47" s="581" t="n">
        <x:f>+'Financial Statement Model'!I61</x:f>
        <x:v>1230227.772002196</x:v>
      </x:c>
      <x:c r="K47" s="581" t="n">
        <x:f>+'Financial Statement Model'!J61</x:f>
        <x:v>1305076.0733504756</x:v>
      </x:c>
      <x:c r="L47" s="758" t="n">
        <x:f>+'Financial Statement Model'!K61</x:f>
        <x:v>1385678.2384062135</x:v>
      </x:c>
    </x:row>
    <x:row r="48" ht="14.399999618530273" customHeight="1">
      <x:c r="C48" s="389" t="s">
        <x:v>193</x:v>
      </x:c>
      <x:c r="D48" s="575"/>
      <x:c r="E48" s="477" t="n">
        <x:f t="shared" ref="E48:L48" si="21">SUM(E46:E47)</x:f>
        <x:v>1194000</x:v>
      </x:c>
      <x:c r="F48" s="477">
        <x:f t="shared" si="21"/>
        <x:v>1272000</x:v>
      </x:c>
      <x:c r="G48" s="477">
        <x:f t="shared" si="21"/>
        <x:v>1320000</x:v>
      </x:c>
      <x:c r="H48" s="418">
        <x:f t="shared" si="21"/>
        <x:v>1381866.9268552845</x:v>
      </x:c>
      <x:c r="I48" s="418">
        <x:f t="shared" si="21"/>
        <x:v>1469853.3186892772</x:v>
      </x:c>
      <x:c r="J48" s="418">
        <x:f t="shared" si="21"/>
        <x:v>1564800.2019677486</x:v>
      </x:c>
      <x:c r="K48" s="418">
        <x:f t="shared" si="21"/>
        <x:v>1660004.2281913755</x:v>
      </x:c>
      <x:c r="L48" s="748">
        <x:f t="shared" si="21"/>
        <x:v>1762526.9374234923</x:v>
      </x:c>
    </x:row>
    <x:row r="49" ht="14.399999618530273" customHeight="1">
      <x:c r="C49" s="362"/>
      <x:c r="D49" s="353"/>
      <x:c r="E49" s="394"/>
      <x:c r="F49" s="394"/>
      <x:c r="G49" s="462"/>
      <x:c r="H49" s="394"/>
      <x:c r="I49" s="394"/>
      <x:c r="J49" s="394"/>
      <x:c r="K49" s="394"/>
      <x:c r="L49" s="395"/>
    </x:row>
    <x:row r="50" ht="14.399999618530273" customHeight="1">
      <x:c r="C50" s="389" t="s">
        <x:v>194</x:v>
      </x:c>
      <x:c r="D50" s="575"/>
      <x:c r="E50" s="477" t="n">
        <x:f t="shared" ref="E50:L50" si="22">+E44-E48</x:f>
        <x:v>588000</x:v>
      </x:c>
      <x:c r="F50" s="477">
        <x:f t="shared" si="22"/>
        <x:v>920000</x:v>
      </x:c>
      <x:c r="G50" s="477">
        <x:f t="shared" si="22"/>
        <x:v>1017000</x:v>
      </x:c>
      <x:c r="H50" s="418">
        <x:f t="shared" si="22"/>
        <x:v>1052538.222579953</x:v>
      </x:c>
      <x:c r="I50" s="418">
        <x:f t="shared" si="22"/>
        <x:v>1119555.5588171871</x:v>
      </x:c>
      <x:c r="J50" s="418">
        <x:f t="shared" si="22"/>
        <x:v>1191874.5512058761</x:v>
      </x:c>
      <x:c r="K50" s="418">
        <x:f t="shared" si="22"/>
        <x:v>1264389.4038276912</x:v>
      </x:c>
      <x:c r="L50" s="748">
        <x:f t="shared" si="22"/>
        <x:v>1342478.7393868123</x:v>
      </x:c>
    </x:row>
    <x:row r="51" ht="14.399999618530273" customHeight="1">
      <x:c r="C51" s="362"/>
      <x:c r="D51" s="353"/>
      <x:c r="E51" s="394"/>
      <x:c r="F51" s="394"/>
      <x:c r="G51" s="462"/>
      <x:c r="H51" s="394"/>
      <x:c r="I51" s="394"/>
      <x:c r="J51" s="394"/>
      <x:c r="K51" s="394"/>
      <x:c r="L51" s="395"/>
    </x:row>
    <x:row r="52" ht="14.399999618530273" customHeight="1">
      <x:c r="C52" s="497" t="s">
        <x:v>195</x:v>
      </x:c>
      <x:c r="D52" s="576"/>
      <x:c r="E52" s="542"/>
      <x:c r="F52" s="498" t="n">
        <x:f>+F50-E50</x:f>
        <x:v>332000</x:v>
      </x:c>
      <x:c r="G52" s="498" t="n">
        <x:f t="shared" ref="G52:L52" si="23">+G50-F50</x:f>
        <x:v>97000</x:v>
      </x:c>
      <x:c r="H52" s="498">
        <x:f t="shared" si="23"/>
        <x:v>35538.222579953028</x:v>
      </x:c>
      <x:c r="I52" s="498">
        <x:f t="shared" si="23"/>
        <x:v>67017.336237234063</x:v>
      </x:c>
      <x:c r="J52" s="498">
        <x:f t="shared" si="23"/>
        <x:v>72318.992388688959</x:v>
      </x:c>
      <x:c r="K52" s="498">
        <x:f t="shared" si="23"/>
        <x:v>72514.852621815167</x:v>
      </x:c>
      <x:c r="L52" s="500">
        <x:f t="shared" si="23"/>
        <x:v>78089.3355591211</x:v>
      </x:c>
    </x:row>
    <x:row r="53" ht="14.399999618530273" customHeight="1">
      <x:c r="E53" s="239"/>
      <x:c r="F53" s="239"/>
      <x:c r="G53" s="239"/>
      <x:c r="H53" s="239"/>
      <x:c r="I53" s="239"/>
      <x:c r="J53" s="239"/>
      <x:c r="K53" s="239"/>
      <x:c r="L53" s="239"/>
    </x:row>
    <x:row r="54" ht="14.399999618530273" customHeight="1">
      <x:c r="C54" s="384" t="str">
        <x:f>"Present Value of UFCFs as of "&amp;TEXT(D7,("mmm dd, yyyy"))</x:f>
        <x:v>Present Value of UFCFs as of Apr 12, 2024</x:v>
      </x:c>
      <x:c r="D54" s="565"/>
      <x:c r="E54" s="385"/>
      <x:c r="F54" s="385" t="s">
        <x:v>196</x:v>
      </x:c>
      <x:c r="G54" s="385"/>
      <x:c r="H54" s="385" t="s">
        <x:v>197</x:v>
      </x:c>
      <x:c r="I54" s="385" t="s">
        <x:v>198</x:v>
      </x:c>
      <x:c r="J54" s="385" t="s">
        <x:v>199</x:v>
      </x:c>
      <x:c r="K54" s="385" t="s">
        <x:v>200</x:v>
      </x:c>
      <x:c r="L54" s="460" t="s">
        <x:v>201</x:v>
      </x:c>
    </x:row>
    <x:row r="55" ht="14.399999618530273" customHeight="1">
      <x:c r="C55" s="585" t="s">
        <x:v>202</x:v>
      </x:c>
      <x:c r="D55" s="586"/>
      <x:c r="E55" s="587"/>
      <x:c r="F55" s="588" t="n">
        <x:f>YEARFRAC(D7,H55,1)</x:f>
        <x:v>0.5519125683060109</x:v>
      </x:c>
      <x:c r="G55" s="589"/>
      <x:c r="H55" s="590" t="n">
        <x:f>IF($J$8=0,H$12,AVERAGE(D7,H12))</x:f>
        <x:v>45596</x:v>
      </x:c>
      <x:c r="I55" s="590" t="n">
        <x:f>IF($J$8=0,I$12,AVERAGE(H12:I12))</x:f>
        <x:v>45961</x:v>
      </x:c>
      <x:c r="J55" s="590" t="n">
        <x:f>IF($J$8=0,J$12,AVERAGE(I12:J12))</x:f>
        <x:v>46326</x:v>
      </x:c>
      <x:c r="K55" s="590" t="n">
        <x:f>IF($J$8=0,K$12,AVERAGE(J12:K12))</x:f>
        <x:v>46691</x:v>
      </x:c>
      <x:c r="L55" s="591" t="n">
        <x:f>IF($J$8=0,L$12,AVERAGE(K12:L12))</x:f>
        <x:v>47057</x:v>
      </x:c>
    </x:row>
    <x:row r="56" ht="14.399999618530273" customHeight="1">
      <x:c r="C56" s="362"/>
      <x:c r="D56" s="353"/>
      <x:c r="E56" s="353"/>
      <x:c r="F56" s="353"/>
      <x:c r="G56" s="592"/>
      <x:c r="H56" s="353"/>
      <x:c r="I56" s="353"/>
      <x:c r="J56" s="353"/>
      <x:c r="K56" s="353"/>
      <x:c r="L56" s="354"/>
    </x:row>
    <x:row r="57" ht="14.399999618530273" customHeight="1">
      <x:c r="C57" s="355" t="s">
        <x:v>203</x:v>
      </x:c>
      <x:c r="D57" s="356"/>
      <x:c r="E57" s="537"/>
      <x:c r="F57" s="537"/>
      <x:c r="G57" s="593"/>
      <x:c r="H57" s="594" t="n">
        <x:f>+YEARFRAC($D$7,H55,1)</x:f>
        <x:v>0.5519125683060109</x:v>
      </x:c>
      <x:c r="I57" s="594" t="n">
        <x:f>+YEARFRAC($D$7,I55,1)</x:f>
        <x:v>1.551299589603283</x:v>
      </x:c>
      <x:c r="J57" s="594" t="n">
        <x:f>+YEARFRAC($D$7,J55,1)</x:f>
        <x:v>2.551094890510949</x:v>
      </x:c>
      <x:c r="K57" s="594" t="n">
        <x:f>+YEARFRAC($D$7,K55,1)</x:f>
        <x:v>3.5509924709103355</x:v>
      </x:c>
      <x:c r="L57" s="595" t="n">
        <x:f>+YEARFRAC($D$7,L55,1)</x:f>
        <x:v>4.551176792556103</x:v>
      </x:c>
    </x:row>
    <x:row r="58" ht="14.399999618530273" customHeight="1">
      <x:c r="C58" s="362"/>
      <x:c r="D58" s="353"/>
      <x:c r="E58" s="537"/>
      <x:c r="F58" s="537"/>
      <x:c r="G58" s="593"/>
      <x:c r="H58" s="596"/>
      <x:c r="I58" s="597"/>
      <x:c r="J58" s="597"/>
      <x:c r="K58" s="597"/>
      <x:c r="L58" s="598"/>
      <x:c r="M58" s="115"/>
    </x:row>
    <x:row r="59" ht="14.399999618530273" customHeight="1">
      <x:c r="C59" s="362" t="s">
        <x:v>204</x:v>
      </x:c>
      <x:c r="D59" s="353"/>
      <x:c r="E59" s="539"/>
      <x:c r="F59" s="539"/>
      <x:c r="G59" s="599"/>
      <x:c r="H59" s="396" t="n">
        <x:f>+H36*F55</x:f>
        <x:v>702268.7279664464</x:v>
      </x:c>
      <x:c r="I59" s="396" t="n">
        <x:f>+I36</x:f>
        <x:v>1300106.922538177</x:v>
      </x:c>
      <x:c r="J59" s="396" t="n">
        <x:f>+J36</x:f>
        <x:v>1362873.7659242128</x:v>
      </x:c>
      <x:c r="K59" s="396" t="n">
        <x:f>+K36</x:f>
        <x:v>1432029.8743230489</x:v>
      </x:c>
      <x:c r="L59" s="397" t="n">
        <x:f>+L36</x:f>
        <x:v>1508095.1758387068</x:v>
      </x:c>
    </x:row>
    <x:row r="60" ht="14.399999618530273" customHeight="1">
      <x:c r="C60" s="362"/>
      <x:c r="D60" s="353"/>
      <x:c r="E60" s="537"/>
      <x:c r="F60" s="537"/>
      <x:c r="G60" s="593"/>
      <x:c r="H60" s="394"/>
      <x:c r="I60" s="394"/>
      <x:c r="J60" s="394"/>
      <x:c r="K60" s="394"/>
      <x:c r="L60" s="395"/>
    </x:row>
    <x:row r="61" ht="14.399999618530273" customHeight="1">
      <x:c r="C61" s="497" t="s">
        <x:v>205</x:v>
      </x:c>
      <x:c r="D61" s="576"/>
      <x:c r="E61" s="600"/>
      <x:c r="F61" s="600"/>
      <x:c r="G61" s="601"/>
      <x:c r="H61" s="498" t="n">
        <x:f>+H59/(1+$J$7)^H57</x:f>
        <x:v>664004.1515838205</x:v>
      </x:c>
      <x:c r="I61" s="498" t="n">
        <x:f>+I59/(1+$J$7)^I57</x:f>
        <x:v>1110672.1911068168</x:v>
      </x:c>
      <x:c r="J61" s="498" t="n">
        <x:f>+J59/(1+$J$7)^J57</x:f>
        <x:v>1051922.6867611178</x:v>
      </x:c>
      <x:c r="K61" s="498" t="n">
        <x:f>+K59/(1+$J$7)^K57</x:f>
        <x:v>998612.7827600793</x:v>
      </x:c>
      <x:c r="L61" s="500" t="n">
        <x:f>+L59/(1+$J$7)^L57</x:f>
        <x:v>950119.0041130324</x:v>
      </x:c>
    </x:row>
    <x:row r="62" ht="14.399999618530273" customHeight="1">
      <x:c r="C62" s="103"/>
      <x:c r="D62" s="103"/>
      <x:c r="E62" s="104"/>
      <x:c r="F62" s="104"/>
      <x:c r="G62" s="104"/>
      <x:c r="H62" s="104"/>
      <x:c r="I62" s="104"/>
      <x:c r="J62" s="104"/>
      <x:c r="K62" s="104"/>
      <x:c r="L62" s="104"/>
    </x:row>
    <x:row r="63" ht="14.399999618530273" customHeight="1">
      <x:c r="C63" s="384" t="s">
        <x:v>206</x:v>
      </x:c>
      <x:c r="D63" s="602"/>
    </x:row>
    <x:row r="64" ht="14.399999618530273" customHeight="1">
      <x:c r="C64" s="585"/>
      <x:c r="D64" s="603"/>
    </x:row>
    <x:row r="65">
      <x:c r="C65" s="362"/>
      <x:c r="D65" s="354"/>
    </x:row>
    <x:row r="66" ht="14.399999618530273" customHeight="1">
      <x:c r="C66" s="362" t="s">
        <x:v>207</x:v>
      </x:c>
      <x:c r="D66" s="493">
        <x:v>175044.60399999999</x:v>
      </x:c>
    </x:row>
    <x:row r="67" ht="14.399999618530273" customHeight="1">
      <x:c r="C67" s="362" t="s">
        <x:v>208</x:v>
      </x:c>
      <x:c r="D67" s="493">
        <x:v>2149</x:v>
      </x:c>
    </x:row>
    <x:row r="68" ht="14.399999618530273" customHeight="1">
      <x:c r="C68" s="362" t="s">
        <x:v>209</x:v>
      </x:c>
      <x:c r="D68" s="493">
        <x:v>1000</x:v>
      </x:c>
    </x:row>
    <x:row r="69" ht="14.399999618530273" customHeight="1">
      <x:c r="C69" s="362" t="s">
        <x:v>210</x:v>
      </x:c>
      <x:c r="D69" s="493">
        <x:v>0</x:v>
      </x:c>
    </x:row>
    <x:row r="70" ht="14.399999618530273" customHeight="1">
      <x:c r="C70" s="362" t="s">
        <x:v>211</x:v>
      </x:c>
      <x:c r="D70" s="493">
        <x:v>0</x:v>
      </x:c>
    </x:row>
    <x:row r="71" ht="14.399999618530273" customHeight="1">
      <x:c r="C71" s="497" t="s">
        <x:v>175</x:v>
      </x:c>
      <x:c r="D71" s="500" t="n">
        <x:f>SUM(D66:D70)</x:f>
        <x:v>178193.604</x:v>
      </x:c>
      <x:c r="F71" s="116"/>
    </x:row>
    <x:row r="72" ht="14.399999618530273" customHeight="1">
      <x:c r="C72" s="103"/>
      <x:c r="D72" s="103"/>
      <x:c r="E72" s="104"/>
      <x:c r="F72" s="104"/>
      <x:c r="G72" s="104"/>
      <x:c r="H72" s="104"/>
      <x:c r="I72" s="104"/>
      <x:c r="J72" s="104"/>
      <x:c r="K72" s="104"/>
      <x:c r="L72" s="104"/>
    </x:row>
    <x:row r="73" ht="14.399999618530273" customHeight="1">
      <x:c r="C73" s="384" t="s">
        <x:v>212</x:v>
      </x:c>
      <x:c r="D73" s="565"/>
      <x:c r="E73" s="385"/>
      <x:c r="F73" s="385"/>
      <x:c r="G73" s="385"/>
      <x:c r="H73" s="385"/>
      <x:c r="I73" s="385"/>
      <x:c r="J73" s="385"/>
      <x:c r="K73" s="385"/>
      <x:c r="L73" s="460"/>
    </x:row>
    <x:row r="74" ht="14.399999618530273" customHeight="1">
      <x:c r="C74" s="585"/>
      <x:c r="D74" s="586"/>
      <x:c r="E74" s="587"/>
      <x:c r="F74" s="587"/>
      <x:c r="G74" s="587"/>
      <x:c r="H74" s="587"/>
      <x:c r="I74" s="587"/>
      <x:c r="J74" s="587"/>
      <x:c r="K74" s="587"/>
      <x:c r="L74" s="604"/>
    </x:row>
    <x:row r="75">
      <x:c r="C75" s="362"/>
      <x:c r="D75" s="353"/>
      <x:c r="E75" s="353"/>
      <x:c r="F75" s="353"/>
      <x:c r="G75" s="353"/>
      <x:c r="H75" s="353"/>
      <x:c r="I75" s="353"/>
      <x:c r="J75" s="353"/>
      <x:c r="K75" s="353"/>
      <x:c r="L75" s="354"/>
    </x:row>
    <x:row r="76" ht="14.399999618530273" customHeight="1">
      <x:c r="C76" s="605" t="s">
        <x:v>213</x:v>
      </x:c>
      <x:c r="D76" s="606"/>
      <x:c r="E76" s="606"/>
      <x:c r="F76" s="353"/>
      <x:c r="G76" s="353"/>
      <x:c r="H76" s="607" t="s">
        <x:v>214</x:v>
      </x:c>
      <x:c r="I76" s="606"/>
      <x:c r="J76" s="606"/>
      <x:c r="K76" s="606"/>
      <x:c r="L76" s="608"/>
    </x:row>
    <x:row r="77" ht="14.399999618530273" customHeight="1">
      <x:c r="C77" s="362"/>
      <x:c r="D77" s="353"/>
      <x:c r="E77" s="353"/>
      <x:c r="F77" s="353"/>
      <x:c r="G77" s="353"/>
      <x:c r="H77" s="353"/>
      <x:c r="I77" s="353"/>
      <x:c r="J77" s="353"/>
      <x:c r="K77" s="353"/>
      <x:c r="L77" s="354"/>
    </x:row>
    <x:row r="78" ht="14.399999618530273" customHeight="1">
      <x:c r="C78" s="609" t="s">
        <x:v>215</x:v>
      </x:c>
      <x:c r="D78" s="610"/>
      <x:c r="E78" s="611">
        <x:v>22</x:v>
      </x:c>
      <x:c r="F78" s="353"/>
      <x:c r="G78" s="353"/>
      <x:c r="H78" s="612" t="s">
        <x:v>216</x:v>
      </x:c>
      <x:c r="I78" s="353"/>
      <x:c r="J78" s="353"/>
      <x:c r="K78" s="353"/>
      <x:c r="L78" s="613">
        <x:v>0.06</x:v>
      </x:c>
    </x:row>
    <x:row r="79" ht="14.399999618530273" customHeight="1">
      <x:c r="C79" s="614"/>
      <x:c r="D79" s="353"/>
      <x:c r="E79" s="353"/>
      <x:c r="F79" s="353"/>
      <x:c r="G79" s="353"/>
      <x:c r="H79" s="353"/>
      <x:c r="I79" s="353"/>
      <x:c r="J79" s="353"/>
      <x:c r="K79" s="353"/>
      <x:c r="L79" s="354"/>
      <x:c r="N79" s="122"/>
    </x:row>
    <x:row r="80" ht="14.399999618530273" customHeight="1">
      <x:c r="C80" s="609" t="s">
        <x:v>217</x:v>
      </x:c>
      <x:c r="D80" s="610"/>
      <x:c r="E80" s="394" t="n">
        <x:f>+E78*L20</x:f>
        <x:v>47180161.62877953</x:v>
      </x:c>
      <x:c r="F80" s="353"/>
      <x:c r="G80" s="353"/>
      <x:c r="H80" s="612" t="s">
        <x:v>217</x:v>
      </x:c>
      <x:c r="I80" s="353"/>
      <x:c r="J80" s="353"/>
      <x:c r="K80" s="353"/>
      <x:c r="L80" s="395" t="n">
        <x:f>+L59*(1+L78)/(J7-L78)</x:f>
        <x:v>34123311.868128866</x:v>
      </x:c>
    </x:row>
    <x:row r="81" ht="14.399999618530273" customHeight="1">
      <x:c r="C81" s="609" t="s">
        <x:v>218</x:v>
      </x:c>
      <x:c r="D81" s="610"/>
      <x:c r="E81" s="405" t="n">
        <x:f>+(E80*J7-L59)/(E80+L59)</x:f>
        <x:v>0.07256312329031671</x:v>
      </x:c>
      <x:c r="F81" s="353"/>
      <x:c r="G81" s="615"/>
      <x:c r="H81" s="612" t="s">
        <x:v>219</x:v>
      </x:c>
      <x:c r="I81" s="353"/>
      <x:c r="J81" s="353"/>
      <x:c r="K81" s="353"/>
      <x:c r="L81" s="616" t="n">
        <x:f>+L80/L20</x:f>
        <x:v>15.911621223461557</x:v>
      </x:c>
    </x:row>
    <x:row r="82" ht="14.399999618530273" customHeight="1">
      <x:c r="C82" s="617"/>
      <x:c r="D82" s="610"/>
      <x:c r="E82" s="610"/>
      <x:c r="F82" s="353"/>
      <x:c r="G82" s="353"/>
      <x:c r="H82" s="353"/>
      <x:c r="I82" s="353"/>
      <x:c r="J82" s="353"/>
      <x:c r="K82" s="353"/>
      <x:c r="L82" s="618"/>
    </x:row>
    <x:row r="83" ht="14.399999618530273" customHeight="1">
      <x:c r="C83" s="391" t="s">
        <x:v>220</x:v>
      </x:c>
      <x:c r="D83" s="610"/>
      <x:c r="E83" s="540" t="n">
        <x:f>+E80/(1+J7)^L57</x:f>
        <x:v>29724097.58933027</x:v>
      </x:c>
      <x:c r="F83" s="353"/>
      <x:c r="G83" s="353"/>
      <x:c r="H83" s="450" t="s">
        <x:v>220</x:v>
      </x:c>
      <x:c r="I83" s="353"/>
      <x:c r="J83" s="353"/>
      <x:c r="K83" s="353"/>
      <x:c r="L83" s="541" t="n">
        <x:f>+L80/(1+J7)^L57</x:f>
        <x:v>21498117.365937732</x:v>
      </x:c>
    </x:row>
    <x:row r="84" ht="14.399999618530273" customHeight="1">
      <x:c r="C84" s="619" t="s">
        <x:v>221</x:v>
      </x:c>
      <x:c r="D84" s="620"/>
      <x:c r="E84" s="621" t="n">
        <x:f>+SUM(H61:L61)</x:f>
        <x:v>4775330.816324866</x:v>
      </x:c>
      <x:c r="F84" s="353"/>
      <x:c r="G84" s="353"/>
      <x:c r="H84" s="622" t="s">
        <x:v>221</x:v>
      </x:c>
      <x:c r="I84" s="623"/>
      <x:c r="J84" s="623"/>
      <x:c r="K84" s="623"/>
      <x:c r="L84" s="624" t="n">
        <x:f>+SUM(H61:L61)</x:f>
        <x:v>4775330.816324866</x:v>
      </x:c>
    </x:row>
    <x:row r="85" ht="14.399999618530273" customHeight="1">
      <x:c r="C85" s="625" t="s">
        <x:v>222</x:v>
      </x:c>
      <x:c r="D85" s="626"/>
      <x:c r="E85" s="627" t="n">
        <x:f>+E83+E84</x:f>
        <x:v>34499428.40565514</x:v>
      </x:c>
      <x:c r="F85" s="628"/>
      <x:c r="G85" s="353"/>
      <x:c r="H85" s="629" t="s">
        <x:v>222</x:v>
      </x:c>
      <x:c r="I85" s="630"/>
      <x:c r="J85" s="630"/>
      <x:c r="K85" s="630"/>
      <x:c r="L85" s="631" t="n">
        <x:f>SUM(L83:L84)</x:f>
        <x:v>26273448.1822626</x:v>
      </x:c>
      <x:c r="N85" s="103"/>
    </x:row>
    <x:row r="86" ht="14.399999618530273" customHeight="1">
      <x:c r="C86" s="617"/>
      <x:c r="D86" s="610"/>
      <x:c r="E86" s="610"/>
      <x:c r="F86" s="353"/>
      <x:c r="G86" s="353"/>
      <x:c r="H86" s="353"/>
      <x:c r="I86" s="353"/>
      <x:c r="J86" s="353"/>
      <x:c r="K86" s="353"/>
      <x:c r="L86" s="354"/>
    </x:row>
    <x:row r="87" ht="14.399999618530273" customHeight="1">
      <x:c r="C87" s="632" t="s">
        <x:v>223</x:v>
      </x:c>
      <x:c r="D87" s="610"/>
      <x:c r="E87" s="405" t="n">
        <x:f>+E83/E85</x:f>
        <x:v>0.8615823207220994</x:v>
      </x:c>
      <x:c r="F87" s="353"/>
      <x:c r="G87" s="353"/>
      <x:c r="H87" s="633" t="s">
        <x:v>223</x:v>
      </x:c>
      <x:c r="I87" s="353"/>
      <x:c r="J87" s="353"/>
      <x:c r="K87" s="353"/>
      <x:c r="L87" s="509" t="n">
        <x:f>+L83/L85</x:f>
        <x:v>0.8182449907907889</x:v>
      </x:c>
    </x:row>
    <x:row r="88" ht="14.399999618530273" customHeight="1">
      <x:c r="C88" s="617"/>
      <x:c r="D88" s="610"/>
      <x:c r="E88" s="610"/>
      <x:c r="F88" s="353"/>
      <x:c r="G88" s="353"/>
      <x:c r="H88" s="353"/>
      <x:c r="I88" s="353"/>
      <x:c r="J88" s="353"/>
      <x:c r="K88" s="353"/>
      <x:c r="L88" s="354"/>
    </x:row>
    <x:row r="89" ht="14.399999618530273" customHeight="1">
      <x:c r="C89" s="391" t="s">
        <x:v>224</x:v>
      </x:c>
      <x:c r="D89" s="610"/>
      <x:c r="E89" s="567" t="n">
        <x:f>+'Financial Statement Model'!F46</x:f>
        <x:v>2472000</x:v>
      </x:c>
      <x:c r="F89" s="353"/>
      <x:c r="G89" s="353"/>
      <x:c r="H89" s="450" t="s">
        <x:v>224</x:v>
      </x:c>
      <x:c r="I89" s="353"/>
      <x:c r="J89" s="353"/>
      <x:c r="K89" s="353"/>
      <x:c r="L89" s="395" t="n">
        <x:f>+E89</x:f>
        <x:v>2472000</x:v>
      </x:c>
    </x:row>
    <x:row r="90" ht="14.399999618530273" customHeight="1">
      <x:c r="C90" s="391" t="s">
        <x:v>225</x:v>
      </x:c>
      <x:c r="D90" s="610"/>
      <x:c r="E90" s="567" t="n">
        <x:f>+'Financial Statement Model'!F192+'Financial Statement Model'!F200+'Financial Statement Model'!F201</x:f>
        <x:v>1794000</x:v>
      </x:c>
      <x:c r="F90" s="353"/>
      <x:c r="G90" s="353"/>
      <x:c r="H90" s="450" t="s">
        <x:v>225</x:v>
      </x:c>
      <x:c r="I90" s="353"/>
      <x:c r="J90" s="353"/>
      <x:c r="K90" s="353"/>
      <x:c r="L90" s="541" t="n">
        <x:f t="shared" ref="L90:L92" si="24">+E90</x:f>
        <x:v>1794000</x:v>
      </x:c>
    </x:row>
    <x:row r="91" ht="14.399999618530273" customHeight="1">
      <x:c r="C91" s="391" t="s">
        <x:v>226</x:v>
      </x:c>
      <x:c r="D91" s="610"/>
      <x:c r="E91" s="392">
        <x:v>0</x:v>
      </x:c>
      <x:c r="F91" s="353"/>
      <x:c r="G91" s="353"/>
      <x:c r="H91" s="450" t="s">
        <x:v>226</x:v>
      </x:c>
      <x:c r="I91" s="353"/>
      <x:c r="J91" s="353"/>
      <x:c r="K91" s="353"/>
      <x:c r="L91" s="395">
        <x:f t="shared" si="24"/>
        <x:v>0</x:v>
      </x:c>
    </x:row>
    <x:row r="92" ht="14.399999618530273" customHeight="1">
      <x:c r="C92" s="391" t="s">
        <x:v>227</x:v>
      </x:c>
      <x:c r="D92" s="610"/>
      <x:c r="E92" s="567" t="n">
        <x:f>+'Financial Statement Model'!F177</x:f>
        <x:v>0</x:v>
      </x:c>
      <x:c r="F92" s="353"/>
      <x:c r="G92" s="353"/>
      <x:c r="H92" s="450" t="s">
        <x:v>227</x:v>
      </x:c>
      <x:c r="I92" s="353"/>
      <x:c r="J92" s="353"/>
      <x:c r="K92" s="353"/>
      <x:c r="L92" s="541">
        <x:f t="shared" si="24"/>
        <x:v>0</x:v>
      </x:c>
    </x:row>
    <x:row r="93" ht="14.399999618530273" customHeight="1">
      <x:c r="C93" s="634" t="s">
        <x:v>228</x:v>
      </x:c>
      <x:c r="D93" s="635"/>
      <x:c r="E93" s="636" t="n">
        <x:f>+E85+E89-E90-E91-E92</x:f>
        <x:v>35177428.40565514</x:v>
      </x:c>
      <x:c r="F93" s="575"/>
      <x:c r="G93" s="353"/>
      <x:c r="H93" s="637" t="s">
        <x:v>228</x:v>
      </x:c>
      <x:c r="I93" s="638"/>
      <x:c r="J93" s="638"/>
      <x:c r="K93" s="638"/>
      <x:c r="L93" s="639" t="n">
        <x:f>+L85+L89-L90-L91-L92</x:f>
        <x:v>26951448.1822626</x:v>
      </x:c>
      <x:c r="N93" s="103"/>
    </x:row>
    <x:row r="94" ht="14.399999618530273" customHeight="1">
      <x:c r="C94" s="617"/>
      <x:c r="D94" s="610"/>
      <x:c r="E94" s="610"/>
      <x:c r="F94" s="353"/>
      <x:c r="G94" s="353"/>
      <x:c r="H94" s="353"/>
      <x:c r="I94" s="353"/>
      <x:c r="J94" s="353"/>
      <x:c r="K94" s="353"/>
      <x:c r="L94" s="354"/>
    </x:row>
    <x:row r="95" ht="14.399999618530273" customHeight="1">
      <x:c r="C95" s="640" t="s">
        <x:v>229</x:v>
      </x:c>
      <x:c r="D95" s="641"/>
      <x:c r="E95" s="642" t="n">
        <x:f>+E93/D71</x:f>
        <x:v>197.41128534363747</x:v>
      </x:c>
      <x:c r="F95" s="353"/>
      <x:c r="G95" s="353"/>
      <x:c r="H95" s="643" t="s">
        <x:v>229</x:v>
      </x:c>
      <x:c r="I95" s="641"/>
      <x:c r="J95" s="641"/>
      <x:c r="K95" s="641"/>
      <x:c r="L95" s="644" t="n">
        <x:f>+L93/D71</x:f>
        <x:v>151.24812326183493</x:v>
      </x:c>
    </x:row>
    <x:row r="96" ht="14.399999618530273" customHeight="1">
      <x:c r="C96" s="645" t="s">
        <x:v>230</x:v>
      </x:c>
      <x:c r="D96" s="646"/>
      <x:c r="E96" s="647" t="n">
        <x:f>+E95/D9-1</x:f>
        <x:v>0.23274188424901632</x:v>
      </x:c>
      <x:c r="F96" s="648"/>
      <x:c r="G96" s="353"/>
      <x:c r="H96" s="649" t="s">
        <x:v>230</x:v>
      </x:c>
      <x:c r="I96" s="646"/>
      <x:c r="J96" s="646"/>
      <x:c r="K96" s="646"/>
      <x:c r="L96" s="650" t="n">
        <x:f>+L95/D9-1</x:f>
        <x:v>-0.05552564467444143</x:v>
      </x:c>
      <x:c r="M96" s="116"/>
    </x:row>
    <x:row r="97">
      <x:c r="C97" s="362"/>
      <x:c r="D97" s="353"/>
      <x:c r="E97" s="353"/>
      <x:c r="F97" s="353"/>
      <x:c r="G97" s="353"/>
      <x:c r="H97" s="353"/>
      <x:c r="I97" s="353"/>
      <x:c r="J97" s="353"/>
      <x:c r="K97" s="353"/>
      <x:c r="L97" s="354"/>
    </x:row>
    <x:row r="98" ht="14.399999618530273" customHeight="1">
      <x:c r="C98" s="605" t="s">
        <x:v>231</x:v>
      </x:c>
      <x:c r="D98" s="606"/>
      <x:c r="E98" s="606"/>
      <x:c r="F98" s="353"/>
      <x:c r="G98" s="353"/>
      <x:c r="H98" s="607" t="s">
        <x:v>231</x:v>
      </x:c>
      <x:c r="I98" s="606"/>
      <x:c r="J98" s="606"/>
      <x:c r="K98" s="607"/>
      <x:c r="L98" s="608"/>
    </x:row>
    <x:row r="99" ht="14.399999618530273" customHeight="1">
      <x:c r="C99" s="355" t="s">
        <x:v>232</x:v>
      </x:c>
      <x:c r="D99" s="353"/>
      <x:c r="E99" s="651" t="n">
        <x:f>+E$85/$H14</x:f>
        <x:v>6.009369268038882</x:v>
      </x:c>
      <x:c r="F99" s="353"/>
      <x:c r="G99" s="353"/>
      <x:c r="H99" s="356" t="s">
        <x:v>232</x:v>
      </x:c>
      <x:c r="I99" s="353"/>
      <x:c r="J99" s="353"/>
      <x:c r="K99" s="353"/>
      <x:c r="L99" s="616" t="n">
        <x:f>+L$85/$H14</x:f>
        <x:v>4.576506318174828</x:v>
      </x:c>
    </x:row>
    <x:row r="100" ht="14.399999618530273" customHeight="1">
      <x:c r="C100" s="355" t="s">
        <x:v>233</x:v>
      </x:c>
      <x:c r="D100" s="353"/>
      <x:c r="E100" s="651" t="n">
        <x:f>+E$85/$H20</x:f>
        <x:v>20.011015272458923</x:v>
      </x:c>
      <x:c r="F100" s="353"/>
      <x:c r="G100" s="353"/>
      <x:c r="H100" s="356" t="s">
        <x:v>233</x:v>
      </x:c>
      <x:c r="I100" s="353"/>
      <x:c r="J100" s="353"/>
      <x:c r="K100" s="353"/>
      <x:c r="L100" s="616" t="n">
        <x:f>+L$85/$H20</x:f>
        <x:v>15.239625615050272</x:v>
      </x:c>
    </x:row>
    <x:row r="101" ht="14.399999618530273" customHeight="1">
      <x:c r="C101" s="455" t="s">
        <x:v>234</x:v>
      </x:c>
      <x:c r="D101" s="457"/>
      <x:c r="E101" s="652" t="n">
        <x:f>+E$85/$H23</x:f>
        <x:v>22.256923214958825</x:v>
      </x:c>
      <x:c r="F101" s="457"/>
      <x:c r="G101" s="457"/>
      <x:c r="H101" s="653" t="s">
        <x:v>234</x:v>
      </x:c>
      <x:c r="I101" s="457"/>
      <x:c r="J101" s="457"/>
      <x:c r="K101" s="457"/>
      <x:c r="L101" s="654" t="n">
        <x:f>+L$85/$H23</x:f>
        <x:v>16.950023400647513</x:v>
      </x:c>
    </x:row>
    <x:row r="103" ht="14.399999618530273" customHeight="1">
      <x:c r="C103" s="384" t="s">
        <x:v>235</x:v>
      </x:c>
      <x:c r="D103" s="565"/>
      <x:c r="E103" s="385"/>
      <x:c r="F103" s="385"/>
      <x:c r="G103" s="385"/>
      <x:c r="H103" s="385"/>
      <x:c r="I103" s="385"/>
      <x:c r="J103" s="385"/>
      <x:c r="K103" s="385"/>
      <x:c r="L103" s="460"/>
    </x:row>
    <x:row r="104" ht="14.399999618530273" customHeight="1">
      <x:c r="C104" s="585"/>
      <x:c r="D104" s="586"/>
      <x:c r="E104" s="587"/>
      <x:c r="F104" s="587"/>
      <x:c r="G104" s="587"/>
      <x:c r="H104" s="587"/>
      <x:c r="I104" s="587"/>
      <x:c r="J104" s="587"/>
      <x:c r="K104" s="587"/>
      <x:c r="L104" s="604"/>
    </x:row>
    <x:row r="105">
      <x:c r="C105" s="362"/>
      <x:c r="D105" s="353"/>
      <x:c r="E105" s="353"/>
      <x:c r="F105" s="353"/>
      <x:c r="G105" s="353"/>
      <x:c r="H105" s="353"/>
      <x:c r="I105" s="353"/>
      <x:c r="J105" s="353"/>
      <x:c r="K105" s="353"/>
      <x:c r="L105" s="354"/>
    </x:row>
    <x:row r="106" ht="14.399999618530273" customHeight="1">
      <x:c r="C106" s="389"/>
      <x:c r="D106" s="655"/>
      <x:c r="E106" s="656" t="s">
        <x:v>236</x:v>
      </x:c>
      <x:c r="F106" s="365"/>
      <x:c r="G106" s="365"/>
      <x:c r="H106" s="365"/>
      <x:c r="I106" s="365"/>
      <x:c r="J106" s="365"/>
      <x:c r="K106" s="365"/>
      <x:c r="L106" s="367"/>
    </x:row>
    <x:row r="107" ht="14.399999618530273" customHeight="1">
      <x:c r="C107" s="389"/>
      <x:c r="D107" s="657" t="s">
        <x:v>176</x:v>
      </x:c>
      <x:c r="E107" s="658" t="n">
        <x:f>E95</x:f>
        <x:v>197.41128534363747</x:v>
      </x:c>
      <x:c r="F107" s="659" t="n">
        <x:f t="shared" ref="F107:G107" si="25">+G107-0.5</x:f>
        <x:v>20.5</x:v>
      </x:c>
      <x:c r="G107" s="659">
        <x:f t="shared" si="25"/>
        <x:v>21</x:v>
      </x:c>
      <x:c r="H107" s="659" t="n">
        <x:f>+I107-0.5</x:f>
        <x:v>21.5</x:v>
      </x:c>
      <x:c r="I107" s="659">
        <x:v>22</x:v>
      </x:c>
      <x:c r="J107" s="659" t="n">
        <x:f>+I107+0.5</x:f>
        <x:v>22.5</x:v>
      </x:c>
      <x:c r="K107" s="659" t="n">
        <x:f t="shared" ref="K107:L107" si="26">+J107+0.5</x:f>
        <x:v>23</x:v>
      </x:c>
      <x:c r="L107" s="660">
        <x:f t="shared" si="26"/>
        <x:v>23.5</x:v>
      </x:c>
      <x:c r="N107" s="148"/>
      <x:c r="O107" s="148"/>
      <x:c r="P107" s="340"/>
      <x:c r="Q107" s="340"/>
      <x:c r="R107" s="340"/>
      <x:c r="S107" s="340"/>
      <x:c r="T107" s="340"/>
    </x:row>
    <x:row r="108" ht="14.399999618530273" customHeight="1">
      <x:c r="C108" s="362"/>
      <x:c r="D108" s="365"/>
      <x:c r="E108" s="661" t="n">
        <x:f t="shared" ref="E108:E109" si="27">+E109-0.5%</x:f>
        <x:v>0.09184717862576819</x:v>
      </x:c>
      <x:c r="F108" s="662" t="e">
        <x:f t="dataTable" ref="F108:L114" dt2D="1" dtr="1" r1="E78" r2="J7"/>
        <x:v>#VALUE!</x:v>
      </x:c>
      <x:c r="G108" s="662" t="e">
        <x:v>#VALUE!</x:v>
      </x:c>
      <x:c r="H108" s="662" t="e">
        <x:v>#VALUE!</x:v>
      </x:c>
      <x:c r="I108" s="662" t="e">
        <x:v>#VALUE!</x:v>
      </x:c>
      <x:c r="J108" s="662" t="e">
        <x:v>#VALUE!</x:v>
      </x:c>
      <x:c r="K108" s="662" t="e">
        <x:v>#VALUE!</x:v>
      </x:c>
      <x:c r="L108" s="663" t="e">
        <x:v>#VALUE!</x:v>
      </x:c>
      <x:c r="N108" s="148"/>
      <x:c r="O108" s="148"/>
      <x:c r="P108" s="340"/>
      <x:c r="Q108" s="340"/>
      <x:c r="R108" s="340"/>
      <x:c r="S108" s="340"/>
      <x:c r="T108" s="340"/>
    </x:row>
    <x:row r="109" ht="14.399999618530273" customHeight="1">
      <x:c r="C109" s="362"/>
      <x:c r="D109" s="365"/>
      <x:c r="E109" s="661">
        <x:f t="shared" si="27"/>
        <x:v>9.6847178625768193E-2</x:v>
      </x:c>
      <x:c r="F109" s="662" t="e">
        <x:v>#VALUE!</x:v>
      </x:c>
      <x:c r="G109" s="662" t="e">
        <x:v>#VALUE!</x:v>
      </x:c>
      <x:c r="H109" s="662" t="e">
        <x:v>#VALUE!</x:v>
      </x:c>
      <x:c r="I109" s="662" t="e">
        <x:v>#VALUE!</x:v>
      </x:c>
      <x:c r="J109" s="662" t="e">
        <x:v>#VALUE!</x:v>
      </x:c>
      <x:c r="K109" s="662" t="e">
        <x:v>#VALUE!</x:v>
      </x:c>
      <x:c r="L109" s="663" t="e">
        <x:v>#VALUE!</x:v>
      </x:c>
      <x:c r="N109" s="148"/>
      <x:c r="O109" s="148"/>
      <x:c r="P109" s="340"/>
      <x:c r="Q109" s="340"/>
      <x:c r="R109" s="340"/>
      <x:c r="S109" s="340"/>
      <x:c r="T109" s="340"/>
    </x:row>
    <x:row r="110" ht="14.399999618530273" customHeight="1">
      <x:c r="C110" s="362"/>
      <x:c r="D110" s="365"/>
      <x:c r="E110" s="661" t="n">
        <x:f>+E111-0.5%</x:f>
        <x:v>0.1018471786257682</x:v>
      </x:c>
      <x:c r="F110" s="662" t="e">
        <x:v>#VALUE!</x:v>
      </x:c>
      <x:c r="G110" s="662" t="e">
        <x:v>#VALUE!</x:v>
      </x:c>
      <x:c r="H110" s="662" t="e">
        <x:v>#VALUE!</x:v>
      </x:c>
      <x:c r="I110" s="662" t="e">
        <x:v>#VALUE!</x:v>
      </x:c>
      <x:c r="J110" s="662" t="e">
        <x:v>#VALUE!</x:v>
      </x:c>
      <x:c r="K110" s="662" t="e">
        <x:v>#VALUE!</x:v>
      </x:c>
      <x:c r="L110" s="663" t="e">
        <x:v>#VALUE!</x:v>
      </x:c>
      <x:c r="N110" s="148"/>
      <x:c r="O110" s="148"/>
      <x:c r="P110" s="340"/>
      <x:c r="Q110" s="340"/>
      <x:c r="R110" s="340"/>
      <x:c r="S110" s="340"/>
      <x:c r="T110" s="340"/>
    </x:row>
    <x:row r="111" ht="14.399999618530273" customHeight="1">
      <x:c r="C111" s="362"/>
      <x:c r="D111" s="365"/>
      <x:c r="E111" s="661">
        <x:v>0.1068471786257682</x:v>
      </x:c>
      <x:c r="F111" s="662" t="e">
        <x:v>#VALUE!</x:v>
      </x:c>
      <x:c r="G111" s="662" t="e">
        <x:v>#VALUE!</x:v>
      </x:c>
      <x:c r="H111" s="662" t="e">
        <x:v>#VALUE!</x:v>
      </x:c>
      <x:c r="I111" s="662" t="e">
        <x:v>#VALUE!</x:v>
      </x:c>
      <x:c r="J111" s="662" t="e">
        <x:v>#VALUE!</x:v>
      </x:c>
      <x:c r="K111" s="662" t="e">
        <x:v>#VALUE!</x:v>
      </x:c>
      <x:c r="L111" s="663" t="e">
        <x:v>#VALUE!</x:v>
      </x:c>
      <x:c r="N111" s="148"/>
      <x:c r="O111" s="148"/>
      <x:c r="P111" s="340"/>
      <x:c r="Q111" s="340"/>
      <x:c r="R111" s="340"/>
      <x:c r="S111" s="340"/>
      <x:c r="T111" s="340"/>
    </x:row>
    <x:row r="112" ht="14.399999618530273" customHeight="1">
      <x:c r="C112" s="362"/>
      <x:c r="D112" s="365"/>
      <x:c r="E112" s="661" t="n">
        <x:f>+E111+0.5%</x:f>
        <x:v>0.1118471786257682</x:v>
      </x:c>
      <x:c r="F112" s="662" t="e">
        <x:v>#VALUE!</x:v>
      </x:c>
      <x:c r="G112" s="662" t="e">
        <x:v>#VALUE!</x:v>
      </x:c>
      <x:c r="H112" s="662" t="e">
        <x:v>#VALUE!</x:v>
      </x:c>
      <x:c r="I112" s="662" t="e">
        <x:v>#VALUE!</x:v>
      </x:c>
      <x:c r="J112" s="662" t="e">
        <x:v>#VALUE!</x:v>
      </x:c>
      <x:c r="K112" s="662" t="e">
        <x:v>#VALUE!</x:v>
      </x:c>
      <x:c r="L112" s="663" t="e">
        <x:v>#VALUE!</x:v>
      </x:c>
      <x:c r="N112" s="148"/>
      <x:c r="O112" s="148"/>
      <x:c r="P112" s="340"/>
      <x:c r="Q112" s="340"/>
      <x:c r="R112" s="340"/>
      <x:c r="S112" s="340"/>
      <x:c r="T112" s="340"/>
    </x:row>
    <x:row r="113" ht="14.399999618530273" customHeight="1">
      <x:c r="C113" s="362"/>
      <x:c r="D113" s="365"/>
      <x:c r="E113" s="661" t="n">
        <x:f t="shared" ref="E113:E114" si="28">+E112+0.5%</x:f>
        <x:v>0.11684717862576821</x:v>
      </x:c>
      <x:c r="F113" s="662" t="e">
        <x:v>#VALUE!</x:v>
      </x:c>
      <x:c r="G113" s="662" t="e">
        <x:v>#VALUE!</x:v>
      </x:c>
      <x:c r="H113" s="662" t="e">
        <x:v>#VALUE!</x:v>
      </x:c>
      <x:c r="I113" s="662" t="e">
        <x:v>#VALUE!</x:v>
      </x:c>
      <x:c r="J113" s="662" t="e">
        <x:v>#VALUE!</x:v>
      </x:c>
      <x:c r="K113" s="662" t="e">
        <x:v>#VALUE!</x:v>
      </x:c>
      <x:c r="L113" s="663" t="e">
        <x:v>#VALUE!</x:v>
      </x:c>
      <x:c r="N113" s="148"/>
      <x:c r="O113" s="148"/>
      <x:c r="P113" s="340"/>
      <x:c r="Q113" s="340"/>
      <x:c r="R113" s="340"/>
      <x:c r="S113" s="340"/>
      <x:c r="T113" s="340"/>
    </x:row>
    <x:row r="114" ht="14.399999618530273" customHeight="1">
      <x:c r="C114" s="362"/>
      <x:c r="D114" s="365"/>
      <x:c r="E114" s="661">
        <x:f t="shared" si="28"/>
        <x:v>0.12184717862576822</x:v>
      </x:c>
      <x:c r="F114" s="662" t="e">
        <x:v>#VALUE!</x:v>
      </x:c>
      <x:c r="G114" s="662" t="e">
        <x:v>#VALUE!</x:v>
      </x:c>
      <x:c r="H114" s="662" t="e">
        <x:v>#VALUE!</x:v>
      </x:c>
      <x:c r="I114" s="662" t="e">
        <x:v>#VALUE!</x:v>
      </x:c>
      <x:c r="J114" s="662" t="e">
        <x:v>#VALUE!</x:v>
      </x:c>
      <x:c r="K114" s="662" t="e">
        <x:v>#VALUE!</x:v>
      </x:c>
      <x:c r="L114" s="663" t="e">
        <x:v>#VALUE!</x:v>
      </x:c>
      <x:c r="N114" s="148"/>
      <x:c r="O114" s="148"/>
      <x:c r="P114" s="340"/>
      <x:c r="Q114" s="340"/>
      <x:c r="R114" s="340"/>
      <x:c r="S114" s="340"/>
      <x:c r="T114" s="340"/>
    </x:row>
    <x:row r="115">
      <x:c r="C115" s="362"/>
      <x:c r="D115" s="353"/>
      <x:c r="E115" s="353"/>
      <x:c r="F115" s="353"/>
      <x:c r="G115" s="353"/>
      <x:c r="H115" s="353"/>
      <x:c r="I115" s="353"/>
      <x:c r="J115" s="353"/>
      <x:c r="K115" s="353"/>
      <x:c r="L115" s="354"/>
    </x:row>
    <x:row r="116" ht="14.399999618530273" customHeight="1">
      <x:c r="C116" s="362"/>
      <x:c r="D116" s="655"/>
      <x:c r="E116" s="656" t="s">
        <x:v>216</x:v>
      </x:c>
      <x:c r="F116" s="365"/>
      <x:c r="G116" s="365"/>
      <x:c r="H116" s="365"/>
      <x:c r="I116" s="365"/>
      <x:c r="J116" s="365"/>
      <x:c r="K116" s="365"/>
      <x:c r="L116" s="367"/>
    </x:row>
    <x:row r="117" ht="14.399999618530273" customHeight="1">
      <x:c r="C117" s="362"/>
      <x:c r="D117" s="657" t="s">
        <x:v>176</x:v>
      </x:c>
      <x:c r="E117" s="658" t="n">
        <x:f>L95</x:f>
        <x:v>151.24812326183493</x:v>
      </x:c>
      <x:c r="F117" s="664" t="n">
        <x:f t="shared" ref="F117:G117" si="29">+G117-0.5%</x:f>
        <x:v>0.045000000000000005</x:v>
      </x:c>
      <x:c r="G117" s="664">
        <x:f t="shared" si="29"/>
        <x:v>0.05</x:v>
      </x:c>
      <x:c r="H117" s="664" t="n">
        <x:f>+I117-0.5%</x:f>
        <x:v>0.055</x:v>
      </x:c>
      <x:c r="I117" s="664">
        <x:v>0.06</x:v>
      </x:c>
      <x:c r="J117" s="664" t="n">
        <x:f>+I117+0.5%</x:f>
        <x:v>0.065</x:v>
      </x:c>
      <x:c r="K117" s="664" t="n">
        <x:f t="shared" ref="K117:L117" si="30">+J117+0.5%</x:f>
        <x:v>0.07</x:v>
      </x:c>
      <x:c r="L117" s="665">
        <x:f t="shared" si="30"/>
        <x:v>7.5000000000000011E-2</x:v>
      </x:c>
    </x:row>
    <x:row r="118" ht="14.399999618530273" customHeight="1">
      <x:c r="C118" s="362"/>
      <x:c r="D118" s="365"/>
      <x:c r="E118" s="661" t="n">
        <x:f t="shared" ref="E118:E119" si="31">+E119-0.5%</x:f>
        <x:v>0.09184717862576819</x:v>
      </x:c>
      <x:c r="F118" s="662" t="e">
        <x:f t="dataTable" ref="F118:L124" dt2D="1" dtr="1" r1="L78" r2="J7" ca="1"/>
        <x:v>#VALUE!</x:v>
      </x:c>
      <x:c r="G118" s="662" t="e">
        <x:v>#VALUE!</x:v>
      </x:c>
      <x:c r="H118" s="662" t="e">
        <x:v>#VALUE!</x:v>
      </x:c>
      <x:c r="I118" s="662" t="e">
        <x:v>#VALUE!</x:v>
      </x:c>
      <x:c r="J118" s="662" t="e">
        <x:v>#VALUE!</x:v>
      </x:c>
      <x:c r="K118" s="662" t="e">
        <x:v>#VALUE!</x:v>
      </x:c>
      <x:c r="L118" s="663" t="e">
        <x:v>#VALUE!</x:v>
      </x:c>
    </x:row>
    <x:row r="119" ht="14.399999618530273" customHeight="1">
      <x:c r="C119" s="362"/>
      <x:c r="D119" s="365"/>
      <x:c r="E119" s="661">
        <x:f t="shared" si="31"/>
        <x:v>9.6847178625768193E-2</x:v>
      </x:c>
      <x:c r="F119" s="662" t="e">
        <x:v>#VALUE!</x:v>
      </x:c>
      <x:c r="G119" s="662" t="e">
        <x:v>#VALUE!</x:v>
      </x:c>
      <x:c r="H119" s="662" t="e">
        <x:v>#VALUE!</x:v>
      </x:c>
      <x:c r="I119" s="662" t="e">
        <x:v>#VALUE!</x:v>
      </x:c>
      <x:c r="J119" s="662" t="e">
        <x:v>#VALUE!</x:v>
      </x:c>
      <x:c r="K119" s="662" t="e">
        <x:v>#VALUE!</x:v>
      </x:c>
      <x:c r="L119" s="663" t="e">
        <x:v>#VALUE!</x:v>
      </x:c>
    </x:row>
    <x:row r="120" ht="14.399999618530273" customHeight="1">
      <x:c r="C120" s="362"/>
      <x:c r="D120" s="365"/>
      <x:c r="E120" s="661" t="n">
        <x:f>+E121-0.5%</x:f>
        <x:v>0.1018471786257682</x:v>
      </x:c>
      <x:c r="F120" s="662" t="e">
        <x:v>#VALUE!</x:v>
      </x:c>
      <x:c r="G120" s="662" t="e">
        <x:v>#VALUE!</x:v>
      </x:c>
      <x:c r="H120" s="662" t="e">
        <x:v>#VALUE!</x:v>
      </x:c>
      <x:c r="I120" s="662" t="e">
        <x:v>#VALUE!</x:v>
      </x:c>
      <x:c r="J120" s="662" t="e">
        <x:v>#VALUE!</x:v>
      </x:c>
      <x:c r="K120" s="662" t="e">
        <x:v>#VALUE!</x:v>
      </x:c>
      <x:c r="L120" s="663" t="e">
        <x:v>#VALUE!</x:v>
      </x:c>
    </x:row>
    <x:row r="121" ht="14.399999618530273" customHeight="1">
      <x:c r="C121" s="362"/>
      <x:c r="D121" s="365"/>
      <x:c r="E121" s="661">
        <x:v>0.1068471786257682</x:v>
      </x:c>
      <x:c r="F121" s="662" t="e">
        <x:v>#VALUE!</x:v>
      </x:c>
      <x:c r="G121" s="662" t="e">
        <x:v>#VALUE!</x:v>
      </x:c>
      <x:c r="H121" s="662" t="e">
        <x:v>#VALUE!</x:v>
      </x:c>
      <x:c r="I121" s="662" t="e">
        <x:v>#VALUE!</x:v>
      </x:c>
      <x:c r="J121" s="662" t="e">
        <x:v>#VALUE!</x:v>
      </x:c>
      <x:c r="K121" s="662" t="e">
        <x:v>#VALUE!</x:v>
      </x:c>
      <x:c r="L121" s="663" t="e">
        <x:v>#VALUE!</x:v>
      </x:c>
    </x:row>
    <x:row r="122" ht="14.399999618530273" customHeight="1">
      <x:c r="C122" s="362"/>
      <x:c r="D122" s="365"/>
      <x:c r="E122" s="661" t="n">
        <x:f t="shared" ref="E122:E124" si="32">+E121+0.5%</x:f>
        <x:v>0.1118471786257682</x:v>
      </x:c>
      <x:c r="F122" s="662" t="e">
        <x:v>#VALUE!</x:v>
      </x:c>
      <x:c r="G122" s="662" t="e">
        <x:v>#VALUE!</x:v>
      </x:c>
      <x:c r="H122" s="662" t="e">
        <x:v>#VALUE!</x:v>
      </x:c>
      <x:c r="I122" s="662" t="e">
        <x:v>#VALUE!</x:v>
      </x:c>
      <x:c r="J122" s="662" t="e">
        <x:v>#VALUE!</x:v>
      </x:c>
      <x:c r="K122" s="662" t="e">
        <x:v>#VALUE!</x:v>
      </x:c>
      <x:c r="L122" s="663" t="e">
        <x:v>#VALUE!</x:v>
      </x:c>
    </x:row>
    <x:row r="123" ht="14.399999618530273" customHeight="1">
      <x:c r="C123" s="362"/>
      <x:c r="D123" s="365"/>
      <x:c r="E123" s="661">
        <x:f t="shared" si="32"/>
        <x:v>0.11684717862576821</x:v>
      </x:c>
      <x:c r="F123" s="662" t="e">
        <x:v>#VALUE!</x:v>
      </x:c>
      <x:c r="G123" s="662" t="e">
        <x:v>#VALUE!</x:v>
      </x:c>
      <x:c r="H123" s="662" t="e">
        <x:v>#VALUE!</x:v>
      </x:c>
      <x:c r="I123" s="662" t="e">
        <x:v>#VALUE!</x:v>
      </x:c>
      <x:c r="J123" s="662" t="e">
        <x:v>#VALUE!</x:v>
      </x:c>
      <x:c r="K123" s="662" t="e">
        <x:v>#VALUE!</x:v>
      </x:c>
      <x:c r="L123" s="663" t="e">
        <x:v>#VALUE!</x:v>
      </x:c>
    </x:row>
    <x:row r="124" ht="14.399999618530273" customHeight="1">
      <x:c r="C124" s="438"/>
      <x:c r="D124" s="666"/>
      <x:c r="E124" s="667">
        <x:f t="shared" si="32"/>
        <x:v>0.12184717862576822</x:v>
      </x:c>
      <x:c r="F124" s="668" t="e">
        <x:v>#VALUE!</x:v>
      </x:c>
      <x:c r="G124" s="668" t="e">
        <x:v>#VALUE!</x:v>
      </x:c>
      <x:c r="H124" s="668" t="e">
        <x:v>#VALUE!</x:v>
      </x:c>
      <x:c r="I124" s="668" t="e">
        <x:v>#VALUE!</x:v>
      </x:c>
      <x:c r="J124" s="668" t="e">
        <x:v>#VALUE!</x:v>
      </x:c>
      <x:c r="K124" s="668" t="e">
        <x:v>#VALUE!</x:v>
      </x:c>
      <x:c r="L124" s="669" t="e">
        <x:v>#VALUE!</x:v>
      </x:c>
    </x:row>
  </x:sheetData>
  <x:mergeCells>
    <x:mergeCell ref="P107:T114"/>
    <x:mergeCell ref="E116:L116"/>
    <x:mergeCell ref="D117:D124"/>
    <x:mergeCell ref="E11:G11"/>
    <x:mergeCell ref="H11:L11"/>
    <x:mergeCell ref="E38:G38"/>
    <x:mergeCell ref="H38:L38"/>
    <x:mergeCell ref="E106:L106"/>
    <x:mergeCell ref="D107:D114"/>
  </x:mergeCells>
  <x:conditionalFormatting sqref="F108:L114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  <x:cfRule type="cellIs" dxfId="1" priority="3" operator="equal">
      <x:formula>$E$107</x:formula>
    </x:cfRule>
  </x:conditionalFormatting>
  <x:conditionalFormatting sqref="F118:L12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  <x:cfRule type="cellIs" dxfId="0" priority="4" operator="equal">
      <x:formula>$E$117</x:formula>
    </x:cfRule>
  </x:conditionalFormatting>
  <x:dataValidations count="1">
    <x:dataValidation type="list" allowBlank="1" showErrorMessage="1" sqref="J8">
      <x:formula1>"0,1"</x:formula1>
    </x:dataValidation>
  </x:dataValidations>
  <x:pageMargins left="0.7" right="0.7" top="0.75" bottom="0.75" header="0.3" footer="0.3"/>
  <x:legacyDrawing xmlns:r="http://schemas.openxmlformats.org/officeDocument/2006/relationships" r:id="R3f332edbf4ab4a7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4.44140625" defaultRowHeight="14.399999618530273"/>
  <x:cols>
    <x:col min="1" max="1" width="1.6640625" style="30" customWidth="1"/>
    <x:col min="2" max="2" width="2.6640625" style="30" customWidth="1"/>
    <x:col min="3" max="3" width="45.6640625" style="30" customWidth="1"/>
    <x:col min="4" max="12" width="12.5546875" style="30" customWidth="1"/>
    <x:col min="13" max="13" width="2.6640625" style="30" customWidth="1"/>
    <x:col min="14" max="26" width="8.6640625" style="30" customWidth="1"/>
    <x:col min="27" max="16384" width="14.44140625" style="30" customWidth="0"/>
  </x:cols>
  <x:sheetData>
    <x:row r="2" ht="18" customHeight="1">
      <x:c r="C2" s="346" t="str">
        <x:f>"WACC Build For "&amp;D5</x:f>
        <x:v>WACC Build For Keysight Technologies, Inc.</x:v>
      </x:c>
      <x:c r="D2" s="559"/>
      <x:c r="E2" s="347"/>
      <x:c r="F2" s="347"/>
      <x:c r="G2" s="347"/>
      <x:c r="H2" s="347"/>
      <x:c r="I2" s="347"/>
      <x:c r="J2" s="347"/>
      <x:c r="K2" s="347"/>
      <x:c r="L2" s="348"/>
    </x:row>
    <x:row r="3" ht="14.399999618530273" customHeight="1">
      <x:c r="C3" s="349" t="s">
        <x:v>31</x:v>
      </x:c>
      <x:c r="D3" s="560"/>
      <x:c r="E3" s="350"/>
      <x:c r="F3" s="350"/>
      <x:c r="G3" s="350"/>
      <x:c r="H3" s="350"/>
      <x:c r="I3" s="350"/>
      <x:c r="J3" s="561" t="s">
        <x:v>173</x:v>
      </x:c>
      <x:c r="K3" s="350"/>
      <x:c r="L3" s="351"/>
    </x:row>
    <x:row r="4" ht="14.399999618530273" customHeight="1">
      <x:c r="C4" s="352"/>
      <x:c r="D4" s="562"/>
      <x:c r="E4" s="353"/>
      <x:c r="F4" s="353"/>
      <x:c r="G4" s="353"/>
      <x:c r="H4" s="353"/>
      <x:c r="I4" s="353"/>
      <x:c r="J4" s="670"/>
      <x:c r="K4" s="353"/>
      <x:c r="L4" s="354"/>
    </x:row>
    <x:row r="5" ht="14.399999618530273" customHeight="1">
      <x:c r="C5" s="355" t="s">
        <x:v>1</x:v>
      </x:c>
      <x:c r="D5" s="450" t="str">
        <x:f>'Revenue Build &amp; Growth Drivers'!D5</x:f>
        <x:v>Keysight Technologies, Inc.</x:v>
      </x:c>
      <x:c r="E5" s="353"/>
      <x:c r="F5" s="353"/>
      <x:c r="G5" s="356" t="s">
        <x:v>174</x:v>
      </x:c>
      <x:c r="H5" s="353"/>
      <x:c r="I5" s="353"/>
      <x:c r="J5" s="671" t="n">
        <x:f>+'Integrated DCF Model'!D66</x:f>
        <x:v>175044.604</x:v>
      </x:c>
      <x:c r="K5" s="353"/>
      <x:c r="L5" s="354"/>
    </x:row>
    <x:row r="6" ht="14.399999618530273" customHeight="1">
      <x:c r="C6" s="355" t="s">
        <x:v>3</x:v>
      </x:c>
      <x:c r="D6" s="452" t="str">
        <x:f>'Revenue Build &amp; Growth Drivers'!D6</x:f>
        <x:v>KEYS</x:v>
      </x:c>
      <x:c r="E6" s="353"/>
      <x:c r="F6" s="353"/>
      <x:c r="G6" s="356" t="s">
        <x:v>175</x:v>
      </x:c>
      <x:c r="H6" s="353"/>
      <x:c r="I6" s="353"/>
      <x:c r="J6" s="671" t="n">
        <x:f>+'Integrated DCF Model'!D71</x:f>
        <x:v>178193.604</x:v>
      </x:c>
      <x:c r="K6" s="353"/>
      <x:c r="L6" s="354"/>
    </x:row>
    <x:row r="7" ht="14.399999618530273" customHeight="1">
      <x:c r="C7" s="355" t="s">
        <x:v>5</x:v>
      </x:c>
      <x:c r="D7" s="453" t="n">
        <x:f>'Revenue Build &amp; Growth Drivers'!D7</x:f>
        <x:v>45394</x:v>
      </x:c>
      <x:c r="E7" s="353"/>
      <x:c r="F7" s="353"/>
      <x:c r="G7" s="356"/>
      <x:c r="H7" s="353"/>
      <x:c r="I7" s="353"/>
      <x:c r="J7" s="672"/>
      <x:c r="K7" s="353"/>
      <x:c r="L7" s="354"/>
    </x:row>
    <x:row r="8" ht="14.399999618530273" customHeight="1">
      <x:c r="C8" s="355" t="s">
        <x:v>6</x:v>
      </x:c>
      <x:c r="D8" s="453" t="n">
        <x:f>'Revenue Build &amp; Growth Drivers'!D8</x:f>
        <x:v>45393</x:v>
      </x:c>
      <x:c r="E8" s="353"/>
      <x:c r="F8" s="353"/>
      <x:c r="G8" s="356"/>
      <x:c r="H8" s="356"/>
      <x:c r="I8" s="356"/>
      <x:c r="J8" s="353"/>
      <x:c r="K8" s="353"/>
      <x:c r="L8" s="354"/>
    </x:row>
    <x:row r="9" ht="14.399999618530273" customHeight="1">
      <x:c r="C9" s="455" t="s">
        <x:v>7</x:v>
      </x:c>
      <x:c r="D9" s="456" t="n">
        <x:f>'Revenue Build &amp; Growth Drivers'!D9</x:f>
        <x:v>160.14</x:v>
      </x:c>
      <x:c r="E9" s="457"/>
      <x:c r="F9" s="457"/>
      <x:c r="G9" s="457"/>
      <x:c r="H9" s="457"/>
      <x:c r="I9" s="457"/>
      <x:c r="J9" s="457"/>
      <x:c r="K9" s="457"/>
      <x:c r="L9" s="459"/>
    </x:row>
    <x:row r="11" ht="14.399999618530273" customHeight="1">
      <x:c r="C11" s="384" t="s">
        <x:v>237</x:v>
      </x:c>
      <x:c r="D11" s="602"/>
      <x:c r="F11" s="384" t="s">
        <x:v>238</x:v>
      </x:c>
      <x:c r="G11" s="676"/>
      <x:c r="H11" s="676"/>
      <x:c r="I11" s="676"/>
      <x:c r="J11" s="676"/>
      <x:c r="K11" s="676"/>
      <x:c r="L11" s="677"/>
    </x:row>
    <x:row r="12" ht="14.399999618530273" customHeight="1">
      <x:c r="C12" s="585"/>
      <x:c r="D12" s="603"/>
      <x:c r="F12" s="585"/>
      <x:c r="G12" s="586"/>
      <x:c r="H12" s="586"/>
      <x:c r="I12" s="586"/>
      <x:c r="J12" s="586"/>
      <x:c r="K12" s="586"/>
      <x:c r="L12" s="603"/>
    </x:row>
    <x:row r="13">
      <x:c r="C13" s="362"/>
      <x:c r="D13" s="354"/>
      <x:c r="F13" s="362"/>
      <x:c r="G13" s="353"/>
      <x:c r="H13" s="353"/>
      <x:c r="I13" s="353"/>
      <x:c r="J13" s="353"/>
      <x:c r="K13" s="353"/>
      <x:c r="L13" s="354"/>
    </x:row>
    <x:row r="14" ht="14.399999618530273" customHeight="1">
      <x:c r="C14" s="362" t="s">
        <x:v>239</x:v>
      </x:c>
      <x:c r="D14" s="584" t="n">
        <x:f>+'Financial Statement Model'!F195</x:f>
        <x:v>0</x:v>
      </x:c>
      <x:c r="F14" s="605" t="str">
        <x:f>D5&amp;" ("&amp;D6&amp;")"</x:f>
        <x:v>Keysight Technologies, Inc. (KEYS)</x:v>
      </x:c>
      <x:c r="G14" s="606"/>
      <x:c r="H14" s="606"/>
      <x:c r="I14" s="353"/>
      <x:c r="J14" s="607" t="s">
        <x:v>240</x:v>
      </x:c>
      <x:c r="K14" s="606"/>
      <x:c r="L14" s="608"/>
    </x:row>
    <x:row r="15" ht="14.399999618530273" customHeight="1">
      <x:c r="C15" s="362" t="s">
        <x:v>241</x:v>
      </x:c>
      <x:c r="D15" s="584" t="n">
        <x:f>+'Financial Statement Model'!F202</x:f>
        <x:v>78000</x:v>
      </x:c>
      <x:c r="F15" s="678" t="s">
        <x:v>242</x:v>
      </x:c>
      <x:c r="G15" s="679" t="s">
        <x:v>243</x:v>
      </x:c>
      <x:c r="H15" s="679" t="s">
        <x:v>244</x:v>
      </x:c>
      <x:c r="I15" s="353"/>
      <x:c r="J15" s="679" t="s">
        <x:v>242</x:v>
      </x:c>
      <x:c r="K15" s="679" t="s">
        <x:v>243</x:v>
      </x:c>
      <x:c r="L15" s="680" t="s">
        <x:v>244</x:v>
      </x:c>
    </x:row>
    <x:row r="16" ht="14.399999618530273" customHeight="1">
      <x:c r="C16" s="389" t="s">
        <x:v>245</x:v>
      </x:c>
      <x:c r="D16" s="397" t="n">
        <x:f>SUM(D14:D15)</x:f>
        <x:v>78000</x:v>
      </x:c>
      <x:c r="F16" s="681">
        <x:v>44317</x:v>
      </x:c>
      <x:c r="G16" s="682">
        <x:v>142.38000500000001</x:v>
      </x:c>
      <x:c r="H16" s="683"/>
      <x:c r="I16" s="353"/>
      <x:c r="J16" s="684">
        <x:v>44317</x:v>
      </x:c>
      <x:c r="K16" s="682">
        <x:v>4204.1098629999997</x:v>
      </x:c>
      <x:c r="L16" s="685"/>
    </x:row>
    <x:row r="17" ht="14.399999618530273" customHeight="1">
      <x:c r="C17" s="362"/>
      <x:c r="D17" s="395"/>
      <x:c r="F17" s="681">
        <x:v>44348</x:v>
      </x:c>
      <x:c r="G17" s="682">
        <x:v>154.41000399999999</x:v>
      </x:c>
      <x:c r="H17" s="686" t="n">
        <x:f>+G17/G16-1</x:f>
        <x:v>0.0844921939706349</x:v>
      </x:c>
      <x:c r="I17" s="353"/>
      <x:c r="J17" s="684">
        <x:v>44348</x:v>
      </x:c>
      <x:c r="K17" s="682">
        <x:v>4297.5</x:v>
      </x:c>
      <x:c r="L17" s="687" t="n">
        <x:f>+K17/K16-1</x:f>
        <x:v>0.022214009634219822</x:v>
      </x:c>
    </x:row>
    <x:row r="18" ht="14.399999618530273" customHeight="1">
      <x:c r="C18" s="355" t="s">
        <x:v>143</x:v>
      </x:c>
      <x:c r="D18" s="584" t="n">
        <x:f>+AVERAGE('Financial Statement Model'!E192:F192)</x:f>
        <x:v>0</x:v>
      </x:c>
      <x:c r="F18" s="681">
        <x:v>44378</x:v>
      </x:c>
      <x:c r="G18" s="682">
        <x:v>164.550003</x:v>
      </x:c>
      <x:c r="H18" s="686" t="n">
        <x:f t="shared" ref="H18:H51" si="0">+G18/G17-1</x:f>
        <x:v>0.06566931375767604</x:v>
      </x:c>
      <x:c r="I18" s="353"/>
      <x:c r="J18" s="684">
        <x:v>44378</x:v>
      </x:c>
      <x:c r="K18" s="682">
        <x:v>4395.2597660000001</x:v>
      </x:c>
      <x:c r="L18" s="687" t="n">
        <x:f t="shared" ref="L18:L51" si="1">+K18/K17-1</x:f>
        <x:v>0.022748054915648686</x:v>
      </x:c>
    </x:row>
    <x:row r="19" ht="14.399999618530273" customHeight="1">
      <x:c r="C19" s="362" t="s">
        <x:v>246</x:v>
      </x:c>
      <x:c r="D19" s="584" t="n">
        <x:f>+AVERAGE('Financial Statement Model'!E200:F200)</x:f>
        <x:v>299500</x:v>
      </x:c>
      <x:c r="F19" s="681">
        <x:v>44409</x:v>
      </x:c>
      <x:c r="G19" s="682">
        <x:v>179.38000500000001</x:v>
      </x:c>
      <x:c r="H19" s="686">
        <x:f t="shared" si="0"/>
        <x:v>9.0124592705112194E-2</x:v>
      </x:c>
      <x:c r="I19" s="353"/>
      <x:c r="J19" s="684">
        <x:v>44409</x:v>
      </x:c>
      <x:c r="K19" s="682">
        <x:v>4522.6801759999998</x:v>
      </x:c>
      <x:c r="L19" s="687">
        <x:f t="shared" si="1"/>
        <x:v>2.8990416217415271E-2</x:v>
      </x:c>
    </x:row>
    <x:row r="20" ht="14.399999618530273" customHeight="1">
      <x:c r="C20" s="362" t="s">
        <x:v>247</x:v>
      </x:c>
      <x:c r="D20" s="584" t="n">
        <x:f>+AVERAGE('Financial Statement Model'!E201:F201)</x:f>
        <x:v>1494000</x:v>
      </x:c>
      <x:c r="F20" s="681">
        <x:v>44440</x:v>
      </x:c>
      <x:c r="G20" s="682">
        <x:v>164.28999300000001</x:v>
      </x:c>
      <x:c r="H20" s="686">
        <x:f t="shared" si="0"/>
        <x:v>-8.4123155197815991E-2</x:v>
      </x:c>
      <x:c r="I20" s="353"/>
      <x:c r="J20" s="684">
        <x:v>44440</x:v>
      </x:c>
      <x:c r="K20" s="682">
        <x:v>4307.5400390000004</x:v>
      </x:c>
      <x:c r="L20" s="687">
        <x:f t="shared" si="1"/>
        <x:v>-4.7569168861786748E-2</x:v>
      </x:c>
    </x:row>
    <x:row r="21" ht="14.399999618530273" customHeight="1">
      <x:c r="C21" s="389" t="s">
        <x:v>248</x:v>
      </x:c>
      <x:c r="D21" s="397" t="n">
        <x:f>SUM(D18:D20)</x:f>
        <x:v>1793500</x:v>
      </x:c>
      <x:c r="F21" s="681">
        <x:v>44470</x:v>
      </x:c>
      <x:c r="G21" s="682">
        <x:v>180.020004</x:v>
      </x:c>
      <x:c r="H21" s="686">
        <x:f t="shared" si="0"/>
        <x:v>9.5745399416993004E-2</x:v>
      </x:c>
      <x:c r="I21" s="353"/>
      <x:c r="J21" s="684">
        <x:v>44470</x:v>
      </x:c>
      <x:c r="K21" s="682">
        <x:v>4605.3798829999996</x:v>
      </x:c>
      <x:c r="L21" s="687">
        <x:f t="shared" si="1"/>
        <x:v>6.9143836459647501E-2</x:v>
      </x:c>
    </x:row>
    <x:row r="22" ht="14.399999618530273" customHeight="1">
      <x:c r="C22" s="362"/>
      <x:c r="D22" s="354"/>
      <x:c r="F22" s="681">
        <x:v>44501</x:v>
      </x:c>
      <x:c r="G22" s="682">
        <x:v>194.479996</x:v>
      </x:c>
      <x:c r="H22" s="686">
        <x:f t="shared" si="0"/>
        <x:v>8.0324362174772457E-2</x:v>
      </x:c>
      <x:c r="I22" s="353"/>
      <x:c r="J22" s="684">
        <x:v>44501</x:v>
      </x:c>
      <x:c r="K22" s="682">
        <x:v>4567</x:v>
      </x:c>
      <x:c r="L22" s="687">
        <x:f t="shared" si="1"/>
        <x:v>-8.3337062251199745E-3</x:v>
      </x:c>
    </x:row>
    <x:row r="23" ht="14.399999618530273" customHeight="1">
      <x:c r="C23" s="355" t="s">
        <x:v>249</x:v>
      </x:c>
      <x:c r="D23" s="673" t="n">
        <x:f>+D16/D21</x:f>
        <x:v>0.04349038193476443</x:v>
      </x:c>
      <x:c r="F23" s="681">
        <x:v>44531</x:v>
      </x:c>
      <x:c r="G23" s="682">
        <x:v>206.509995</x:v>
      </x:c>
      <x:c r="H23" s="686">
        <x:f t="shared" si="0"/>
        <x:v>6.1857256517014791E-2</x:v>
      </x:c>
      <x:c r="I23" s="353"/>
      <x:c r="J23" s="684">
        <x:v>44531</x:v>
      </x:c>
      <x:c r="K23" s="682">
        <x:v>4766.1801759999998</x:v>
      </x:c>
      <x:c r="L23" s="687">
        <x:f t="shared" si="1"/>
        <x:v>4.361291350996277E-2</x:v>
      </x:c>
    </x:row>
    <x:row r="24" ht="14.399999618530273" customHeight="1">
      <x:c r="C24" s="355" t="s">
        <x:v>58</x:v>
      </x:c>
      <x:c r="D24" s="674" t="n">
        <x:f>+IF('Financial Statement Model'!F41&lt;0,AVERAGEIFS('Financial Statement Model'!D41:F41,'Financial Statement Model'!D41:F41,"&gt;0"),'Financial Statement Model'!F41)</x:f>
        <x:v>0.2210759027266028</x:v>
      </x:c>
      <x:c r="F24" s="681">
        <x:v>44562</x:v>
      </x:c>
      <x:c r="G24" s="682">
        <x:v>168.820007</x:v>
      </x:c>
      <x:c r="H24" s="686">
        <x:f t="shared" si="0"/>
        <x:v>-0.1825092678928204</x:v>
      </x:c>
      <x:c r="I24" s="353"/>
      <x:c r="J24" s="684">
        <x:v>44562</x:v>
      </x:c>
      <x:c r="K24" s="682">
        <x:v>4515.5498049999997</x:v>
      </x:c>
      <x:c r="L24" s="687">
        <x:f t="shared" si="1"/>
        <x:v>-5.258516500531063E-2</x:v>
      </x:c>
    </x:row>
    <x:row r="25" ht="14.399999618530273" customHeight="1">
      <x:c r="C25" s="362"/>
      <x:c r="D25" s="354"/>
      <x:c r="F25" s="681">
        <x:v>44593</x:v>
      </x:c>
      <x:c r="G25" s="682">
        <x:v>157.36999499999999</x:v>
      </x:c>
      <x:c r="H25" s="686">
        <x:f t="shared" si="0"/>
        <x:v>-6.7823785838369344E-2</x:v>
      </x:c>
      <x:c r="I25" s="353"/>
      <x:c r="J25" s="684">
        <x:v>44593</x:v>
      </x:c>
      <x:c r="K25" s="682">
        <x:v>4373.9399409999996</x:v>
      </x:c>
      <x:c r="L25" s="687">
        <x:f t="shared" si="1"/>
        <x:v>-3.1360492102910142E-2</x:v>
      </x:c>
    </x:row>
    <x:row r="26" ht="14.399999618530273" customHeight="1">
      <x:c r="C26" s="515" t="s">
        <x:v>250</x:v>
      </x:c>
      <x:c r="D26" s="675" t="n">
        <x:f>+D23*(1-D24)</x:f>
        <x:v>0.03387570648861164</x:v>
      </x:c>
      <x:c r="F26" s="681">
        <x:v>44621</x:v>
      </x:c>
      <x:c r="G26" s="682">
        <x:v>157.970001</x:v>
      </x:c>
      <x:c r="H26" s="686">
        <x:f t="shared" si="0"/>
        <x:v>3.8127090237247696E-3</x:v>
      </x:c>
      <x:c r="I26" s="353"/>
      <x:c r="J26" s="684">
        <x:v>44621</x:v>
      </x:c>
      <x:c r="K26" s="682">
        <x:v>4530.4101559999999</x:v>
      </x:c>
      <x:c r="L26" s="687">
        <x:f t="shared" si="1"/>
        <x:v>3.5773288410591908E-2</x:v>
      </x:c>
    </x:row>
    <x:row r="27" ht="14.399999618530273" customHeight="1">
      <x:c r="F27" s="681">
        <x:v>44652</x:v>
      </x:c>
      <x:c r="G27" s="682">
        <x:v>140.270004</x:v>
      </x:c>
      <x:c r="H27" s="686">
        <x:f t="shared" si="0"/>
        <x:v>-0.11204657142465924</x:v>
      </x:c>
      <x:c r="I27" s="353"/>
      <x:c r="J27" s="684">
        <x:v>44652</x:v>
      </x:c>
      <x:c r="K27" s="682">
        <x:v>4131.9301759999998</x:v>
      </x:c>
      <x:c r="L27" s="687">
        <x:f t="shared" si="1"/>
        <x:v>-8.7956711705729274E-2</x:v>
      </x:c>
    </x:row>
    <x:row r="28" ht="14.399999618530273" customHeight="1">
      <x:c r="C28" s="384" t="s">
        <x:v>251</x:v>
      </x:c>
      <x:c r="D28" s="602"/>
      <x:c r="F28" s="681">
        <x:v>44682</x:v>
      </x:c>
      <x:c r="G28" s="682">
        <x:v>145.60000600000001</x:v>
      </x:c>
      <x:c r="H28" s="686">
        <x:f t="shared" si="0"/>
        <x:v>3.799815960652575E-2</x:v>
      </x:c>
      <x:c r="I28" s="353"/>
      <x:c r="J28" s="684">
        <x:v>44682</x:v>
      </x:c>
      <x:c r="K28" s="682">
        <x:v>4132.1499020000001</x:v>
      </x:c>
      <x:c r="L28" s="687">
        <x:f t="shared" si="1"/>
        <x:v>5.3177568506868056E-5</x:v>
      </x:c>
    </x:row>
    <x:row r="29" ht="14.399999618530273" customHeight="1">
      <x:c r="C29" s="585"/>
      <x:c r="D29" s="603"/>
      <x:c r="F29" s="681">
        <x:v>44713</x:v>
      </x:c>
      <x:c r="G29" s="682">
        <x:v>137.85000600000001</x:v>
      </x:c>
      <x:c r="H29" s="686">
        <x:f t="shared" si="0"/>
        <x:v>-5.3228019784559599E-2</x:v>
      </x:c>
      <x:c r="I29" s="353"/>
      <x:c r="J29" s="684">
        <x:v>44713</x:v>
      </x:c>
      <x:c r="K29" s="682">
        <x:v>3785.3798830000001</x:v>
      </x:c>
      <x:c r="L29" s="687">
        <x:f t="shared" si="1"/>
        <x:v>-8.3919999812243073E-2</x:v>
      </x:c>
    </x:row>
    <x:row r="30" ht="14.399999618530273" customHeight="1">
      <x:c r="C30" s="362"/>
      <x:c r="D30" s="354"/>
      <x:c r="F30" s="681">
        <x:v>44743</x:v>
      </x:c>
      <x:c r="G30" s="682">
        <x:v>162.60000600000001</x:v>
      </x:c>
      <x:c r="H30" s="686">
        <x:f t="shared" si="0"/>
        <x:v>0.17954297368692163</x:v>
      </x:c>
      <x:c r="I30" s="353"/>
      <x:c r="J30" s="684">
        <x:v>44743</x:v>
      </x:c>
      <x:c r="K30" s="682">
        <x:v>4130.2900390000004</x:v>
      </x:c>
      <x:c r="L30" s="687">
        <x:f t="shared" si="1"/>
        <x:v>9.1116391659653351E-2</x:v>
      </x:c>
    </x:row>
    <x:row r="31" ht="14.399999618530273" customHeight="1">
      <x:c r="C31" s="355" t="s">
        <x:v>252</x:v>
      </x:c>
      <x:c r="D31" s="692">
        <x:v>5.5E-2</x:v>
      </x:c>
      <x:c r="F31" s="681">
        <x:v>44774</x:v>
      </x:c>
      <x:c r="G31" s="682">
        <x:v>163.88999899999999</x:v>
      </x:c>
      <x:c r="H31" s="686">
        <x:f t="shared" si="0"/>
        <x:v>7.9335359926122617E-3</x:v>
      </x:c>
      <x:c r="I31" s="353"/>
      <x:c r="J31" s="684">
        <x:v>44774</x:v>
      </x:c>
      <x:c r="K31" s="682">
        <x:v>3955</x:v>
      </x:c>
      <x:c r="L31" s="687">
        <x:f t="shared" si="1"/>
        <x:v>-4.2440128258508625E-2</x:v>
      </x:c>
    </x:row>
    <x:row r="32" ht="14.399999618530273" customHeight="1">
      <x:c r="C32" s="355" t="s">
        <x:v>253</x:v>
      </x:c>
      <x:c r="D32" s="692">
        <x:v>4.5600000000000002E-2</x:v>
      </x:c>
      <x:c r="F32" s="681">
        <x:v>44805</x:v>
      </x:c>
      <x:c r="G32" s="682">
        <x:v>157.36000100000001</x:v>
      </x:c>
      <x:c r="H32" s="686">
        <x:f t="shared" si="0"/>
        <x:v>-3.9843785708974067E-2</x:v>
      </x:c>
      <x:c r="I32" s="353"/>
      <x:c r="J32" s="684">
        <x:v>44805</x:v>
      </x:c>
      <x:c r="K32" s="682">
        <x:v>3585.6201169999999</x:v>
      </x:c>
      <x:c r="L32" s="687">
        <x:f t="shared" si="1"/>
        <x:v>-9.3395672060682666E-2</x:v>
      </x:c>
    </x:row>
    <x:row r="33" ht="14.399999618530273" customHeight="1">
      <x:c r="C33" s="355" t="s">
        <x:v>254</x:v>
      </x:c>
      <x:c r="D33" s="693" t="n">
        <x:f>+L52</x:f>
        <x:v>1.1969956037075207</x:v>
      </x:c>
      <x:c r="F33" s="681">
        <x:v>44835</x:v>
      </x:c>
      <x:c r="G33" s="682">
        <x:v>174.14999399999999</x:v>
      </x:c>
      <x:c r="H33" s="686">
        <x:f t="shared" si="0"/>
        <x:v>0.10669797212316978</x:v>
      </x:c>
      <x:c r="I33" s="353"/>
      <x:c r="J33" s="684">
        <x:v>44835</x:v>
      </x:c>
      <x:c r="K33" s="682">
        <x:v>3871.9799800000001</x:v>
      </x:c>
      <x:c r="L33" s="687">
        <x:f t="shared" si="1"/>
        <x:v>7.9863413762746971E-2</x:v>
      </x:c>
    </x:row>
    <x:row r="34" ht="14.399999618530273" customHeight="1">
      <x:c r="C34" s="362"/>
      <x:c r="D34" s="354"/>
      <x:c r="F34" s="681">
        <x:v>44866</x:v>
      </x:c>
      <x:c r="G34" s="682">
        <x:v>180.88999899999999</x:v>
      </x:c>
      <x:c r="H34" s="686">
        <x:f t="shared" si="0"/>
        <x:v>3.8702298203926455E-2</x:v>
      </x:c>
      <x:c r="I34" s="353"/>
      <x:c r="J34" s="684">
        <x:v>44866</x:v>
      </x:c>
      <x:c r="K34" s="682">
        <x:v>4080.110107</x:v>
      </x:c>
      <x:c r="L34" s="687">
        <x:f t="shared" si="1"/>
        <x:v>5.3752893371106669E-2</x:v>
      </x:c>
    </x:row>
    <x:row r="35" ht="14.399999618530273" customHeight="1">
      <x:c r="C35" s="515" t="s">
        <x:v>255</x:v>
      </x:c>
      <x:c r="D35" s="675" t="n">
        <x:f>+D32+D33*D31</x:f>
        <x:v>0.11143475820391364</x:v>
      </x:c>
      <x:c r="F35" s="681">
        <x:v>44896</x:v>
      </x:c>
      <x:c r="G35" s="682">
        <x:v>171.070007</x:v>
      </x:c>
      <x:c r="H35" s="686">
        <x:f t="shared" si="0"/>
        <x:v>-5.428709190274239E-2</x:v>
      </x:c>
      <x:c r="I35" s="353"/>
      <x:c r="J35" s="684">
        <x:v>44896</x:v>
      </x:c>
      <x:c r="K35" s="682">
        <x:v>3839.5</x:v>
      </x:c>
      <x:c r="L35" s="687">
        <x:f t="shared" si="1"/>
        <x:v>-5.8971473977430078E-2</x:v>
      </x:c>
    </x:row>
    <x:row r="36" ht="14.399999618530273" customHeight="1">
      <x:c r="F36" s="681">
        <x:v>44927</x:v>
      </x:c>
      <x:c r="G36" s="682">
        <x:v>179.35000600000001</x:v>
      </x:c>
      <x:c r="H36" s="686">
        <x:f t="shared" si="0"/>
        <x:v>4.8401231432696479E-2</x:v>
      </x:c>
      <x:c r="I36" s="353"/>
      <x:c r="J36" s="684">
        <x:v>44927</x:v>
      </x:c>
      <x:c r="K36" s="682">
        <x:v>4076.6000979999999</x:v>
      </x:c>
      <x:c r="L36" s="687">
        <x:f t="shared" si="1"/>
        <x:v>6.1752857924208815E-2</x:v>
      </x:c>
    </x:row>
    <x:row r="37" ht="14.399999618530273" customHeight="1">
      <x:c r="C37" s="384" t="s">
        <x:v>256</x:v>
      </x:c>
      <x:c r="D37" s="602"/>
      <x:c r="F37" s="681">
        <x:v>44958</x:v>
      </x:c>
      <x:c r="G37" s="682">
        <x:v>159.96000699999999</x:v>
      </x:c>
      <x:c r="H37" s="686">
        <x:f t="shared" si="0"/>
        <x:v>-0.10811261974532649</x:v>
      </x:c>
      <x:c r="I37" s="353"/>
      <x:c r="J37" s="684">
        <x:v>44958</x:v>
      </x:c>
      <x:c r="K37" s="682">
        <x:v>3970.1499020000001</x:v>
      </x:c>
      <x:c r="L37" s="687">
        <x:f t="shared" si="1"/>
        <x:v>-2.6112494098262107E-2</x:v>
      </x:c>
    </x:row>
    <x:row r="38" ht="14.399999618530273" customHeight="1">
      <x:c r="C38" s="585"/>
      <x:c r="D38" s="603"/>
      <x:c r="F38" s="681">
        <x:v>44986</x:v>
      </x:c>
      <x:c r="G38" s="682">
        <x:v>161.479996</x:v>
      </x:c>
      <x:c r="H38" s="686">
        <x:f t="shared" si="0"/>
        <x:v>9.502306410876793E-3</x:v>
      </x:c>
      <x:c r="I38" s="353"/>
      <x:c r="J38" s="684">
        <x:v>44986</x:v>
      </x:c>
      <x:c r="K38" s="682">
        <x:v>4109.3100590000004</x:v>
      </x:c>
      <x:c r="L38" s="687">
        <x:f t="shared" si="1"/>
        <x:v>3.5051612769053664E-2</x:v>
      </x:c>
    </x:row>
    <x:row r="39" ht="14.399999618530273" customHeight="1">
      <x:c r="C39" s="362"/>
      <x:c r="D39" s="354"/>
      <x:c r="F39" s="681">
        <x:v>45017</x:v>
      </x:c>
      <x:c r="G39" s="682">
        <x:v>144.63999899999999</x:v>
      </x:c>
      <x:c r="H39" s="686">
        <x:f t="shared" si="0"/>
        <x:v>-0.10428534442123727</x:v>
      </x:c>
      <x:c r="I39" s="353"/>
      <x:c r="J39" s="684">
        <x:v>45017</x:v>
      </x:c>
      <x:c r="K39" s="682">
        <x:v>4169.4799800000001</x:v>
      </x:c>
      <x:c r="L39" s="687">
        <x:f t="shared" si="1"/>
        <x:v>1.4642341448102281E-2</x:v>
      </x:c>
    </x:row>
    <x:row r="40" ht="14.399999618530273" customHeight="1">
      <x:c r="C40" s="362" t="s">
        <x:v>248</x:v>
      </x:c>
      <x:c r="D40" s="584" t="n">
        <x:f>+'Financial Statement Model'!F192+'Financial Statement Model'!F200+'Financial Statement Model'!F201</x:f>
        <x:v>1794000</x:v>
      </x:c>
      <x:c r="F40" s="681">
        <x:v>45047</x:v>
      </x:c>
      <x:c r="G40" s="682">
        <x:v>161.800003</x:v>
      </x:c>
      <x:c r="H40" s="686">
        <x:f t="shared" si="0"/>
        <x:v>0.11863940900608005</x:v>
      </x:c>
      <x:c r="I40" s="353"/>
      <x:c r="J40" s="684">
        <x:v>45047</x:v>
      </x:c>
      <x:c r="K40" s="682">
        <x:v>4179.830078</x:v>
      </x:c>
      <x:c r="L40" s="687">
        <x:f t="shared" si="1"/>
        <x:v>2.4823474509163557E-3</x:v>
      </x:c>
    </x:row>
    <x:row r="41" ht="14.399999618530273" customHeight="1">
      <x:c r="C41" s="355" t="s">
        <x:v>257</x:v>
      </x:c>
      <x:c r="D41" s="673" t="n">
        <x:f>+D40/(D40+D42)</x:f>
        <x:v>0.05914950578541344</x:v>
      </x:c>
      <x:c r="F41" s="681">
        <x:v>45078</x:v>
      </x:c>
      <x:c r="G41" s="682">
        <x:v>167.449997</x:v>
      </x:c>
      <x:c r="H41" s="686">
        <x:f t="shared" si="0"/>
        <x:v>3.4919616163418654E-2</x:v>
      </x:c>
      <x:c r="I41" s="353"/>
      <x:c r="J41" s="684">
        <x:v>45078</x:v>
      </x:c>
      <x:c r="K41" s="682">
        <x:v>4450.3798829999996</x:v>
      </x:c>
      <x:c r="L41" s="687">
        <x:f t="shared" si="1"/>
        <x:v>6.4727464980933958E-2</x:v>
      </x:c>
    </x:row>
    <x:row r="42" ht="14.399999618530273" customHeight="1">
      <x:c r="C42" s="362" t="s">
        <x:v>258</x:v>
      </x:c>
      <x:c r="D42" s="395" t="n">
        <x:f>+D9*J6</x:f>
        <x:v>28535923.744559996</x:v>
      </x:c>
      <x:c r="F42" s="681">
        <x:v>45108</x:v>
      </x:c>
      <x:c r="G42" s="682">
        <x:v>161.08000200000001</x:v>
      </x:c>
      <x:c r="H42" s="686">
        <x:f t="shared" si="0"/>
        <x:v>-3.8041177152126182E-2</x:v>
      </x:c>
      <x:c r="I42" s="353"/>
      <x:c r="J42" s="684">
        <x:v>45108</x:v>
      </x:c>
      <x:c r="K42" s="682">
        <x:v>4588.9599609999996</x:v>
      </x:c>
      <x:c r="L42" s="687">
        <x:f t="shared" si="1"/>
        <x:v>3.113893232561149E-2</x:v>
      </x:c>
    </x:row>
    <x:row r="43" ht="14.399999618530273" customHeight="1">
      <x:c r="C43" s="355" t="s">
        <x:v>257</x:v>
      </x:c>
      <x:c r="D43" s="673" t="n">
        <x:f>+D42/(D40+D42)</x:f>
        <x:v>0.9408504942145866</x:v>
      </x:c>
      <x:c r="F43" s="681">
        <x:v>45139</x:v>
      </x:c>
      <x:c r="G43" s="682">
        <x:v>133.300003</x:v>
      </x:c>
      <x:c r="H43" s="686">
        <x:f t="shared" si="0"/>
        <x:v>-0.17246088064985254</x:v>
      </x:c>
      <x:c r="I43" s="353"/>
      <x:c r="J43" s="684">
        <x:v>45139</x:v>
      </x:c>
      <x:c r="K43" s="682">
        <x:v>4507.6601559999999</x:v>
      </x:c>
      <x:c r="L43" s="687">
        <x:f t="shared" si="1"/>
        <x:v>-1.7716390138710958E-2</x:v>
      </x:c>
    </x:row>
    <x:row r="44" ht="14.399999618530273" customHeight="1">
      <x:c r="C44" s="362"/>
      <x:c r="D44" s="694"/>
      <x:c r="F44" s="681">
        <x:v>45170</x:v>
      </x:c>
      <x:c r="G44" s="682">
        <x:v>132.30999800000001</x:v>
      </x:c>
      <x:c r="H44" s="686">
        <x:f t="shared" si="0"/>
        <x:v>-7.4268940564089503E-3</x:v>
      </x:c>
      <x:c r="I44" s="353"/>
      <x:c r="J44" s="684">
        <x:v>45170</x:v>
      </x:c>
      <x:c r="K44" s="682">
        <x:v>4288.0498049999997</x:v>
      </x:c>
      <x:c r="L44" s="687">
        <x:f t="shared" si="1"/>
        <x:v>-4.8719367343539433E-2</x:v>
      </x:c>
    </x:row>
    <x:row r="45" ht="14.399999618530273" customHeight="1">
      <x:c r="C45" s="515" t="s">
        <x:v>259</x:v>
      </x:c>
      <x:c r="D45" s="675" t="n">
        <x:f>D41*D26+D43*D35</x:f>
        <x:v>0.1068471786257682</x:v>
      </x:c>
      <x:c r="F45" s="681">
        <x:v>45200</x:v>
      </x:c>
      <x:c r="G45" s="682">
        <x:v>122.050003</x:v>
      </x:c>
      <x:c r="H45" s="686">
        <x:f t="shared" si="0"/>
        <x:v>-7.7545122478197004E-2</x:v>
      </x:c>
      <x:c r="I45" s="353"/>
      <x:c r="J45" s="684">
        <x:v>45200</x:v>
      </x:c>
      <x:c r="K45" s="682">
        <x:v>4193.7998049999997</x:v>
      </x:c>
      <x:c r="L45" s="687">
        <x:f t="shared" si="1"/>
        <x:v>-2.1979688736381231E-2</x:v>
      </x:c>
    </x:row>
    <x:row r="46" ht="14.399999618530273" customHeight="1">
      <x:c r="F46" s="681">
        <x:v>45231</x:v>
      </x:c>
      <x:c r="G46" s="682">
        <x:v>135.88999899999999</x:v>
      </x:c>
      <x:c r="H46" s="686">
        <x:f t="shared" si="0"/>
        <x:v>0.11339611355847312</x:v>
      </x:c>
      <x:c r="I46" s="353"/>
      <x:c r="J46" s="684">
        <x:v>45231</x:v>
      </x:c>
      <x:c r="K46" s="682">
        <x:v>4567.7998049999997</x:v>
      </x:c>
      <x:c r="L46" s="687">
        <x:f t="shared" si="1"/>
        <x:v>8.9179268775324783E-2</x:v>
      </x:c>
    </x:row>
    <x:row r="47" ht="14.399999618530273" customHeight="1">
      <x:c r="F47" s="681">
        <x:v>45261</x:v>
      </x:c>
      <x:c r="G47" s="682">
        <x:v>159.08999600000001</x:v>
      </x:c>
      <x:c r="H47" s="686">
        <x:f t="shared" si="0"/>
        <x:v>0.1707263019407339</x:v>
      </x:c>
      <x:c r="I47" s="353"/>
      <x:c r="J47" s="684">
        <x:v>45261</x:v>
      </x:c>
      <x:c r="K47" s="682">
        <x:v>4769.830078</x:v>
      </x:c>
      <x:c r="L47" s="687">
        <x:f t="shared" si="1"/>
        <x:v>4.4229231057555163E-2</x:v>
      </x:c>
    </x:row>
    <x:row r="48" ht="14.399999618530273" customHeight="1">
      <x:c r="F48" s="681">
        <x:v>45292</x:v>
      </x:c>
      <x:c r="G48" s="682">
        <x:v>153.259995</x:v>
      </x:c>
      <x:c r="H48" s="686">
        <x:f t="shared" si="0"/>
        <x:v>-3.6645930898131507E-2</x:v>
      </x:c>
      <x:c r="I48" s="353"/>
      <x:c r="J48" s="684">
        <x:v>45292</x:v>
      </x:c>
      <x:c r="K48" s="682">
        <x:v>4845.6499020000001</x:v>
      </x:c>
      <x:c r="L48" s="687">
        <x:f t="shared" si="1"/>
        <x:v>1.5895707553547078E-2</x:v>
      </x:c>
    </x:row>
    <x:row r="49" ht="14.399999618530273" customHeight="1">
      <x:c r="F49" s="681">
        <x:v>45323</x:v>
      </x:c>
      <x:c r="G49" s="682">
        <x:v>154.300003</x:v>
      </x:c>
      <x:c r="H49" s="686">
        <x:f t="shared" si="0"/>
        <x:v>6.7859065244000316E-3</x:v>
      </x:c>
      <x:c r="I49" s="353"/>
      <x:c r="J49" s="684">
        <x:v>45323</x:v>
      </x:c>
      <x:c r="K49" s="682">
        <x:v>5096.2700199999999</x:v>
      </x:c>
      <x:c r="L49" s="687">
        <x:f t="shared" si="1"/>
        <x:v>5.1720640795068329E-2</x:v>
      </x:c>
    </x:row>
    <x:row r="50" ht="14.399999618530273" customHeight="1">
      <x:c r="F50" s="681">
        <x:v>45352</x:v>
      </x:c>
      <x:c r="G50" s="682">
        <x:v>156.38000500000001</x:v>
      </x:c>
      <x:c r="H50" s="686">
        <x:f t="shared" si="0"/>
        <x:v>1.3480246011401631E-2</x:v>
      </x:c>
      <x:c r="I50" s="353"/>
      <x:c r="J50" s="684">
        <x:v>45352</x:v>
      </x:c>
      <x:c r="K50" s="682">
        <x:v>5254.3500979999999</x:v>
      </x:c>
      <x:c r="L50" s="687">
        <x:f t="shared" si="1"/>
        <x:v>3.1018779887961978E-2</x:v>
      </x:c>
    </x:row>
    <x:row r="51" ht="14.399999618530273" customHeight="1">
      <x:c r="F51" s="681">
        <x:v>45383</x:v>
      </x:c>
      <x:c r="G51" s="682">
        <x:v>147.94000199999999</x:v>
      </x:c>
      <x:c r="H51" s="686">
        <x:f t="shared" si="0"/>
        <x:v>-5.3971113506487089E-2</x:v>
      </x:c>
      <x:c r="I51" s="353"/>
      <x:c r="J51" s="684">
        <x:v>45383</x:v>
      </x:c>
      <x:c r="K51" s="682">
        <x:v>5035.6899409999996</x:v>
      </x:c>
      <x:c r="L51" s="687">
        <x:f t="shared" si="1"/>
        <x:v>-4.1615071877915133E-2</x:v>
      </x:c>
    </x:row>
    <x:row r="52" ht="14.399999618530273" customHeight="1">
      <x:c r="F52" s="688"/>
      <x:c r="G52" s="689"/>
      <x:c r="H52" s="689"/>
      <x:c r="I52" s="689"/>
      <x:c r="J52" s="689"/>
      <x:c r="K52" s="690" t="s">
        <x:v>260</x:v>
      </x:c>
      <x:c r="L52" s="691" t="n">
        <x:f>+SLOPE(H17:H51,L17:L51)</x:f>
        <x:v>1.1969956037075207</x:v>
      </x:c>
    </x:row>
  </x:sheetData>
  <x:pageMargins left="0.7" right="0.7" top="0.75" bottom="0.75" header="0.3" footer="0.3"/>
  <x:legacyDrawing xmlns:r="http://schemas.openxmlformats.org/officeDocument/2006/relationships" r:id="R5bde3d78614d4d9f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46" hidden="0" customWidth="1"/>
    <x:col min="4" max="4" width="13" hidden="0" customWidth="1"/>
    <x:col min="5" max="5" width="13" hidden="0" customWidth="1"/>
    <x:col min="6" max="6" width="13" hidden="0" customWidth="1"/>
    <x:col min="7" max="7" width="34" hidden="0" customWidth="1"/>
    <x:col min="8" max="8" width="12" hidden="0" customWidth="1"/>
    <x:col min="9" max="9" width="31" hidden="0" customWidth="1"/>
  </x:cols>
  <x:sheetData>
    <x:row r="1" ht="30" customHeight="1">
      <x:c r="A1" s="725" t="str">
        <x:v>Keysight — Section Review</x:v>
      </x:c>
      <x:c r="B1" s="725"/>
      <x:c r="C1" s="725"/>
      <x:c r="D1" s="725"/>
      <x:c r="E1" s="725"/>
      <x:c r="F1" s="725"/>
      <x:c r="G1" s="725"/>
      <x:c r="H1" s="725"/>
      <x:c r="I1" s="725"/>
    </x:row>
    <x:row r="2" ht="34" customHeight="1">
      <x:c r="A2" s="726" t="str">
        <x:v>The original workbook is preserved. Navy outlines mark base sections; blue and amber bottom borders mark historical and projected value cells.</x:v>
      </x:c>
      <x:c r="B2" s="726"/>
      <x:c r="C2" s="726"/>
      <x:c r="D2" s="726"/>
      <x:c r="E2" s="726"/>
      <x:c r="F2" s="726"/>
      <x:c r="G2" s="726"/>
      <x:c r="H2" s="726"/>
      <x:c r="I2" s="726"/>
    </x:row>
    <x:row r="3">
      <x:c r="A3" s="727"/>
      <x:c r="B3" s="727"/>
      <x:c r="C3" s="727"/>
      <x:c r="D3" s="727"/>
      <x:c r="E3" s="727"/>
      <x:c r="F3" s="727"/>
      <x:c r="G3" s="727"/>
      <x:c r="H3" s="727"/>
      <x:c r="I3" s="727"/>
    </x:row>
    <x:row r="4">
      <x:c r="A4" s="728" t="str">
        <x:v>Visual key</x:v>
      </x:c>
      <x:c r="B4" s="728"/>
      <x:c r="C4" s="728"/>
      <x:c r="D4" s="728"/>
      <x:c r="E4" s="728"/>
      <x:c r="F4" s="728"/>
      <x:c r="G4" s="728"/>
      <x:c r="H4" s="728"/>
      <x:c r="I4" s="728"/>
    </x:row>
    <x:row r="5">
      <x:c r="A5" s="729" t="str">
        <x:v>Base section</x:v>
      </x:c>
      <x:c r="B5" s="730" t="str">
        <x:v>Navy outline</x:v>
      </x:c>
      <x:c r="C5" s="727"/>
      <x:c r="D5" s="731" t="str">
        <x:v>Historical</x:v>
      </x:c>
      <x:c r="E5" s="731" t="str">
        <x:v>Blue bottom border</x:v>
      </x:c>
      <x:c r="F5" s="727"/>
      <x:c r="G5" s="732" t="str">
        <x:v>Projected</x:v>
      </x:c>
      <x:c r="H5" s="732" t="str">
        <x:v>Amber bottom border</x:v>
      </x:c>
      <x:c r="I5" s="727"/>
    </x:row>
    <x:row r="6">
      <x:c r="A6" s="727"/>
      <x:c r="B6" s="727"/>
      <x:c r="C6" s="727"/>
      <x:c r="D6" s="727"/>
      <x:c r="E6" s="727"/>
      <x:c r="F6" s="727"/>
      <x:c r="G6" s="727"/>
      <x:c r="H6" s="727"/>
      <x:c r="I6" s="727"/>
    </x:row>
    <x:row r="7" ht="24" customHeight="1">
      <x:c r="A7" s="733" t="str">
        <x:v>Display ID</x:v>
      </x:c>
      <x:c r="B7" s="733" t="str">
        <x:v>Worksheet</x:v>
      </x:c>
      <x:c r="C7" s="733" t="str">
        <x:v>Section label</x:v>
      </x:c>
      <x:c r="D7" s="733" t="str">
        <x:v>Base cells</x:v>
      </x:c>
      <x:c r="E7" s="733" t="str">
        <x:v>Historical</x:v>
      </x:c>
      <x:c r="F7" s="733" t="str">
        <x:v>Projected</x:v>
      </x:c>
      <x:c r="G7" s="733" t="str">
        <x:v>Components</x:v>
      </x:c>
      <x:c r="H7" s="733" t="str">
        <x:v>Anchor</x:v>
      </x:c>
      <x:c r="I7" s="733" t="str">
        <x:v>Temporal source</x:v>
      </x:c>
    </x:row>
    <x:row r="8" ht="28" customHeight="1">
      <x:c r="A8" s="734" t="str">
        <x:v>S001</x:v>
      </x:c>
      <x:c r="B8" s="735" t="str">
        <x:v>Revenue Build &amp; Growth Drivers</x:v>
      </x:c>
      <x:c r="C8" s="743" t="str">
        <x:v>Revenue Build &amp; Growth Drivers For Keysight Technologies, Inc.</x:v>
      </x:c>
      <x:c r="D8" s="736" t="n">
        <x:v>126</x:v>
      </x:c>
      <x:c r="E8" s="736" t="n">
        <x:v>8</x:v>
      </x:c>
      <x:c r="F8" s="736" t="n">
        <x:v>15</x:v>
      </x:c>
      <x:c r="G8" s="743" t="str">
        <x:v>C2:K15</x:v>
      </x:c>
      <x:c r="H8" s="743" t="str">
        <x:v>C2</x:v>
      </x:c>
      <x:c r="I8" s="743" t="str">
        <x:v>Paired historical/projected header</x:v>
      </x:c>
    </x:row>
    <x:row r="9" ht="28" customHeight="1">
      <x:c r="A9" s="737" t="str">
        <x:v>S002</x:v>
      </x:c>
      <x:c r="B9" s="738" t="str">
        <x:v>Revenue Build &amp; Growth Drivers</x:v>
      </x:c>
      <x:c r="C9" s="744" t="str">
        <x:v>Segmental Revenue Schedule</x:v>
      </x:c>
      <x:c r="D9" s="739" t="n">
        <x:v>135</x:v>
      </x:c>
      <x:c r="E9" s="739" t="n">
        <x:v>25</x:v>
      </x:c>
      <x:c r="F9" s="739" t="n">
        <x:v>45</x:v>
      </x:c>
      <x:c r="G9" s="744" t="str">
        <x:v>C17:K31</x:v>
      </x:c>
      <x:c r="H9" s="744" t="str">
        <x:v>C17</x:v>
      </x:c>
      <x:c r="I9" s="744" t="str">
        <x:v>Paired historical/projected header</x:v>
      </x:c>
    </x:row>
    <x:row r="10" ht="28" customHeight="1">
      <x:c r="A10" s="734" t="str">
        <x:v>S003</x:v>
      </x:c>
      <x:c r="B10" s="735" t="str">
        <x:v>Revenue Build &amp; Growth Drivers</x:v>
      </x:c>
      <x:c r="C10" s="743" t="str">
        <x:v>Growth Driver Assumptions</x:v>
      </x:c>
      <x:c r="D10" s="736" t="n">
        <x:v>153</x:v>
      </x:c>
      <x:c r="E10" s="736" t="n">
        <x:v>26</x:v>
      </x:c>
      <x:c r="F10" s="736" t="n">
        <x:v>50</x:v>
      </x:c>
      <x:c r="G10" s="743" t="str">
        <x:v>C33:K49</x:v>
      </x:c>
      <x:c r="H10" s="743" t="str">
        <x:v>C33</x:v>
      </x:c>
      <x:c r="I10" s="743" t="str">
        <x:v>Paired historical/projected header</x:v>
      </x:c>
    </x:row>
    <x:row r="11" ht="28" customHeight="1">
      <x:c r="A11" s="737" t="str">
        <x:v>S004</x:v>
      </x:c>
      <x:c r="B11" s="738" t="str">
        <x:v>Financial Statement Model</x:v>
      </x:c>
      <x:c r="C11" s="744" t="str">
        <x:v>Financial Statement Model For Keysight Technologies, Inc.</x:v>
      </x:c>
      <x:c r="D11" s="739" t="n">
        <x:v>88</x:v>
      </x:c>
      <x:c r="E11" s="739" t="n">
        <x:v>0</x:v>
      </x:c>
      <x:c r="F11" s="739" t="n">
        <x:v>0</x:v>
      </x:c>
      <x:c r="G11" s="744" t="str">
        <x:v>C2:M9</x:v>
      </x:c>
      <x:c r="H11" s="744" t="str">
        <x:v>C2</x:v>
      </x:c>
      <x:c r="I11" s="744" t="str">
        <x:v>None</x:v>
      </x:c>
    </x:row>
    <x:row r="12" ht="28" customHeight="1">
      <x:c r="A12" s="734" t="str">
        <x:v>S005</x:v>
      </x:c>
      <x:c r="B12" s="735" t="str">
        <x:v>Financial Statement Model</x:v>
      </x:c>
      <x:c r="C12" s="743" t="str">
        <x:v>Income Statement</x:v>
      </x:c>
      <x:c r="D12" s="736" t="n">
        <x:v>341</x:v>
      </x:c>
      <x:c r="E12" s="736" t="n">
        <x:v>73</x:v>
      </x:c>
      <x:c r="F12" s="736" t="n">
        <x:v>131</x:v>
      </x:c>
      <x:c r="G12" s="743" t="str">
        <x:v>C11:M41</x:v>
      </x:c>
      <x:c r="H12" s="743" t="str">
        <x:v>C11</x:v>
      </x:c>
      <x:c r="I12" s="743" t="str">
        <x:v>Paired historical/projected header</x:v>
      </x:c>
    </x:row>
    <x:row r="13" ht="28" customHeight="1">
      <x:c r="A13" s="737" t="str">
        <x:v>S006</x:v>
      </x:c>
      <x:c r="B13" s="738" t="str">
        <x:v>Financial Statement Model</x:v>
      </x:c>
      <x:c r="C13" s="744" t="str">
        <x:v>Balance Sheet</x:v>
      </x:c>
      <x:c r="D13" s="739" t="n">
        <x:v>363</x:v>
      </x:c>
      <x:c r="E13" s="739" t="n">
        <x:v>78</x:v>
      </x:c>
      <x:c r="F13" s="739" t="n">
        <x:v>131</x:v>
      </x:c>
      <x:c r="G13" s="744" t="str">
        <x:v>C43:M75</x:v>
      </x:c>
      <x:c r="H13" s="744" t="str">
        <x:v>C43</x:v>
      </x:c>
      <x:c r="I13" s="744" t="str">
        <x:v>Paired historical/projected header</x:v>
      </x:c>
    </x:row>
    <x:row r="14" ht="28" customHeight="1">
      <x:c r="A14" s="734" t="str">
        <x:v>S007</x:v>
      </x:c>
      <x:c r="B14" s="735" t="str">
        <x:v>Financial Statement Model</x:v>
      </x:c>
      <x:c r="C14" s="743" t="str">
        <x:v>Cash Flow Statement</x:v>
      </x:c>
      <x:c r="D14" s="736" t="n">
        <x:v>243</x:v>
      </x:c>
      <x:c r="E14" s="736" t="n">
        <x:v>63</x:v>
      </x:c>
      <x:c r="F14" s="736" t="n">
        <x:v>105</x:v>
      </x:c>
      <x:c r="G14" s="743" t="str">
        <x:v>C77:K103</x:v>
      </x:c>
      <x:c r="H14" s="743" t="str">
        <x:v>C77</x:v>
      </x:c>
      <x:c r="I14" s="743" t="str">
        <x:v>Paired historical/projected header</x:v>
      </x:c>
    </x:row>
    <x:row r="15" ht="28" customHeight="1">
      <x:c r="A15" s="737" t="str">
        <x:v>S008</x:v>
      </x:c>
      <x:c r="B15" s="738" t="str">
        <x:v>Financial Statement Model</x:v>
      </x:c>
      <x:c r="C15" s="744" t="str">
        <x:v>Current Assets Schedule</x:v>
      </x:c>
      <x:c r="D15" s="739" t="n">
        <x:v>234</x:v>
      </x:c>
      <x:c r="E15" s="739" t="n">
        <x:v>37</x:v>
      </x:c>
      <x:c r="F15" s="739" t="n">
        <x:v>70</x:v>
      </x:c>
      <x:c r="G15" s="744" t="str">
        <x:v>C107:K132</x:v>
      </x:c>
      <x:c r="H15" s="744" t="str">
        <x:v>C107</x:v>
      </x:c>
      <x:c r="I15" s="744" t="str">
        <x:v>Paired historical/projected header</x:v>
      </x:c>
    </x:row>
    <x:row r="16" ht="28" customHeight="1">
      <x:c r="A16" s="734" t="str">
        <x:v>S009</x:v>
      </x:c>
      <x:c r="B16" s="735" t="str">
        <x:v>Financial Statement Model</x:v>
      </x:c>
      <x:c r="C16" s="743" t="str">
        <x:v>Intangibles Schedule</x:v>
      </x:c>
      <x:c r="D16" s="736" t="n">
        <x:v>126</x:v>
      </x:c>
      <x:c r="E16" s="736" t="n">
        <x:v>27</x:v>
      </x:c>
      <x:c r="F16" s="736" t="n">
        <x:v>45</x:v>
      </x:c>
      <x:c r="G16" s="743" t="str">
        <x:v>C134:K147</x:v>
      </x:c>
      <x:c r="H16" s="743" t="str">
        <x:v>C134</x:v>
      </x:c>
      <x:c r="I16" s="743" t="str">
        <x:v>Paired historical/projected header</x:v>
      </x:c>
    </x:row>
    <x:row r="17" ht="28" customHeight="1">
      <x:c r="A17" s="737" t="str">
        <x:v>S010</x:v>
      </x:c>
      <x:c r="B17" s="738" t="str">
        <x:v>Financial Statement Model</x:v>
      </x:c>
      <x:c r="C17" s="744" t="str">
        <x:v>PP&amp;E Schedule</x:v>
      </x:c>
      <x:c r="D17" s="739" t="n">
        <x:v>110</x:v>
      </x:c>
      <x:c r="E17" s="739" t="n">
        <x:v>14</x:v>
      </x:c>
      <x:c r="F17" s="739" t="n">
        <x:v>31</x:v>
      </x:c>
      <x:c r="G17" s="744" t="str">
        <x:v>C149:M158</x:v>
      </x:c>
      <x:c r="H17" s="744" t="str">
        <x:v>C149</x:v>
      </x:c>
      <x:c r="I17" s="744" t="str">
        <x:v>Paired historical/projected header</x:v>
      </x:c>
    </x:row>
    <x:row r="18" ht="28" customHeight="1">
      <x:c r="A18" s="734" t="str">
        <x:v>S011</x:v>
      </x:c>
      <x:c r="B18" s="735" t="str">
        <x:v>Financial Statement Model</x:v>
      </x:c>
      <x:c r="C18" s="743" t="str">
        <x:v>Retained Earnings Schedule</x:v>
      </x:c>
      <x:c r="D18" s="736" t="n">
        <x:v>90</x:v>
      </x:c>
      <x:c r="E18" s="736" t="n">
        <x:v>21</x:v>
      </x:c>
      <x:c r="F18" s="736" t="n">
        <x:v>35</x:v>
      </x:c>
      <x:c r="G18" s="743" t="str">
        <x:v>C160:K169</x:v>
      </x:c>
      <x:c r="H18" s="743" t="str">
        <x:v>C160</x:v>
      </x:c>
      <x:c r="I18" s="743" t="str">
        <x:v>Paired historical/projected header</x:v>
      </x:c>
    </x:row>
    <x:row r="19" ht="28" customHeight="1">
      <x:c r="A19" s="737" t="str">
        <x:v>S012</x:v>
      </x:c>
      <x:c r="B19" s="738" t="str">
        <x:v>Financial Statement Model</x:v>
      </x:c>
      <x:c r="C19" s="744" t="str">
        <x:v>Non-controlling Interest Schedule</x:v>
      </x:c>
      <x:c r="D19" s="739" t="n">
        <x:v>81</x:v>
      </x:c>
      <x:c r="E19" s="739" t="n">
        <x:v>18</x:v>
      </x:c>
      <x:c r="F19" s="739" t="n">
        <x:v>30</x:v>
      </x:c>
      <x:c r="G19" s="744" t="str">
        <x:v>C171:K179</x:v>
      </x:c>
      <x:c r="H19" s="744" t="str">
        <x:v>C171</x:v>
      </x:c>
      <x:c r="I19" s="744" t="str">
        <x:v>Paired historical/projected header</x:v>
      </x:c>
    </x:row>
    <x:row r="20" ht="28" customHeight="1">
      <x:c r="A20" s="734" t="str">
        <x:v>S013</x:v>
      </x:c>
      <x:c r="B20" s="735" t="str">
        <x:v>Financial Statement Model</x:v>
      </x:c>
      <x:c r="C20" s="743" t="str">
        <x:v>Debt &amp; Interest Schedule (ex. Operating leases)</x:v>
      </x:c>
      <x:c r="D20" s="736" t="n">
        <x:v>261</x:v>
      </x:c>
      <x:c r="E20" s="736" t="n">
        <x:v>29</x:v>
      </x:c>
      <x:c r="F20" s="736" t="n">
        <x:v>85</x:v>
      </x:c>
      <x:c r="G20" s="743" t="str">
        <x:v>C181:K209</x:v>
      </x:c>
      <x:c r="H20" s="743" t="str">
        <x:v>C181</x:v>
      </x:c>
      <x:c r="I20" s="743" t="str">
        <x:v>Paired historical/projected header</x:v>
      </x:c>
    </x:row>
    <x:row r="21" ht="28" customHeight="1">
      <x:c r="A21" s="737" t="str">
        <x:v>S014</x:v>
      </x:c>
      <x:c r="B21" s="738" t="str">
        <x:v>Financial Statement Model</x:v>
      </x:c>
      <x:c r="C21" s="744" t="str">
        <x:v>Operating Lease Schedule</x:v>
      </x:c>
      <x:c r="D21" s="739" t="n">
        <x:v>243</x:v>
      </x:c>
      <x:c r="E21" s="739" t="n">
        <x:v>33</x:v>
      </x:c>
      <x:c r="F21" s="739" t="n">
        <x:v>95</x:v>
      </x:c>
      <x:c r="G21" s="744" t="str">
        <x:v>C211:K237</x:v>
      </x:c>
      <x:c r="H21" s="744" t="str">
        <x:v>C211</x:v>
      </x:c>
      <x:c r="I21" s="744" t="str">
        <x:v>Paired historical/projected header</x:v>
      </x:c>
    </x:row>
    <x:row r="22" ht="28" customHeight="1">
      <x:c r="A22" s="734" t="str">
        <x:v>S015</x:v>
      </x:c>
      <x:c r="B22" s="735" t="str">
        <x:v>Integrated DCF Model</x:v>
      </x:c>
      <x:c r="C22" s="743" t="str">
        <x:v>Discounted Cash Flow Model For Keysight Technologies, Inc.</x:v>
      </x:c>
      <x:c r="D22" s="736" t="n">
        <x:v>96</x:v>
      </x:c>
      <x:c r="E22" s="736" t="n">
        <x:v>0</x:v>
      </x:c>
      <x:c r="F22" s="736" t="n">
        <x:v>0</x:v>
      </x:c>
      <x:c r="G22" s="743" t="str">
        <x:v>C2:N9</x:v>
      </x:c>
      <x:c r="H22" s="743" t="str">
        <x:v>C2</x:v>
      </x:c>
      <x:c r="I22" s="743" t="str">
        <x:v>None</x:v>
      </x:c>
    </x:row>
    <x:row r="23" ht="28" customHeight="1">
      <x:c r="A23" s="737" t="str">
        <x:v>S016</x:v>
      </x:c>
      <x:c r="B23" s="738" t="str">
        <x:v>Integrated DCF Model</x:v>
      </x:c>
      <x:c r="C23" s="744" t="str">
        <x:v>Unlevered Free Cash Flow</x:v>
      </x:c>
      <x:c r="D23" s="739" t="n">
        <x:v>312</x:v>
      </x:c>
      <x:c r="E23" s="739" t="n">
        <x:v>45</x:v>
      </x:c>
      <x:c r="F23" s="739" t="n">
        <x:v>87</x:v>
      </x:c>
      <x:c r="G23" s="744" t="str">
        <x:v>C11:N36</x:v>
      </x:c>
      <x:c r="H23" s="744" t="str">
        <x:v>C11</x:v>
      </x:c>
      <x:c r="I23" s="744" t="str">
        <x:v>Paired historical/projected header</x:v>
      </x:c>
    </x:row>
    <x:row r="24" ht="28" customHeight="1">
      <x:c r="A24" s="734" t="str">
        <x:v>S017</x:v>
      </x:c>
      <x:c r="B24" s="735" t="str">
        <x:v>Integrated DCF Model</x:v>
      </x:c>
      <x:c r="C24" s="743" t="str">
        <x:v>Net Working Capital Schedule</x:v>
      </x:c>
      <x:c r="D24" s="736" t="n">
        <x:v>150</x:v>
      </x:c>
      <x:c r="E24" s="736" t="n">
        <x:v>29</x:v>
      </x:c>
      <x:c r="F24" s="736" t="n">
        <x:v>50</x:v>
      </x:c>
      <x:c r="G24" s="743" t="str">
        <x:v>C38:L52</x:v>
      </x:c>
      <x:c r="H24" s="743" t="str">
        <x:v>C38</x:v>
      </x:c>
      <x:c r="I24" s="743" t="str">
        <x:v>Paired historical/projected header</x:v>
      </x:c>
    </x:row>
    <x:row r="25" ht="28" customHeight="1">
      <x:c r="A25" s="737" t="str">
        <x:v>S018</x:v>
      </x:c>
      <x:c r="B25" s="738" t="str">
        <x:v>Integrated DCF Model</x:v>
      </x:c>
      <x:c r="C25" s="744" t="str">
        <x:v>Present Value of UFCFs as of Apr 12, 2024</x:v>
      </x:c>
      <x:c r="D25" s="739" t="n">
        <x:v>80</x:v>
      </x:c>
      <x:c r="E25" s="739" t="n">
        <x:v>0</x:v>
      </x:c>
      <x:c r="F25" s="739" t="n">
        <x:v>0</x:v>
      </x:c>
      <x:c r="G25" s="744" t="str">
        <x:v>C54:L61</x:v>
      </x:c>
      <x:c r="H25" s="744" t="str">
        <x:v>C54</x:v>
      </x:c>
      <x:c r="I25" s="744" t="str">
        <x:v>None</x:v>
      </x:c>
    </x:row>
    <x:row r="26" ht="28" customHeight="1">
      <x:c r="A26" s="734" t="str">
        <x:v>S019</x:v>
      </x:c>
      <x:c r="B26" s="735" t="str">
        <x:v>Integrated DCF Model</x:v>
      </x:c>
      <x:c r="C26" s="743" t="str">
        <x:v>Basic to Fully Diluted Shares Bridge (in 000s)</x:v>
      </x:c>
      <x:c r="D26" s="736" t="n">
        <x:v>18</x:v>
      </x:c>
      <x:c r="E26" s="736" t="n">
        <x:v>0</x:v>
      </x:c>
      <x:c r="F26" s="736" t="n">
        <x:v>0</x:v>
      </x:c>
      <x:c r="G26" s="743" t="str">
        <x:v>C63:D71</x:v>
      </x:c>
      <x:c r="H26" s="743" t="str">
        <x:v>C63</x:v>
      </x:c>
      <x:c r="I26" s="743" t="str">
        <x:v>None</x:v>
      </x:c>
    </x:row>
    <x:row r="27" ht="28" customHeight="1">
      <x:c r="A27" s="737" t="str">
        <x:v>S020</x:v>
      </x:c>
      <x:c r="B27" s="738" t="str">
        <x:v>Integrated DCF Model</x:v>
      </x:c>
      <x:c r="C27" s="744" t="str">
        <x:v>Terminal Value and Equity Value Bridge</x:v>
      </x:c>
      <x:c r="D27" s="739" t="n">
        <x:v>290</x:v>
      </x:c>
      <x:c r="E27" s="739" t="n">
        <x:v>0</x:v>
      </x:c>
      <x:c r="F27" s="739" t="n">
        <x:v>0</x:v>
      </x:c>
      <x:c r="G27" s="744" t="str">
        <x:v>C73:L101</x:v>
      </x:c>
      <x:c r="H27" s="744" t="str">
        <x:v>C73</x:v>
      </x:c>
      <x:c r="I27" s="744" t="str">
        <x:v>None</x:v>
      </x:c>
    </x:row>
    <x:row r="28" ht="28" customHeight="1">
      <x:c r="A28" s="734" t="str">
        <x:v>S021</x:v>
      </x:c>
      <x:c r="B28" s="735" t="str">
        <x:v>Integrated DCF Model</x:v>
      </x:c>
      <x:c r="C28" s="743" t="str">
        <x:v>Data Tables and Football Field</x:v>
      </x:c>
      <x:c r="D28" s="736" t="n">
        <x:v>220</x:v>
      </x:c>
      <x:c r="E28" s="736" t="n">
        <x:v>0</x:v>
      </x:c>
      <x:c r="F28" s="736" t="n">
        <x:v>0</x:v>
      </x:c>
      <x:c r="G28" s="743" t="str">
        <x:v>C103:L124</x:v>
      </x:c>
      <x:c r="H28" s="743" t="str">
        <x:v>C103</x:v>
      </x:c>
      <x:c r="I28" s="743" t="str">
        <x:v>None</x:v>
      </x:c>
    </x:row>
    <x:row r="29" ht="28" customHeight="1">
      <x:c r="A29" s="737" t="str">
        <x:v>S022</x:v>
      </x:c>
      <x:c r="B29" s="738" t="str">
        <x:v>WACC Build</x:v>
      </x:c>
      <x:c r="C29" s="744" t="str">
        <x:v>WACC Build For Keysight Technologies, Inc.</x:v>
      </x:c>
      <x:c r="D29" s="739" t="n">
        <x:v>80</x:v>
      </x:c>
      <x:c r="E29" s="739" t="n">
        <x:v>0</x:v>
      </x:c>
      <x:c r="F29" s="739" t="n">
        <x:v>0</x:v>
      </x:c>
      <x:c r="G29" s="744" t="str">
        <x:v>C2:L9</x:v>
      </x:c>
      <x:c r="H29" s="744" t="str">
        <x:v>C2</x:v>
      </x:c>
      <x:c r="I29" s="744" t="str">
        <x:v>None</x:v>
      </x:c>
    </x:row>
    <x:row r="30" ht="28" customHeight="1">
      <x:c r="A30" s="734" t="str">
        <x:v>S023</x:v>
      </x:c>
      <x:c r="B30" s="735" t="str">
        <x:v>WACC Build</x:v>
      </x:c>
      <x:c r="C30" s="743" t="str">
        <x:v>Cost of Debt Calculation</x:v>
      </x:c>
      <x:c r="D30" s="736" t="n">
        <x:v>32</x:v>
      </x:c>
      <x:c r="E30" s="736" t="n">
        <x:v>0</x:v>
      </x:c>
      <x:c r="F30" s="736" t="n">
        <x:v>0</x:v>
      </x:c>
      <x:c r="G30" s="743" t="str">
        <x:v>C11:D26</x:v>
      </x:c>
      <x:c r="H30" s="743" t="str">
        <x:v>C11</x:v>
      </x:c>
      <x:c r="I30" s="743" t="str">
        <x:v>None</x:v>
      </x:c>
    </x:row>
    <x:row r="31" ht="28" customHeight="1">
      <x:c r="A31" s="737" t="str">
        <x:v>S024</x:v>
      </x:c>
      <x:c r="B31" s="738" t="str">
        <x:v>WACC Build</x:v>
      </x:c>
      <x:c r="C31" s="744" t="str">
        <x:v>Beta (β) Calculator</x:v>
      </x:c>
      <x:c r="D31" s="739" t="n">
        <x:v>294</x:v>
      </x:c>
      <x:c r="E31" s="739" t="n">
        <x:v>0</x:v>
      </x:c>
      <x:c r="F31" s="739" t="n">
        <x:v>0</x:v>
      </x:c>
      <x:c r="G31" s="744" t="str">
        <x:v>F11:L52</x:v>
      </x:c>
      <x:c r="H31" s="744" t="str">
        <x:v>F11</x:v>
      </x:c>
      <x:c r="I31" s="744" t="str">
        <x:v>None</x:v>
      </x:c>
    </x:row>
    <x:row r="32" ht="28" customHeight="1">
      <x:c r="A32" s="734" t="str">
        <x:v>S025</x:v>
      </x:c>
      <x:c r="B32" s="735" t="str">
        <x:v>WACC Build</x:v>
      </x:c>
      <x:c r="C32" s="743" t="str">
        <x:v>Cost of Equity Calculation</x:v>
      </x:c>
      <x:c r="D32" s="736" t="n">
        <x:v>16</x:v>
      </x:c>
      <x:c r="E32" s="736" t="n">
        <x:v>0</x:v>
      </x:c>
      <x:c r="F32" s="736" t="n">
        <x:v>0</x:v>
      </x:c>
      <x:c r="G32" s="743" t="str">
        <x:v>C28:D35</x:v>
      </x:c>
      <x:c r="H32" s="743" t="str">
        <x:v>C28</x:v>
      </x:c>
      <x:c r="I32" s="743" t="str">
        <x:v>None</x:v>
      </x:c>
    </x:row>
    <x:row r="33" ht="28" customHeight="1">
      <x:c r="A33" s="740" t="str">
        <x:v>S026</x:v>
      </x:c>
      <x:c r="B33" s="741" t="str">
        <x:v>WACC Build</x:v>
      </x:c>
      <x:c r="C33" s="745" t="str">
        <x:v>Capital Structure and WACC</x:v>
      </x:c>
      <x:c r="D33" s="742" t="n">
        <x:v>18</x:v>
      </x:c>
      <x:c r="E33" s="742" t="n">
        <x:v>0</x:v>
      </x:c>
      <x:c r="F33" s="742" t="n">
        <x:v>0</x:v>
      </x:c>
      <x:c r="G33" s="745" t="str">
        <x:v>C37:D45</x:v>
      </x:c>
      <x:c r="H33" s="745" t="str">
        <x:v>C37</x:v>
      </x:c>
      <x:c r="I33" s="745" t="str">
        <x:v>None</x:v>
      </x:c>
    </x:row>
  </x:sheetData>
  <x:mergeCells>
    <x:mergeCell ref="A1:I1"/>
    <x:mergeCell ref="A2:I2"/>
    <x:mergeCell ref="A4:I4"/>
  </x:mergeCells>
  <x:pageMargins left="0.7" right="0.7" top="0.75" bottom="0.75" header="0.3" footer="0.3"/>
</x:worksheet>
</file>