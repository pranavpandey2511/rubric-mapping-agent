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38a3fdc6830622/Desktop/DCFs/Final from Engagement/1. Keysight Recon/Reconciliation/Human_Review/"/>
    </mc:Choice>
  </mc:AlternateContent>
  <xr:revisionPtr revIDLastSave="134" documentId="8_{66D4F53E-3231-418F-9B29-DAD4AF9021BF}" xr6:coauthVersionLast="47" xr6:coauthVersionMax="47" xr10:uidLastSave="{CAE1F506-CFC3-4DF5-A010-65AD341D73CA}"/>
  <bookViews>
    <workbookView xWindow="28680" yWindow="-2160" windowWidth="29040" windowHeight="15720" xr2:uid="{00000000-000D-0000-FFFF-FFFF00000000}"/>
  </bookViews>
  <sheets>
    <sheet name="Revenue Build &amp; Growth Drivers" sheetId="4" r:id="rId1"/>
    <sheet name="Financial Statement Model" sheetId="3" r:id="rId2"/>
    <sheet name="Integrated DCF Model" sheetId="8" r:id="rId3"/>
    <sheet name="WACC Build" sheetId="6" r:id="rId4"/>
  </sheets>
  <externalReferences>
    <externalReference r:id="rId5"/>
  </externalReferences>
  <definedNames>
    <definedName name="Discount_Rate" localSheetId="2">'Integrated DCF Model'!$E$10</definedName>
    <definedName name="Discount_Rat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Tax">[1]DCF!$D$44</definedName>
  </definedNames>
  <calcPr calcId="191028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o+niJBz7xvjRa2ZGIzATKq3H8z1W4ayQoyimNnvOmsU="/>
    </ext>
  </extLst>
</workbook>
</file>

<file path=xl/calcChain.xml><?xml version="1.0" encoding="utf-8"?>
<calcChain xmlns="http://schemas.openxmlformats.org/spreadsheetml/2006/main">
  <c r="D71" i="8" l="1"/>
  <c r="K34" i="3"/>
  <c r="J34" i="3"/>
  <c r="I34" i="3"/>
  <c r="H34" i="3"/>
  <c r="G34" i="3"/>
  <c r="F34" i="3"/>
  <c r="E34" i="3"/>
  <c r="L52" i="6" l="1"/>
  <c r="L18" i="6" l="1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F28" i="4"/>
  <c r="E28" i="4"/>
  <c r="D28" i="4"/>
  <c r="F27" i="4"/>
  <c r="E27" i="4"/>
  <c r="D27" i="4"/>
  <c r="F23" i="4"/>
  <c r="E23" i="4"/>
  <c r="D23" i="4"/>
  <c r="C27" i="4" l="1"/>
  <c r="C28" i="4"/>
  <c r="D5" i="3"/>
  <c r="D5" i="6" l="1"/>
  <c r="D6" i="6"/>
  <c r="D7" i="6"/>
  <c r="D8" i="6"/>
  <c r="D9" i="6"/>
  <c r="D5" i="8"/>
  <c r="D6" i="8"/>
  <c r="D7" i="8"/>
  <c r="D8" i="8"/>
  <c r="D9" i="8"/>
  <c r="D6" i="3"/>
  <c r="D7" i="3"/>
  <c r="D8" i="3"/>
  <c r="D9" i="3"/>
  <c r="F40" i="4" l="1"/>
  <c r="D172" i="3"/>
  <c r="G30" i="4" l="1"/>
  <c r="H30" i="4" l="1"/>
  <c r="E40" i="4"/>
  <c r="I30" i="4" l="1"/>
  <c r="J30" i="4" l="1"/>
  <c r="J5" i="8"/>
  <c r="J5" i="6"/>
  <c r="E39" i="8"/>
  <c r="E12" i="8"/>
  <c r="C2" i="8"/>
  <c r="J6" i="8"/>
  <c r="C2" i="6"/>
  <c r="L17" i="6"/>
  <c r="H17" i="6"/>
  <c r="D212" i="3"/>
  <c r="D182" i="3"/>
  <c r="D161" i="3"/>
  <c r="D135" i="3"/>
  <c r="D150" i="3"/>
  <c r="D108" i="3"/>
  <c r="D78" i="3"/>
  <c r="D44" i="3"/>
  <c r="C54" i="8"/>
  <c r="F75" i="3"/>
  <c r="E75" i="3"/>
  <c r="D75" i="3"/>
  <c r="C39" i="4"/>
  <c r="C38" i="4"/>
  <c r="D43" i="4"/>
  <c r="D12" i="4"/>
  <c r="D18" i="4"/>
  <c r="D36" i="4"/>
  <c r="C40" i="4"/>
  <c r="F31" i="4"/>
  <c r="E31" i="4"/>
  <c r="C2" i="4"/>
  <c r="E12" i="3"/>
  <c r="K30" i="4" l="1"/>
  <c r="E182" i="3"/>
  <c r="E172" i="3"/>
  <c r="D33" i="6"/>
  <c r="D35" i="6" s="1"/>
  <c r="F12" i="8"/>
  <c r="F39" i="8"/>
  <c r="F14" i="6"/>
  <c r="J6" i="6"/>
  <c r="E212" i="3"/>
  <c r="E44" i="3"/>
  <c r="E78" i="3"/>
  <c r="E108" i="3"/>
  <c r="E150" i="3"/>
  <c r="E135" i="3"/>
  <c r="E161" i="3"/>
  <c r="E36" i="4"/>
  <c r="E18" i="4"/>
  <c r="E43" i="4"/>
  <c r="E12" i="4"/>
  <c r="G31" i="4"/>
  <c r="F12" i="3"/>
  <c r="F172" i="3" s="1"/>
  <c r="F212" i="3" l="1"/>
  <c r="G39" i="8"/>
  <c r="G12" i="8"/>
  <c r="F182" i="3"/>
  <c r="F161" i="3"/>
  <c r="F135" i="3"/>
  <c r="F150" i="3"/>
  <c r="F108" i="3"/>
  <c r="F78" i="3"/>
  <c r="F44" i="3"/>
  <c r="F18" i="4"/>
  <c r="F36" i="4"/>
  <c r="F43" i="4"/>
  <c r="F12" i="4"/>
  <c r="H31" i="4"/>
  <c r="G12" i="3"/>
  <c r="G172" i="3" s="1"/>
  <c r="G212" i="3" l="1"/>
  <c r="H39" i="8"/>
  <c r="H12" i="8"/>
  <c r="G161" i="3"/>
  <c r="G135" i="3"/>
  <c r="G150" i="3"/>
  <c r="G108" i="3"/>
  <c r="G78" i="3"/>
  <c r="G182" i="3"/>
  <c r="G44" i="3"/>
  <c r="H12" i="3"/>
  <c r="H172" i="3" s="1"/>
  <c r="G43" i="4"/>
  <c r="G12" i="4"/>
  <c r="G18" i="4"/>
  <c r="G36" i="4"/>
  <c r="I31" i="4"/>
  <c r="C2" i="3"/>
  <c r="J7" i="8" l="1"/>
  <c r="H212" i="3"/>
  <c r="I39" i="8"/>
  <c r="I12" i="8"/>
  <c r="H161" i="3"/>
  <c r="H135" i="3"/>
  <c r="H150" i="3"/>
  <c r="H108" i="3"/>
  <c r="H44" i="3"/>
  <c r="H78" i="3"/>
  <c r="H182" i="3"/>
  <c r="I12" i="3"/>
  <c r="I172" i="3" s="1"/>
  <c r="H43" i="4"/>
  <c r="H12" i="4"/>
  <c r="H18" i="4"/>
  <c r="H36" i="4"/>
  <c r="K31" i="4"/>
  <c r="J31" i="4"/>
  <c r="I212" i="3" l="1"/>
  <c r="J39" i="8"/>
  <c r="J12" i="8"/>
  <c r="I182" i="3"/>
  <c r="I161" i="3"/>
  <c r="I135" i="3"/>
  <c r="I150" i="3"/>
  <c r="I108" i="3"/>
  <c r="I78" i="3"/>
  <c r="I44" i="3"/>
  <c r="J12" i="3"/>
  <c r="J172" i="3" s="1"/>
  <c r="I43" i="4"/>
  <c r="I12" i="4"/>
  <c r="I18" i="4"/>
  <c r="I36" i="4"/>
  <c r="J212" i="3" l="1"/>
  <c r="K39" i="8"/>
  <c r="K12" i="8"/>
  <c r="J182" i="3"/>
  <c r="J161" i="3"/>
  <c r="J135" i="3"/>
  <c r="J150" i="3"/>
  <c r="J108" i="3"/>
  <c r="J78" i="3"/>
  <c r="J44" i="3"/>
  <c r="K12" i="3"/>
  <c r="K172" i="3" s="1"/>
  <c r="J43" i="4"/>
  <c r="J12" i="4"/>
  <c r="J18" i="4"/>
  <c r="J36" i="4"/>
  <c r="K212" i="3" l="1"/>
  <c r="L39" i="8"/>
  <c r="L12" i="8"/>
  <c r="K182" i="3"/>
  <c r="K161" i="3"/>
  <c r="K135" i="3"/>
  <c r="K150" i="3"/>
  <c r="K108" i="3"/>
  <c r="K78" i="3"/>
  <c r="K44" i="3"/>
  <c r="K43" i="4"/>
  <c r="K36" i="4"/>
  <c r="K18" i="4"/>
  <c r="K12" i="4"/>
  <c r="D14" i="4" l="1"/>
  <c r="E14" i="4"/>
  <c r="E24" i="4"/>
  <c r="E38" i="4"/>
  <c r="E39" i="4"/>
  <c r="F14" i="4"/>
  <c r="G21" i="4"/>
  <c r="H21" i="4" s="1"/>
  <c r="G22" i="4"/>
  <c r="H22" i="4" s="1"/>
  <c r="I22" i="4" s="1"/>
  <c r="F24" i="4"/>
  <c r="F38" i="4"/>
  <c r="F39" i="4"/>
  <c r="E15" i="4" l="1"/>
  <c r="F15" i="4"/>
  <c r="H23" i="4"/>
  <c r="H14" i="4" s="1"/>
  <c r="G23" i="4"/>
  <c r="J22" i="4"/>
  <c r="G27" i="4"/>
  <c r="I21" i="4"/>
  <c r="H24" i="4" l="1"/>
  <c r="H28" i="4"/>
  <c r="H27" i="4"/>
  <c r="G14" i="4"/>
  <c r="G15" i="4" s="1"/>
  <c r="G28" i="4"/>
  <c r="G24" i="4"/>
  <c r="K22" i="4"/>
  <c r="J21" i="4"/>
  <c r="I23" i="4"/>
  <c r="G14" i="3" l="1"/>
  <c r="H15" i="4"/>
  <c r="J23" i="4"/>
  <c r="J27" i="4" s="1"/>
  <c r="K21" i="4"/>
  <c r="I14" i="4"/>
  <c r="I15" i="4" s="1"/>
  <c r="I24" i="4"/>
  <c r="I28" i="4"/>
  <c r="I27" i="4"/>
  <c r="H14" i="3" l="1"/>
  <c r="I14" i="3" s="1"/>
  <c r="K23" i="4"/>
  <c r="K27" i="4" s="1"/>
  <c r="J14" i="4"/>
  <c r="J15" i="4" s="1"/>
  <c r="J24" i="4"/>
  <c r="J28" i="4"/>
  <c r="J14" i="3" l="1"/>
  <c r="K14" i="4"/>
  <c r="K15" i="4" s="1"/>
  <c r="K24" i="4"/>
  <c r="K28" i="4"/>
  <c r="K14" i="3" l="1"/>
  <c r="M14" i="3" l="1"/>
  <c r="G75" i="3" l="1"/>
  <c r="H75" i="3" l="1"/>
  <c r="I75" i="3" l="1"/>
  <c r="J75" i="3" l="1"/>
  <c r="K75" i="3" l="1"/>
</calcChain>
</file>

<file path=xl/sharedStrings.xml><?xml version="1.0" encoding="utf-8"?>
<sst xmlns="http://schemas.openxmlformats.org/spreadsheetml/2006/main" count="445" uniqueCount="297">
  <si>
    <t>$ in thousands except per unit</t>
  </si>
  <si>
    <t>Company Name</t>
  </si>
  <si>
    <t>Keysight Technologies, Inc.</t>
  </si>
  <si>
    <t>Ticker</t>
  </si>
  <si>
    <t>KEYS</t>
  </si>
  <si>
    <t>Valuation Date</t>
  </si>
  <si>
    <t>Latest Adj. Closing Share Price Date</t>
  </si>
  <si>
    <t>Latest Adj. Closing Share Price</t>
  </si>
  <si>
    <t>Revenue Projection</t>
  </si>
  <si>
    <t>Historical</t>
  </si>
  <si>
    <t>Projected</t>
  </si>
  <si>
    <t>Total Revenues</t>
  </si>
  <si>
    <t>% growth</t>
  </si>
  <si>
    <t>Segmental Revenue Schedule</t>
  </si>
  <si>
    <t>Communications Solutions Group (CSG)</t>
  </si>
  <si>
    <t>Aerospace, Defense &amp; Government</t>
  </si>
  <si>
    <t>Commercial Communications</t>
  </si>
  <si>
    <t>Total CSG Revenue</t>
  </si>
  <si>
    <t>% of CSG Revenue</t>
  </si>
  <si>
    <t>Electronic Industrial Solutions Group (EISG)</t>
  </si>
  <si>
    <t>Growth Driver Assumptions</t>
  </si>
  <si>
    <t>Segment Revenue Growth Drivers</t>
  </si>
  <si>
    <t>Revenue Growth Rate by Segment</t>
  </si>
  <si>
    <t xml:space="preserve"> </t>
  </si>
  <si>
    <t>General Growth Drivers</t>
  </si>
  <si>
    <t>Operating Expenses</t>
  </si>
  <si>
    <t>Gross Profit Margin</t>
  </si>
  <si>
    <t>SG&amp;A % Revenue</t>
  </si>
  <si>
    <t>Other Operating Expense % of Revenue</t>
  </si>
  <si>
    <t>Days Sales Outstanding</t>
  </si>
  <si>
    <t>Inventory Turnover</t>
  </si>
  <si>
    <t>$ in thousands except per share</t>
  </si>
  <si>
    <t>Circ toggle (1=on, 0=off)</t>
  </si>
  <si>
    <t>Circ toggle: 1 = circularity on (interest based on average balances)
Circ toggle: 0 = circularity off (interest income/expense set to zero)</t>
  </si>
  <si>
    <t xml:space="preserve">                                                                                      </t>
  </si>
  <si>
    <t>Income Statement</t>
  </si>
  <si>
    <t>5 Year</t>
  </si>
  <si>
    <t>CAGR</t>
  </si>
  <si>
    <t>Less: Cost of Sales</t>
  </si>
  <si>
    <t>Gross Profit</t>
  </si>
  <si>
    <t>SG&amp;A Expense</t>
  </si>
  <si>
    <t>Other Operating Expense</t>
  </si>
  <si>
    <t>Operating Profit (EBIT)</t>
  </si>
  <si>
    <t>Nonoperating Income</t>
  </si>
  <si>
    <t>In the projected years, interest income is the only component of non-operating income</t>
  </si>
  <si>
    <t>Interest Expense</t>
  </si>
  <si>
    <t>Unusual Expenses</t>
  </si>
  <si>
    <t>Set to zero</t>
  </si>
  <si>
    <t>Pre-tax Profit</t>
  </si>
  <si>
    <t>Income Taxes</t>
  </si>
  <si>
    <t>Minority interest</t>
  </si>
  <si>
    <t>Net Income</t>
  </si>
  <si>
    <t>Depreciation and Amortization</t>
  </si>
  <si>
    <t>EBITDA</t>
  </si>
  <si>
    <t>Stock Compensation and Exercise of Options</t>
  </si>
  <si>
    <t>3Y moving average</t>
  </si>
  <si>
    <t>Growth Rates and Margins</t>
  </si>
  <si>
    <t>Revenue Growth</t>
  </si>
  <si>
    <t>SG&amp;A % of Revenue</t>
  </si>
  <si>
    <t>EBIT Margin</t>
  </si>
  <si>
    <t>EBITDA Margin</t>
  </si>
  <si>
    <t>Profit Margin</t>
  </si>
  <si>
    <t>Effective Tax Rate</t>
  </si>
  <si>
    <t>Keep the line flat at the 2023 level. If 2023 tax rate is negative, take average of the positive values and keep that constant for all the forecast years.</t>
  </si>
  <si>
    <t>Balance Sheet</t>
  </si>
  <si>
    <t>Cash &amp; Short-Term Investments</t>
  </si>
  <si>
    <t>Short-Term Receivables</t>
  </si>
  <si>
    <t>Inventories</t>
  </si>
  <si>
    <t>Other Current Assets</t>
  </si>
  <si>
    <t>Grows with Revenue</t>
  </si>
  <si>
    <t>Total Current Assets</t>
  </si>
  <si>
    <t>Net Property, Plant &amp; Equipment</t>
  </si>
  <si>
    <t>Total Long-Term Investments</t>
  </si>
  <si>
    <t>Intangible Assets</t>
  </si>
  <si>
    <t>Deferred Tax Assets</t>
  </si>
  <si>
    <t>Other Assets</t>
  </si>
  <si>
    <t>Total Assets</t>
  </si>
  <si>
    <t>ST Debt &amp; Curr. Portion LT Debt</t>
  </si>
  <si>
    <t>Accounts Payable</t>
  </si>
  <si>
    <t>Grows with Cost of Sales</t>
  </si>
  <si>
    <t>Income Tax Payable</t>
  </si>
  <si>
    <t>Other Current Liabilities</t>
  </si>
  <si>
    <t>Total Current Liabilities</t>
  </si>
  <si>
    <t>Long-Term Debt</t>
  </si>
  <si>
    <t>Provision for Risks &amp; Charges</t>
  </si>
  <si>
    <t>Deferred Tax Liabilities</t>
  </si>
  <si>
    <t>Other Liabilities</t>
  </si>
  <si>
    <t>Total Liabilities</t>
  </si>
  <si>
    <t>Total Shareholder's Equity</t>
  </si>
  <si>
    <t>Include all items that could affect company's equity based on given structure.</t>
  </si>
  <si>
    <t>Total Equity</t>
  </si>
  <si>
    <t>NCI should be linked directly to total equity.</t>
  </si>
  <si>
    <t>Total Liabilities and Equity</t>
  </si>
  <si>
    <t>Balance Check</t>
  </si>
  <si>
    <t>Cash Flow Statement</t>
  </si>
  <si>
    <t>Depreciation, Depletion &amp; Amortization</t>
  </si>
  <si>
    <t>Deferred Taxes &amp; Investment Tax Credit</t>
  </si>
  <si>
    <t>Other Funds</t>
  </si>
  <si>
    <t>Funds from Operations</t>
  </si>
  <si>
    <t>Changes in Working Capital</t>
  </si>
  <si>
    <t>Cash Flow From Operating Activities</t>
  </si>
  <si>
    <t>Capital Expenditures</t>
  </si>
  <si>
    <t>Net Assets from Acquisitions</t>
  </si>
  <si>
    <t>Set to zero (does not assume any specific future M&amp;A activity for sake of forecast)</t>
  </si>
  <si>
    <t>Sale of Fixed Assets &amp; Businesses</t>
  </si>
  <si>
    <t>Set to zero (does not assume any sale for sake of forecast)</t>
  </si>
  <si>
    <t>Purchase/Sale of Investments</t>
  </si>
  <si>
    <t>Cash Flow From Investing Activities</t>
  </si>
  <si>
    <t>Change in Capital Stock</t>
  </si>
  <si>
    <t>Issuance/Reduction of Debt, Net</t>
  </si>
  <si>
    <t>Dividends</t>
  </si>
  <si>
    <t>Cash Flow From Financing Activities</t>
  </si>
  <si>
    <t>Effect of Exchange Rate on Cash and Equivalents</t>
  </si>
  <si>
    <t>Net Change in Cash During Period</t>
  </si>
  <si>
    <t>Line Item Schedules</t>
  </si>
  <si>
    <t>Current Assets Schedule</t>
  </si>
  <si>
    <t>Accounts Receivable</t>
  </si>
  <si>
    <t>Beginning of Period</t>
  </si>
  <si>
    <t>Increase (Decrease)</t>
  </si>
  <si>
    <t>End of Period</t>
  </si>
  <si>
    <t>A/R Forecasting Approach (1=Rev Growth, 2=DSO)</t>
  </si>
  <si>
    <t>Revenue Growth Rate (Approach 1)</t>
  </si>
  <si>
    <t>Days Sales Outstanding (Approach 2)</t>
  </si>
  <si>
    <t>For historical period, calculate using year end balance of accounts receivable and assume 365 days in a year</t>
  </si>
  <si>
    <t>Revenue</t>
  </si>
  <si>
    <t>Inventory Forecasting Approach (1=Cost of Sales Growth, 2=Turnover)</t>
  </si>
  <si>
    <t>Cost of Sales Growth Rate (Approach 1)</t>
  </si>
  <si>
    <t>Inventory Turnover (Approach 2)</t>
  </si>
  <si>
    <t>For historical period, calculate using year end balance of inventories</t>
  </si>
  <si>
    <t>Cost of Sales</t>
  </si>
  <si>
    <t>Current Assets (Ex. Cash and Other current assets)</t>
  </si>
  <si>
    <t>Intangibles Schedule</t>
  </si>
  <si>
    <t>Goodwill</t>
  </si>
  <si>
    <t>Source 2021 from 10K</t>
  </si>
  <si>
    <t>Plus: Acquisitions, sale and related adjustments</t>
  </si>
  <si>
    <t>Source historical from 10K. For projected years, set to zero</t>
  </si>
  <si>
    <t>Less: Effect of foreign currency translation</t>
  </si>
  <si>
    <t>Intangibles</t>
  </si>
  <si>
    <t>Plus: Additional changes to Intangibles</t>
  </si>
  <si>
    <t>For historical years, should be back-calculated such that End of Period Intangibles value matches with 10K. Set to zero for projected years.</t>
  </si>
  <si>
    <t>Less: Amortization</t>
  </si>
  <si>
    <t>Source historical and expected amortization for projected years from 10K</t>
  </si>
  <si>
    <t>PP&amp;E Schedule</t>
  </si>
  <si>
    <t>Property, Plant and Equipment</t>
  </si>
  <si>
    <t>Plus: Capital Expenditures</t>
  </si>
  <si>
    <t>Source historical from 10K. For FY 2024, project CapEx using 3-year historical average Capital Expenditures grown by FY2024 total revenue growth rate. From FY 2025 onwards, grow using total revenue growth rate.</t>
  </si>
  <si>
    <t>Less: Depreciation</t>
  </si>
  <si>
    <t>Source historical from 10K</t>
  </si>
  <si>
    <t>D&amp;A Related to PP&amp;E as % of CapEx</t>
  </si>
  <si>
    <t>2Y moving average</t>
  </si>
  <si>
    <t>Retained Earnings Schedule</t>
  </si>
  <si>
    <t>Plus: Net Income</t>
  </si>
  <si>
    <t>Less: Dividends Paid and Declared</t>
  </si>
  <si>
    <t>Less: Other Adjustments</t>
  </si>
  <si>
    <t>Dividend Payout Ratio</t>
  </si>
  <si>
    <t>Non-controlling Interest Schedule</t>
  </si>
  <si>
    <t>Plus: Net Income attributable to NCI</t>
  </si>
  <si>
    <t>Net income attributable to NCI as % of total Net Income</t>
  </si>
  <si>
    <t>Debt &amp; Interest Schedule (ex. Operating leases)</t>
  </si>
  <si>
    <t>Needs Analysis</t>
  </si>
  <si>
    <t>Pre-revolver Cash Balance</t>
  </si>
  <si>
    <t>Pre-revolver cash balance is the cash remaining post all the activities except revolver.</t>
  </si>
  <si>
    <t>Target Minimum Cash</t>
  </si>
  <si>
    <t>Target Minimum Cash as a % of Revenue</t>
  </si>
  <si>
    <t>Short-term Bank Credit/Revolver</t>
  </si>
  <si>
    <t xml:space="preserve">If pre-revolver cash balance meets or exceeds the target minimum required, set revolver activity to zero or use any excess cash to repay the outstanding revolver. If pre-revolver cash balance falls short of the minimum required, draw on the revolver to cover the shortfall. </t>
  </si>
  <si>
    <t>Beginning of Period (BOP)</t>
  </si>
  <si>
    <t>Draw (Paydown)</t>
  </si>
  <si>
    <t>Source historical from 10K, if any</t>
  </si>
  <si>
    <t>Weighted Average Interest Rate</t>
  </si>
  <si>
    <t>Keep the line flat at the 2023 level</t>
  </si>
  <si>
    <t>Calculate interest expense using provided rates and allocate rest of total interest expense to long-term debt.</t>
  </si>
  <si>
    <t>Long-term Debt</t>
  </si>
  <si>
    <t>End of Period Balance (from B/S):</t>
  </si>
  <si>
    <t>Source historical from 10K. FY2023 current and non-current portions of long-term debt are repaid according to the maturities disclosed in the 10-K. Repayment should be based on the carrying value, net of unamortized discount and issuance costs, and allocated in proportion to the principal amounts.</t>
  </si>
  <si>
    <t>Current portion</t>
  </si>
  <si>
    <t>Non-current portion</t>
  </si>
  <si>
    <t>Total Interest Expense</t>
  </si>
  <si>
    <t>Cash and Equivalents</t>
  </si>
  <si>
    <t>End of Period Balance (from B/S)</t>
  </si>
  <si>
    <t>Interest Income</t>
  </si>
  <si>
    <t>Operating Lease Schedule</t>
  </si>
  <si>
    <t>Total lease cost</t>
  </si>
  <si>
    <t>Lease cost as % of revenue</t>
  </si>
  <si>
    <t>Flat line at 2023 level</t>
  </si>
  <si>
    <t>Cash payment for operating leases</t>
  </si>
  <si>
    <t>The difference between total lease cost and cash paid for the same should flow through other funds in operating activities.</t>
  </si>
  <si>
    <t>Cash payment as % of total lease cost</t>
  </si>
  <si>
    <t>Operating lease discount rate</t>
  </si>
  <si>
    <t>Operating lease liabilities BOP</t>
  </si>
  <si>
    <t xml:space="preserve">  Plus: New lease additions</t>
  </si>
  <si>
    <t>Back calculate to maintain the Operating lease liabilities EOP as per its value using % of revenue</t>
  </si>
  <si>
    <t xml:space="preserve">  Plus: Interest accretion</t>
  </si>
  <si>
    <t xml:space="preserve">  Less: Cash lease payments</t>
  </si>
  <si>
    <t>Operating lease liabilities EOP</t>
  </si>
  <si>
    <t>Operating lease liabilities EOP as % of revenue</t>
  </si>
  <si>
    <t>Current portion of lease liabilities</t>
  </si>
  <si>
    <t>Current lease liabilities as a % of total</t>
  </si>
  <si>
    <t>Non-current portion of lease liabilities</t>
  </si>
  <si>
    <t>Total ROU assets BOP</t>
  </si>
  <si>
    <t>Same as lease additions in lease liabilities</t>
  </si>
  <si>
    <t xml:space="preserve">  Less: ROU amortization</t>
  </si>
  <si>
    <t>Total ROU assets EOP</t>
  </si>
  <si>
    <t>Values</t>
  </si>
  <si>
    <t>Basic Shares Outstanding</t>
  </si>
  <si>
    <t>Fully Diluted Shares Outstanding</t>
  </si>
  <si>
    <t>Discount Rate (WACC)</t>
  </si>
  <si>
    <t>Midyear Adjustment (1=on, 0=off)</t>
  </si>
  <si>
    <t>Unlevered Free Cash Flow</t>
  </si>
  <si>
    <t>YoY Growth Rate (%)</t>
  </si>
  <si>
    <t>Gross Margin (%)</t>
  </si>
  <si>
    <t>EBITDA Margin (%)</t>
  </si>
  <si>
    <t>EBIT Margin (%)</t>
  </si>
  <si>
    <t>Tax on EBIT</t>
  </si>
  <si>
    <t>Tax Rate (%)</t>
  </si>
  <si>
    <t>NOPAT/EBIAT</t>
  </si>
  <si>
    <t>Plus: Depreciation and Amortization</t>
  </si>
  <si>
    <t>Plus: Stock Compensation</t>
  </si>
  <si>
    <t>Less: Change in Net Working Capital</t>
  </si>
  <si>
    <t>Less: Capital Expenditures</t>
  </si>
  <si>
    <t>Unlevered Free Cash Flow (UFCF)</t>
  </si>
  <si>
    <t>Net Working Capital Schedule</t>
  </si>
  <si>
    <t>Current Assets (Ex. Cash)</t>
  </si>
  <si>
    <t>Current Liabilities</t>
  </si>
  <si>
    <t>Net Working Capital</t>
  </si>
  <si>
    <t>Change in Net Working Capital</t>
  </si>
  <si>
    <t>Stub %</t>
  </si>
  <si>
    <t>Stub Year</t>
  </si>
  <si>
    <t>Year 2</t>
  </si>
  <si>
    <t>Year 3</t>
  </si>
  <si>
    <t>Year 4</t>
  </si>
  <si>
    <t>Year 5</t>
  </si>
  <si>
    <t>Dates for Discounting UFCF</t>
  </si>
  <si>
    <t>Periods for Discounting UFCF</t>
  </si>
  <si>
    <t>Use Actual/Actual convention for Periods and Stub %</t>
  </si>
  <si>
    <t>Stub-adjusted Unlevered Free Cash Flow (UFCF)</t>
  </si>
  <si>
    <t>Factor in Y1 UFCF for the Stub Rate</t>
  </si>
  <si>
    <t>PV of Stub-adjusted UFCFs</t>
  </si>
  <si>
    <t>Basic to Fully Diluted Shares Bridge (in 000s)</t>
  </si>
  <si>
    <t>Basic Shares</t>
  </si>
  <si>
    <t>Restricted Stock</t>
  </si>
  <si>
    <t>Options/Warrants</t>
  </si>
  <si>
    <t>Convertible Debt</t>
  </si>
  <si>
    <t>Convertible Preferred Stock</t>
  </si>
  <si>
    <t>Terminal Value and Equity Value Bridge</t>
  </si>
  <si>
    <t>Terminal Value - Multiples Method</t>
  </si>
  <si>
    <t>Terminal Value - Perpetual Growth Method</t>
  </si>
  <si>
    <t>EV/EBITDA</t>
  </si>
  <si>
    <t>Terminal UFCF Growth Rate</t>
  </si>
  <si>
    <t>Implied Terminal Value</t>
  </si>
  <si>
    <t>Implied Terminal UFCF Growth Rate</t>
  </si>
  <si>
    <t>Implied Terminal EV/EBITDA</t>
  </si>
  <si>
    <t>Plus: PV of Terminal Value</t>
  </si>
  <si>
    <t>Plus: Sum of PV of Stub-adjusted UFCFs</t>
  </si>
  <si>
    <t>Implied Enterprise Value</t>
  </si>
  <si>
    <t>% of Implied EV from Terminal Value</t>
  </si>
  <si>
    <t>Plus: Cash and Cash Equivalents</t>
  </si>
  <si>
    <t>Less: Debt &amp; Capital Leases (excl. Operating Leases)</t>
  </si>
  <si>
    <t>Less: Preferred Stock</t>
  </si>
  <si>
    <t>Less: Non-controlling Interest</t>
  </si>
  <si>
    <t>Implied Equity Value</t>
  </si>
  <si>
    <t>Implied Share Price</t>
  </si>
  <si>
    <t>Premium (Discount) to Current Price</t>
  </si>
  <si>
    <t>Implied Y1 Multiples</t>
  </si>
  <si>
    <t>EV / Revenue</t>
  </si>
  <si>
    <t xml:space="preserve">EV / EBITDA </t>
  </si>
  <si>
    <t>EV / EBIT</t>
  </si>
  <si>
    <t>Data Tables and Football Field</t>
  </si>
  <si>
    <t>Instructions: To complete the sensitivity tables, enter the calculated WACC in cells E111 and E121. Then, for the remaining rows, sequentially add/subtract 0.5% to generate the different scenarios.
Enter the terminal EBITDA multiple in cell I107 and for the remaining columns, sequentially add/subtract 0.5x to generate the alternative scenarios.
For Terminal UFCF Growth Rate, enter the terminal growth rate in cell I117 and for the remaining columns, sequentially add/subtract 0.5% to generate the alternative scenarios.</t>
  </si>
  <si>
    <t>Cost of Debt Calculation</t>
  </si>
  <si>
    <t>Beta (β) Calculator</t>
  </si>
  <si>
    <t>Interest on Short-term Bank Credit</t>
  </si>
  <si>
    <t>S&amp;P 500 Index</t>
  </si>
  <si>
    <t>Exclude operating leases from cost of debt and capital structure weight calculations.</t>
  </si>
  <si>
    <t>Interest on Long-term Debt</t>
  </si>
  <si>
    <t>Date</t>
  </si>
  <si>
    <t>Adj. Close Price</t>
  </si>
  <si>
    <t>Return (%)</t>
  </si>
  <si>
    <t>Total Interest Expenses</t>
  </si>
  <si>
    <t>Current Portion of LT Debt &amp; Finance leases</t>
  </si>
  <si>
    <t>LT Debt &amp; Finance leases (Ex. Current Portion)</t>
  </si>
  <si>
    <t>Total Debt</t>
  </si>
  <si>
    <t>Pre-tax Cost of Debt</t>
  </si>
  <si>
    <t>Use 2023 effective tax rate. If negative, take average of the positive values from historical periods.</t>
  </si>
  <si>
    <t>Effective Cost of Debt</t>
  </si>
  <si>
    <t>Cost of Equity Calculation</t>
  </si>
  <si>
    <t>Equity Risk Premium</t>
  </si>
  <si>
    <t>Risk-free Rate</t>
  </si>
  <si>
    <t>Company Beta</t>
  </si>
  <si>
    <t>Cost of Equity</t>
  </si>
  <si>
    <t>Capital Structure and WACC</t>
  </si>
  <si>
    <t>% of Total Capital</t>
  </si>
  <si>
    <t>Equity Value</t>
  </si>
  <si>
    <t>Weighted Average Cost of Capital (WACC)</t>
  </si>
  <si>
    <t>Company Beta (3Y Monthly) &gt;&gt;</t>
  </si>
  <si>
    <t>EV/EBITDA Multiple</t>
  </si>
  <si>
    <t>For historical, include Operating and Variable lease cost. Assume that the total lease cost in projected years is already incorporated in the operating expense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</si>
</sst>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&quot;FY&quot;\ yyyy"/>
    <numFmt numFmtId="167" formatCode="0.0%_);\(0.0%\);@_)"/>
    <numFmt numFmtId="168" formatCode="#,##0.0_);\(#,##0.0\)"/>
    <numFmt numFmtId="169" formatCode="0\ &quot;days&quot;"/>
    <numFmt numFmtId="170" formatCode="0.0%"/>
    <numFmt numFmtId="171" formatCode="#,##0\ &quot;days&quot;_);\(#,##0\ &quot;days&quot;\)"/>
    <numFmt numFmtId="172" formatCode="_(* #,##0.000_);_(* \(#,##0.000\);_(* &quot;-&quot;_);_(@_)"/>
    <numFmt numFmtId="173" formatCode="_([$$-409]* #,##0.00_);_([$$-409]* \(#,##0.00\);_([$$-409]* &quot;-&quot;??_);_(@_)"/>
    <numFmt numFmtId="174" formatCode="0.0%_);\(0.0%\)"/>
    <numFmt numFmtId="175" formatCode="#,##0_);\(#,##0\);\-\ "/>
    <numFmt numFmtId="176" formatCode="0.0\x_);\(0.0\x\);\-\ "/>
    <numFmt numFmtId="177" formatCode="0.00\x_);\(0.00\x\);\-\ "/>
    <numFmt numFmtId="178" formatCode="#,##0.00_);\(#,##0.00\);\-\ "/>
    <numFmt numFmtId="179" formatCode="0.00%_);\(0.00%\)"/>
  </numFmts>
  <fonts count="3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70C0"/>
      <name val="Calibri"/>
      <family val="2"/>
    </font>
    <font>
      <u/>
      <sz val="11"/>
      <color theme="1"/>
      <name val="Calibri"/>
      <family val="2"/>
    </font>
    <font>
      <sz val="11"/>
      <color theme="9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ourier New"/>
      <family val="1"/>
    </font>
    <font>
      <sz val="11"/>
      <color theme="0"/>
      <name val="Calibri (Body)"/>
    </font>
    <font>
      <b/>
      <sz val="11"/>
      <color theme="0"/>
      <name val="Calibri (Body)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theme="8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sz val="11"/>
      <color rgb="FF196B24"/>
      <name val="Calibri"/>
      <family val="2"/>
    </font>
    <font>
      <b/>
      <sz val="11"/>
      <color rgb="FF0000FF"/>
      <name val="Calibri"/>
      <family val="2"/>
    </font>
    <font>
      <sz val="11"/>
      <color rgb="FF196B24"/>
      <name val="Calibri"/>
      <family val="2"/>
      <scheme val="minor"/>
    </font>
    <font>
      <i/>
      <sz val="11"/>
      <color rgb="FF196B2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1F3864"/>
        <bgColor rgb="FF1F3864"/>
      </patternFill>
    </fill>
    <fill>
      <patternFill patternType="solid">
        <fgColor rgb="FFD8D8D8"/>
        <bgColor indexed="64"/>
      </patternFill>
    </fill>
    <fill>
      <patternFill patternType="solid">
        <fgColor rgb="FFFEF2CB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3" fillId="0" borderId="9"/>
    <xf numFmtId="9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9"/>
    <xf numFmtId="43" fontId="3" fillId="0" borderId="9" applyFont="0" applyFill="0" applyBorder="0" applyAlignment="0" applyProtection="0"/>
    <xf numFmtId="0" fontId="3" fillId="0" borderId="9"/>
  </cellStyleXfs>
  <cellXfs count="346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6" fillId="0" borderId="2" xfId="0" applyFont="1" applyBorder="1" applyAlignment="1">
      <alignment horizontal="left"/>
    </xf>
    <xf numFmtId="0" fontId="5" fillId="0" borderId="2" xfId="0" applyFont="1" applyBorder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37" fontId="7" fillId="0" borderId="0" xfId="0" applyNumberFormat="1" applyFont="1" applyAlignment="1">
      <alignment horizontal="left"/>
    </xf>
    <xf numFmtId="166" fontId="10" fillId="2" borderId="4" xfId="0" applyNumberFormat="1" applyFont="1" applyFill="1" applyBorder="1" applyAlignment="1">
      <alignment horizontal="center"/>
    </xf>
    <xf numFmtId="166" fontId="10" fillId="2" borderId="5" xfId="0" applyNumberFormat="1" applyFont="1" applyFill="1" applyBorder="1" applyAlignment="1">
      <alignment horizontal="center"/>
    </xf>
    <xf numFmtId="0" fontId="12" fillId="0" borderId="0" xfId="0" applyFont="1"/>
    <xf numFmtId="0" fontId="6" fillId="0" borderId="0" xfId="0" applyFont="1"/>
    <xf numFmtId="37" fontId="5" fillId="0" borderId="0" xfId="0" applyNumberFormat="1" applyFont="1"/>
    <xf numFmtId="167" fontId="5" fillId="0" borderId="0" xfId="0" applyNumberFormat="1" applyFont="1"/>
    <xf numFmtId="0" fontId="5" fillId="4" borderId="8" xfId="0" applyFont="1" applyFill="1" applyBorder="1" applyAlignment="1">
      <alignment horizontal="center" vertical="center"/>
    </xf>
    <xf numFmtId="3" fontId="5" fillId="0" borderId="0" xfId="0" applyNumberFormat="1" applyFont="1"/>
    <xf numFmtId="168" fontId="12" fillId="0" borderId="0" xfId="0" applyNumberFormat="1" applyFont="1"/>
    <xf numFmtId="0" fontId="5" fillId="0" borderId="0" xfId="0" applyFont="1"/>
    <xf numFmtId="37" fontId="0" fillId="0" borderId="0" xfId="0" applyNumberFormat="1"/>
    <xf numFmtId="0" fontId="18" fillId="0" borderId="0" xfId="0" applyFont="1"/>
    <xf numFmtId="0" fontId="19" fillId="0" borderId="9" xfId="0" applyFont="1" applyBorder="1"/>
    <xf numFmtId="0" fontId="12" fillId="0" borderId="9" xfId="0" applyFont="1" applyBorder="1"/>
    <xf numFmtId="37" fontId="12" fillId="0" borderId="9" xfId="0" applyNumberFormat="1" applyFont="1" applyBorder="1"/>
    <xf numFmtId="0" fontId="0" fillId="0" borderId="9" xfId="0" applyBorder="1"/>
    <xf numFmtId="170" fontId="17" fillId="0" borderId="0" xfId="0" applyNumberFormat="1" applyFont="1"/>
    <xf numFmtId="0" fontId="21" fillId="0" borderId="0" xfId="0" applyFont="1"/>
    <xf numFmtId="170" fontId="6" fillId="0" borderId="9" xfId="0" applyNumberFormat="1" applyFont="1" applyBorder="1"/>
    <xf numFmtId="168" fontId="12" fillId="0" borderId="9" xfId="0" applyNumberFormat="1" applyFont="1" applyBorder="1"/>
    <xf numFmtId="0" fontId="3" fillId="0" borderId="9" xfId="4"/>
    <xf numFmtId="0" fontId="4" fillId="0" borderId="1" xfId="4" applyFont="1" applyBorder="1"/>
    <xf numFmtId="0" fontId="5" fillId="0" borderId="1" xfId="4" applyFont="1" applyBorder="1"/>
    <xf numFmtId="0" fontId="6" fillId="0" borderId="2" xfId="4" applyFont="1" applyBorder="1" applyAlignment="1">
      <alignment horizontal="left"/>
    </xf>
    <xf numFmtId="0" fontId="5" fillId="0" borderId="2" xfId="4" applyFont="1" applyBorder="1"/>
    <xf numFmtId="0" fontId="6" fillId="0" borderId="9" xfId="4" applyFont="1" applyAlignment="1">
      <alignment horizontal="left"/>
    </xf>
    <xf numFmtId="0" fontId="5" fillId="0" borderId="9" xfId="4" applyFont="1" applyAlignment="1">
      <alignment horizontal="left"/>
    </xf>
    <xf numFmtId="0" fontId="8" fillId="0" borderId="9" xfId="4" applyFont="1"/>
    <xf numFmtId="37" fontId="7" fillId="0" borderId="9" xfId="4" applyNumberFormat="1" applyFont="1" applyAlignment="1">
      <alignment horizontal="left"/>
    </xf>
    <xf numFmtId="0" fontId="9" fillId="0" borderId="9" xfId="4" applyFont="1" applyAlignment="1">
      <alignment horizontal="left"/>
    </xf>
    <xf numFmtId="0" fontId="10" fillId="2" borderId="9" xfId="4" applyFont="1" applyFill="1"/>
    <xf numFmtId="166" fontId="10" fillId="2" borderId="4" xfId="4" applyNumberFormat="1" applyFont="1" applyFill="1" applyBorder="1" applyAlignment="1">
      <alignment horizontal="center"/>
    </xf>
    <xf numFmtId="166" fontId="10" fillId="2" borderId="5" xfId="4" applyNumberFormat="1" applyFont="1" applyFill="1" applyBorder="1" applyAlignment="1">
      <alignment horizontal="center"/>
    </xf>
    <xf numFmtId="0" fontId="12" fillId="0" borderId="9" xfId="4" applyFont="1"/>
    <xf numFmtId="0" fontId="5" fillId="0" borderId="7" xfId="4" applyFont="1" applyBorder="1"/>
    <xf numFmtId="167" fontId="22" fillId="0" borderId="9" xfId="4" applyNumberFormat="1" applyFont="1"/>
    <xf numFmtId="0" fontId="5" fillId="0" borderId="10" xfId="4" applyFont="1" applyBorder="1"/>
    <xf numFmtId="167" fontId="22" fillId="0" borderId="10" xfId="4" applyNumberFormat="1" applyFont="1" applyBorder="1"/>
    <xf numFmtId="0" fontId="5" fillId="0" borderId="7" xfId="4" applyFont="1" applyBorder="1" applyAlignment="1">
      <alignment horizontal="left"/>
    </xf>
    <xf numFmtId="0" fontId="4" fillId="0" borderId="2" xfId="4" applyFont="1" applyBorder="1"/>
    <xf numFmtId="0" fontId="10" fillId="2" borderId="9" xfId="4" applyFont="1" applyFill="1" applyAlignment="1">
      <alignment vertical="top"/>
    </xf>
    <xf numFmtId="167" fontId="5" fillId="0" borderId="9" xfId="4" applyNumberFormat="1" applyFont="1" applyAlignment="1">
      <alignment horizontal="center"/>
    </xf>
    <xf numFmtId="0" fontId="10" fillId="2" borderId="9" xfId="0" applyFont="1" applyFill="1" applyBorder="1" applyAlignment="1">
      <alignment horizontal="center"/>
    </xf>
    <xf numFmtId="167" fontId="14" fillId="5" borderId="9" xfId="0" applyNumberFormat="1" applyFont="1" applyFill="1" applyBorder="1" applyAlignment="1">
      <alignment horizontal="center"/>
    </xf>
    <xf numFmtId="0" fontId="4" fillId="0" borderId="2" xfId="0" applyFont="1" applyBorder="1"/>
    <xf numFmtId="0" fontId="10" fillId="2" borderId="9" xfId="0" applyFont="1" applyFill="1" applyBorder="1"/>
    <xf numFmtId="0" fontId="5" fillId="0" borderId="10" xfId="0" applyFont="1" applyBorder="1"/>
    <xf numFmtId="37" fontId="5" fillId="0" borderId="10" xfId="0" applyNumberFormat="1" applyFont="1" applyBorder="1"/>
    <xf numFmtId="0" fontId="12" fillId="0" borderId="0" xfId="0" applyFont="1" applyAlignment="1">
      <alignment horizontal="left"/>
    </xf>
    <xf numFmtId="169" fontId="5" fillId="0" borderId="0" xfId="0" applyNumberFormat="1" applyFont="1"/>
    <xf numFmtId="169" fontId="5" fillId="0" borderId="10" xfId="0" applyNumberFormat="1" applyFont="1" applyBorder="1"/>
    <xf numFmtId="0" fontId="8" fillId="0" borderId="0" xfId="0" applyFont="1" applyAlignment="1">
      <alignment horizontal="left"/>
    </xf>
    <xf numFmtId="167" fontId="14" fillId="0" borderId="0" xfId="0" applyNumberFormat="1" applyFont="1"/>
    <xf numFmtId="0" fontId="12" fillId="0" borderId="7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0" fillId="6" borderId="0" xfId="0" applyFill="1"/>
    <xf numFmtId="37" fontId="12" fillId="6" borderId="0" xfId="0" applyNumberFormat="1" applyFont="1" applyFill="1"/>
    <xf numFmtId="0" fontId="5" fillId="0" borderId="0" xfId="0" applyFont="1" applyAlignment="1">
      <alignment horizontal="left" indent="1"/>
    </xf>
    <xf numFmtId="0" fontId="0" fillId="0" borderId="9" xfId="0" applyBorder="1" applyAlignment="1">
      <alignment wrapText="1"/>
    </xf>
    <xf numFmtId="14" fontId="3" fillId="0" borderId="9" xfId="4" applyNumberFormat="1" applyAlignment="1">
      <alignment horizontal="right"/>
    </xf>
    <xf numFmtId="0" fontId="6" fillId="0" borderId="9" xfId="4" applyFont="1"/>
    <xf numFmtId="0" fontId="10" fillId="2" borderId="9" xfId="4" applyFont="1" applyFill="1" applyAlignment="1">
      <alignment horizontal="left"/>
    </xf>
    <xf numFmtId="0" fontId="12" fillId="7" borderId="7" xfId="4" applyFont="1" applyFill="1" applyBorder="1"/>
    <xf numFmtId="0" fontId="5" fillId="7" borderId="7" xfId="4" applyFont="1" applyFill="1" applyBorder="1"/>
    <xf numFmtId="43" fontId="5" fillId="0" borderId="9" xfId="5" applyFont="1"/>
    <xf numFmtId="0" fontId="12" fillId="0" borderId="12" xfId="0" applyFont="1" applyBorder="1"/>
    <xf numFmtId="170" fontId="6" fillId="0" borderId="10" xfId="0" applyNumberFormat="1" applyFont="1" applyBorder="1"/>
    <xf numFmtId="168" fontId="12" fillId="0" borderId="10" xfId="0" applyNumberFormat="1" applyFont="1" applyBorder="1"/>
    <xf numFmtId="0" fontId="28" fillId="0" borderId="9" xfId="4" applyFont="1" applyAlignment="1">
      <alignment horizontal="center"/>
    </xf>
    <xf numFmtId="0" fontId="12" fillId="0" borderId="7" xfId="4" applyFont="1" applyBorder="1" applyAlignment="1">
      <alignment horizontal="left"/>
    </xf>
    <xf numFmtId="0" fontId="29" fillId="0" borderId="9" xfId="4" applyFont="1" applyAlignment="1">
      <alignment horizontal="left"/>
    </xf>
    <xf numFmtId="0" fontId="29" fillId="0" borderId="9" xfId="4" applyFont="1" applyAlignment="1">
      <alignment horizontal="right"/>
    </xf>
    <xf numFmtId="14" fontId="29" fillId="0" borderId="9" xfId="4" applyNumberFormat="1" applyFont="1" applyAlignment="1">
      <alignment horizontal="right"/>
    </xf>
    <xf numFmtId="0" fontId="3" fillId="0" borderId="9" xfId="6"/>
    <xf numFmtId="0" fontId="12" fillId="9" borderId="12" xfId="4" applyFont="1" applyFill="1" applyBorder="1"/>
    <xf numFmtId="0" fontId="12" fillId="9" borderId="12" xfId="4" applyFont="1" applyFill="1" applyBorder="1" applyAlignment="1">
      <alignment horizontal="right"/>
    </xf>
    <xf numFmtId="0" fontId="5" fillId="0" borderId="2" xfId="4" applyFont="1" applyBorder="1" applyAlignment="1">
      <alignment horizontal="center"/>
    </xf>
    <xf numFmtId="0" fontId="3" fillId="0" borderId="9" xfId="4" applyAlignment="1">
      <alignment horizontal="center"/>
    </xf>
    <xf numFmtId="0" fontId="4" fillId="0" borderId="1" xfId="6" applyFont="1" applyBorder="1"/>
    <xf numFmtId="0" fontId="5" fillId="0" borderId="1" xfId="6" applyFont="1" applyBorder="1"/>
    <xf numFmtId="0" fontId="6" fillId="0" borderId="2" xfId="6" applyFont="1" applyBorder="1" applyAlignment="1">
      <alignment horizontal="left"/>
    </xf>
    <xf numFmtId="0" fontId="5" fillId="0" borderId="2" xfId="6" applyFont="1" applyBorder="1"/>
    <xf numFmtId="0" fontId="6" fillId="0" borderId="9" xfId="6" applyFont="1" applyAlignment="1">
      <alignment horizontal="left"/>
    </xf>
    <xf numFmtId="0" fontId="5" fillId="0" borderId="9" xfId="6" applyFont="1" applyAlignment="1">
      <alignment horizontal="left"/>
    </xf>
    <xf numFmtId="0" fontId="3" fillId="0" borderId="9" xfId="6" applyAlignment="1">
      <alignment horizontal="left"/>
    </xf>
    <xf numFmtId="0" fontId="5" fillId="4" borderId="8" xfId="6" applyFont="1" applyFill="1" applyBorder="1" applyAlignment="1">
      <alignment horizontal="center" vertical="center"/>
    </xf>
    <xf numFmtId="15" fontId="3" fillId="0" borderId="9" xfId="6" applyNumberFormat="1"/>
    <xf numFmtId="0" fontId="10" fillId="2" borderId="9" xfId="6" applyFont="1" applyFill="1"/>
    <xf numFmtId="0" fontId="10" fillId="2" borderId="9" xfId="6" applyFont="1" applyFill="1" applyAlignment="1">
      <alignment horizontal="center"/>
    </xf>
    <xf numFmtId="166" fontId="10" fillId="2" borderId="4" xfId="6" applyNumberFormat="1" applyFont="1" applyFill="1" applyBorder="1" applyAlignment="1">
      <alignment horizontal="center"/>
    </xf>
    <xf numFmtId="166" fontId="10" fillId="2" borderId="5" xfId="6" applyNumberFormat="1" applyFont="1" applyFill="1" applyBorder="1" applyAlignment="1">
      <alignment horizontal="center"/>
    </xf>
    <xf numFmtId="0" fontId="6" fillId="0" borderId="9" xfId="6" applyFont="1"/>
    <xf numFmtId="37" fontId="5" fillId="0" borderId="10" xfId="6" applyNumberFormat="1" applyFont="1" applyBorder="1"/>
    <xf numFmtId="0" fontId="12" fillId="0" borderId="9" xfId="6" applyFont="1"/>
    <xf numFmtId="37" fontId="12" fillId="0" borderId="9" xfId="6" applyNumberFormat="1" applyFont="1"/>
    <xf numFmtId="0" fontId="12" fillId="0" borderId="7" xfId="6" applyFont="1" applyBorder="1"/>
    <xf numFmtId="165" fontId="5" fillId="0" borderId="9" xfId="6" applyNumberFormat="1" applyFont="1"/>
    <xf numFmtId="0" fontId="10" fillId="2" borderId="9" xfId="6" applyFont="1" applyFill="1" applyAlignment="1">
      <alignment horizontal="left"/>
    </xf>
    <xf numFmtId="170" fontId="10" fillId="2" borderId="9" xfId="6" applyNumberFormat="1" applyFont="1" applyFill="1" applyAlignment="1">
      <alignment horizontal="center"/>
    </xf>
    <xf numFmtId="170" fontId="10" fillId="2" borderId="4" xfId="6" applyNumberFormat="1" applyFont="1" applyFill="1" applyBorder="1" applyAlignment="1">
      <alignment horizontal="center"/>
    </xf>
    <xf numFmtId="166" fontId="10" fillId="2" borderId="9" xfId="6" applyNumberFormat="1" applyFont="1" applyFill="1" applyAlignment="1">
      <alignment horizontal="center"/>
    </xf>
    <xf numFmtId="15" fontId="10" fillId="2" borderId="4" xfId="6" applyNumberFormat="1" applyFont="1" applyFill="1" applyBorder="1" applyAlignment="1">
      <alignment horizontal="center"/>
    </xf>
    <xf numFmtId="14" fontId="5" fillId="0" borderId="9" xfId="6" applyNumberFormat="1" applyFont="1"/>
    <xf numFmtId="4" fontId="6" fillId="0" borderId="9" xfId="6" applyNumberFormat="1" applyFont="1"/>
    <xf numFmtId="39" fontId="6" fillId="0" borderId="9" xfId="6" applyNumberFormat="1" applyFont="1"/>
    <xf numFmtId="39" fontId="12" fillId="0" borderId="9" xfId="6" applyNumberFormat="1" applyFont="1"/>
    <xf numFmtId="164" fontId="5" fillId="0" borderId="9" xfId="6" applyNumberFormat="1" applyFont="1"/>
    <xf numFmtId="0" fontId="12" fillId="7" borderId="7" xfId="6" applyFont="1" applyFill="1" applyBorder="1"/>
    <xf numFmtId="0" fontId="5" fillId="7" borderId="7" xfId="6" applyFont="1" applyFill="1" applyBorder="1"/>
    <xf numFmtId="0" fontId="5" fillId="0" borderId="9" xfId="6" applyFont="1"/>
    <xf numFmtId="0" fontId="14" fillId="0" borderId="9" xfId="6" applyFont="1"/>
    <xf numFmtId="0" fontId="25" fillId="0" borderId="9" xfId="6" applyFont="1"/>
    <xf numFmtId="172" fontId="5" fillId="0" borderId="9" xfId="6" applyNumberFormat="1" applyFont="1"/>
    <xf numFmtId="0" fontId="14" fillId="0" borderId="9" xfId="6" applyFont="1" applyAlignment="1">
      <alignment horizontal="left"/>
    </xf>
    <xf numFmtId="0" fontId="14" fillId="0" borderId="7" xfId="6" applyFont="1" applyBorder="1" applyAlignment="1">
      <alignment horizontal="left"/>
    </xf>
    <xf numFmtId="0" fontId="25" fillId="0" borderId="7" xfId="6" applyFont="1" applyBorder="1"/>
    <xf numFmtId="0" fontId="5" fillId="0" borderId="7" xfId="6" applyFont="1" applyBorder="1"/>
    <xf numFmtId="0" fontId="12" fillId="7" borderId="9" xfId="6" applyFont="1" applyFill="1"/>
    <xf numFmtId="0" fontId="25" fillId="7" borderId="9" xfId="6" applyFont="1" applyFill="1"/>
    <xf numFmtId="165" fontId="12" fillId="0" borderId="9" xfId="6" applyNumberFormat="1" applyFont="1"/>
    <xf numFmtId="0" fontId="5" fillId="7" borderId="9" xfId="6" applyFont="1" applyFill="1"/>
    <xf numFmtId="0" fontId="22" fillId="0" borderId="9" xfId="6" applyFont="1"/>
    <xf numFmtId="0" fontId="12" fillId="7" borderId="11" xfId="6" applyFont="1" applyFill="1" applyBorder="1" applyAlignment="1">
      <alignment horizontal="left"/>
    </xf>
    <xf numFmtId="0" fontId="25" fillId="7" borderId="11" xfId="6" applyFont="1" applyFill="1" applyBorder="1"/>
    <xf numFmtId="0" fontId="5" fillId="7" borderId="11" xfId="6" applyFont="1" applyFill="1" applyBorder="1"/>
    <xf numFmtId="0" fontId="12" fillId="3" borderId="14" xfId="6" applyFont="1" applyFill="1" applyBorder="1"/>
    <xf numFmtId="0" fontId="12" fillId="3" borderId="11" xfId="6" applyFont="1" applyFill="1" applyBorder="1"/>
    <xf numFmtId="173" fontId="12" fillId="3" borderId="15" xfId="6" applyNumberFormat="1" applyFont="1" applyFill="1" applyBorder="1"/>
    <xf numFmtId="0" fontId="12" fillId="3" borderId="16" xfId="6" applyFont="1" applyFill="1" applyBorder="1"/>
    <xf numFmtId="0" fontId="12" fillId="3" borderId="7" xfId="6" applyFont="1" applyFill="1" applyBorder="1"/>
    <xf numFmtId="0" fontId="10" fillId="8" borderId="9" xfId="6" applyFont="1" applyFill="1" applyAlignment="1">
      <alignment horizontal="left"/>
    </xf>
    <xf numFmtId="173" fontId="27" fillId="2" borderId="14" xfId="6" applyNumberFormat="1" applyFont="1" applyFill="1" applyBorder="1"/>
    <xf numFmtId="37" fontId="12" fillId="6" borderId="7" xfId="6" applyNumberFormat="1" applyFont="1" applyFill="1" applyBorder="1"/>
    <xf numFmtId="0" fontId="3" fillId="6" borderId="9" xfId="6" applyFill="1"/>
    <xf numFmtId="37" fontId="5" fillId="6" borderId="10" xfId="6" applyNumberFormat="1" applyFont="1" applyFill="1" applyBorder="1"/>
    <xf numFmtId="37" fontId="12" fillId="6" borderId="9" xfId="6" applyNumberFormat="1" applyFont="1" applyFill="1"/>
    <xf numFmtId="37" fontId="12" fillId="6" borderId="10" xfId="6" applyNumberFormat="1" applyFont="1" applyFill="1" applyBorder="1"/>
    <xf numFmtId="37" fontId="12" fillId="6" borderId="6" xfId="6" applyNumberFormat="1" applyFont="1" applyFill="1" applyBorder="1"/>
    <xf numFmtId="0" fontId="3" fillId="0" borderId="9" xfId="6" applyAlignment="1">
      <alignment wrapText="1"/>
    </xf>
    <xf numFmtId="37" fontId="0" fillId="0" borderId="9" xfId="0" applyNumberFormat="1" applyBorder="1"/>
    <xf numFmtId="174" fontId="0" fillId="0" borderId="0" xfId="0" applyNumberFormat="1"/>
    <xf numFmtId="167" fontId="5" fillId="0" borderId="21" xfId="0" applyNumberFormat="1" applyFont="1" applyBorder="1"/>
    <xf numFmtId="175" fontId="23" fillId="0" borderId="9" xfId="0" applyNumberFormat="1" applyFont="1" applyBorder="1"/>
    <xf numFmtId="175" fontId="23" fillId="0" borderId="10" xfId="0" applyNumberFormat="1" applyFont="1" applyBorder="1"/>
    <xf numFmtId="175" fontId="5" fillId="0" borderId="0" xfId="0" applyNumberFormat="1" applyFont="1"/>
    <xf numFmtId="175" fontId="24" fillId="0" borderId="9" xfId="3" applyNumberFormat="1" applyFont="1" applyFill="1" applyBorder="1"/>
    <xf numFmtId="175" fontId="24" fillId="0" borderId="10" xfId="3" applyNumberFormat="1" applyFont="1" applyFill="1" applyBorder="1"/>
    <xf numFmtId="175" fontId="12" fillId="0" borderId="0" xfId="0" applyNumberFormat="1" applyFont="1"/>
    <xf numFmtId="175" fontId="24" fillId="0" borderId="9" xfId="0" applyNumberFormat="1" applyFont="1" applyBorder="1"/>
    <xf numFmtId="175" fontId="24" fillId="0" borderId="10" xfId="0" applyNumberFormat="1" applyFont="1" applyBorder="1"/>
    <xf numFmtId="175" fontId="0" fillId="0" borderId="0" xfId="0" applyNumberFormat="1"/>
    <xf numFmtId="174" fontId="5" fillId="6" borderId="9" xfId="0" applyNumberFormat="1" applyFont="1" applyFill="1" applyBorder="1"/>
    <xf numFmtId="174" fontId="14" fillId="0" borderId="9" xfId="0" applyNumberFormat="1" applyFont="1" applyBorder="1" applyAlignment="1">
      <alignment horizontal="right"/>
    </xf>
    <xf numFmtId="174" fontId="14" fillId="0" borderId="10" xfId="0" applyNumberFormat="1" applyFont="1" applyBorder="1" applyAlignment="1">
      <alignment horizontal="right"/>
    </xf>
    <xf numFmtId="174" fontId="14" fillId="0" borderId="7" xfId="0" applyNumberFormat="1" applyFont="1" applyBorder="1" applyAlignment="1">
      <alignment horizontal="right"/>
    </xf>
    <xf numFmtId="174" fontId="14" fillId="0" borderId="6" xfId="0" applyNumberFormat="1" applyFont="1" applyBorder="1" applyAlignment="1">
      <alignment horizontal="right"/>
    </xf>
    <xf numFmtId="175" fontId="5" fillId="0" borderId="9" xfId="0" applyNumberFormat="1" applyFont="1" applyBorder="1"/>
    <xf numFmtId="175" fontId="5" fillId="0" borderId="21" xfId="0" applyNumberFormat="1" applyFont="1" applyBorder="1"/>
    <xf numFmtId="175" fontId="12" fillId="0" borderId="7" xfId="0" applyNumberFormat="1" applyFont="1" applyBorder="1"/>
    <xf numFmtId="175" fontId="0" fillId="0" borderId="9" xfId="0" applyNumberFormat="1" applyBorder="1"/>
    <xf numFmtId="175" fontId="12" fillId="0" borderId="9" xfId="0" applyNumberFormat="1" applyFont="1" applyBorder="1"/>
    <xf numFmtId="175" fontId="12" fillId="0" borderId="21" xfId="0" applyNumberFormat="1" applyFont="1" applyBorder="1"/>
    <xf numFmtId="175" fontId="12" fillId="0" borderId="22" xfId="0" applyNumberFormat="1" applyFont="1" applyBorder="1"/>
    <xf numFmtId="175" fontId="21" fillId="0" borderId="9" xfId="3" applyNumberFormat="1" applyFont="1" applyFill="1" applyBorder="1"/>
    <xf numFmtId="175" fontId="21" fillId="0" borderId="21" xfId="3" applyNumberFormat="1" applyFont="1" applyFill="1" applyBorder="1"/>
    <xf numFmtId="175" fontId="19" fillId="0" borderId="9" xfId="0" applyNumberFormat="1" applyFont="1" applyBorder="1"/>
    <xf numFmtId="175" fontId="7" fillId="0" borderId="21" xfId="0" applyNumberFormat="1" applyFont="1" applyBorder="1"/>
    <xf numFmtId="175" fontId="20" fillId="0" borderId="0" xfId="0" applyNumberFormat="1" applyFont="1"/>
    <xf numFmtId="175" fontId="19" fillId="0" borderId="0" xfId="0" applyNumberFormat="1" applyFont="1"/>
    <xf numFmtId="175" fontId="12" fillId="0" borderId="12" xfId="0" applyNumberFormat="1" applyFont="1" applyBorder="1"/>
    <xf numFmtId="175" fontId="12" fillId="0" borderId="20" xfId="0" applyNumberFormat="1" applyFont="1" applyBorder="1"/>
    <xf numFmtId="175" fontId="5" fillId="6" borderId="0" xfId="0" applyNumberFormat="1" applyFont="1" applyFill="1"/>
    <xf numFmtId="175" fontId="5" fillId="0" borderId="10" xfId="0" applyNumberFormat="1" applyFont="1" applyBorder="1"/>
    <xf numFmtId="175" fontId="12" fillId="0" borderId="10" xfId="0" applyNumberFormat="1" applyFont="1" applyBorder="1"/>
    <xf numFmtId="174" fontId="0" fillId="6" borderId="0" xfId="0" applyNumberFormat="1" applyFill="1"/>
    <xf numFmtId="174" fontId="5" fillId="0" borderId="10" xfId="0" applyNumberFormat="1" applyFont="1" applyBorder="1"/>
    <xf numFmtId="174" fontId="5" fillId="0" borderId="0" xfId="0" applyNumberFormat="1" applyFont="1"/>
    <xf numFmtId="174" fontId="14" fillId="0" borderId="0" xfId="0" applyNumberFormat="1" applyFont="1"/>
    <xf numFmtId="174" fontId="14" fillId="0" borderId="10" xfId="0" applyNumberFormat="1" applyFont="1" applyBorder="1"/>
    <xf numFmtId="177" fontId="0" fillId="6" borderId="0" xfId="0" applyNumberFormat="1" applyFill="1"/>
    <xf numFmtId="177" fontId="5" fillId="0" borderId="0" xfId="0" applyNumberFormat="1" applyFont="1"/>
    <xf numFmtId="177" fontId="5" fillId="0" borderId="10" xfId="0" applyNumberFormat="1" applyFont="1" applyBorder="1"/>
    <xf numFmtId="175" fontId="12" fillId="0" borderId="6" xfId="0" applyNumberFormat="1" applyFont="1" applyBorder="1"/>
    <xf numFmtId="175" fontId="12" fillId="0" borderId="0" xfId="0" applyNumberFormat="1" applyFont="1" applyAlignment="1">
      <alignment horizontal="right"/>
    </xf>
    <xf numFmtId="175" fontId="12" fillId="0" borderId="13" xfId="0" applyNumberFormat="1" applyFont="1" applyBorder="1"/>
    <xf numFmtId="175" fontId="12" fillId="0" borderId="12" xfId="0" applyNumberFormat="1" applyFont="1" applyBorder="1" applyAlignment="1">
      <alignment horizontal="right"/>
    </xf>
    <xf numFmtId="175" fontId="0" fillId="6" borderId="0" xfId="0" applyNumberFormat="1" applyFill="1"/>
    <xf numFmtId="175" fontId="5" fillId="6" borderId="10" xfId="0" applyNumberFormat="1" applyFont="1" applyFill="1" applyBorder="1"/>
    <xf numFmtId="174" fontId="14" fillId="6" borderId="12" xfId="0" applyNumberFormat="1" applyFont="1" applyFill="1" applyBorder="1"/>
    <xf numFmtId="174" fontId="14" fillId="0" borderId="12" xfId="0" applyNumberFormat="1" applyFont="1" applyBorder="1"/>
    <xf numFmtId="174" fontId="14" fillId="0" borderId="13" xfId="0" applyNumberFormat="1" applyFont="1" applyBorder="1"/>
    <xf numFmtId="174" fontId="14" fillId="0" borderId="7" xfId="0" applyNumberFormat="1" applyFont="1" applyBorder="1"/>
    <xf numFmtId="175" fontId="12" fillId="6" borderId="0" xfId="0" applyNumberFormat="1" applyFont="1" applyFill="1"/>
    <xf numFmtId="175" fontId="12" fillId="6" borderId="7" xfId="0" applyNumberFormat="1" applyFont="1" applyFill="1" applyBorder="1"/>
    <xf numFmtId="174" fontId="5" fillId="0" borderId="21" xfId="0" applyNumberFormat="1" applyFont="1" applyBorder="1"/>
    <xf numFmtId="174" fontId="5" fillId="0" borderId="9" xfId="4" applyNumberFormat="1" applyFont="1"/>
    <xf numFmtId="174" fontId="14" fillId="0" borderId="9" xfId="4" applyNumberFormat="1" applyFont="1"/>
    <xf numFmtId="174" fontId="14" fillId="0" borderId="10" xfId="4" applyNumberFormat="1" applyFont="1" applyBorder="1"/>
    <xf numFmtId="174" fontId="14" fillId="0" borderId="7" xfId="4" applyNumberFormat="1" applyFont="1" applyBorder="1"/>
    <xf numFmtId="174" fontId="14" fillId="0" borderId="6" xfId="4" applyNumberFormat="1" applyFont="1" applyBorder="1"/>
    <xf numFmtId="175" fontId="5" fillId="0" borderId="9" xfId="4" applyNumberFormat="1" applyFont="1"/>
    <xf numFmtId="175" fontId="12" fillId="0" borderId="9" xfId="4" applyNumberFormat="1" applyFont="1"/>
    <xf numFmtId="174" fontId="22" fillId="0" borderId="9" xfId="4" applyNumberFormat="1" applyFont="1"/>
    <xf numFmtId="174" fontId="22" fillId="0" borderId="10" xfId="4" applyNumberFormat="1" applyFont="1" applyBorder="1"/>
    <xf numFmtId="174" fontId="5" fillId="6" borderId="9" xfId="4" applyNumberFormat="1" applyFont="1" applyFill="1"/>
    <xf numFmtId="174" fontId="5" fillId="6" borderId="7" xfId="4" applyNumberFormat="1" applyFont="1" applyFill="1" applyBorder="1"/>
    <xf numFmtId="174" fontId="22" fillId="0" borderId="7" xfId="4" applyNumberFormat="1" applyFont="1" applyBorder="1"/>
    <xf numFmtId="174" fontId="22" fillId="0" borderId="6" xfId="4" applyNumberFormat="1" applyFont="1" applyBorder="1"/>
    <xf numFmtId="175" fontId="33" fillId="0" borderId="9" xfId="4" applyNumberFormat="1" applyFont="1"/>
    <xf numFmtId="175" fontId="33" fillId="0" borderId="10" xfId="4" applyNumberFormat="1" applyFont="1" applyBorder="1"/>
    <xf numFmtId="174" fontId="31" fillId="3" borderId="9" xfId="4" applyNumberFormat="1" applyFont="1" applyFill="1"/>
    <xf numFmtId="174" fontId="31" fillId="3" borderId="7" xfId="4" applyNumberFormat="1" applyFont="1" applyFill="1" applyBorder="1"/>
    <xf numFmtId="171" fontId="31" fillId="3" borderId="9" xfId="4" applyNumberFormat="1" applyFont="1" applyFill="1"/>
    <xf numFmtId="177" fontId="31" fillId="3" borderId="7" xfId="4" applyNumberFormat="1" applyFont="1" applyFill="1" applyBorder="1"/>
    <xf numFmtId="174" fontId="32" fillId="0" borderId="0" xfId="0" applyNumberFormat="1" applyFont="1"/>
    <xf numFmtId="169" fontId="32" fillId="0" borderId="0" xfId="0" applyNumberFormat="1" applyFont="1"/>
    <xf numFmtId="177" fontId="32" fillId="0" borderId="0" xfId="0" applyNumberFormat="1" applyFont="1"/>
    <xf numFmtId="175" fontId="31" fillId="0" borderId="9" xfId="0" applyNumberFormat="1" applyFont="1" applyBorder="1"/>
    <xf numFmtId="175" fontId="31" fillId="0" borderId="10" xfId="0" applyNumberFormat="1" applyFont="1" applyBorder="1"/>
    <xf numFmtId="175" fontId="33" fillId="0" borderId="9" xfId="0" applyNumberFormat="1" applyFont="1" applyBorder="1"/>
    <xf numFmtId="175" fontId="33" fillId="0" borderId="10" xfId="0" applyNumberFormat="1" applyFont="1" applyBorder="1"/>
    <xf numFmtId="175" fontId="5" fillId="0" borderId="9" xfId="6" applyNumberFormat="1" applyFont="1"/>
    <xf numFmtId="175" fontId="5" fillId="0" borderId="10" xfId="6" applyNumberFormat="1" applyFont="1" applyBorder="1"/>
    <xf numFmtId="174" fontId="22" fillId="6" borderId="9" xfId="6" applyNumberFormat="1" applyFont="1" applyFill="1"/>
    <xf numFmtId="174" fontId="22" fillId="0" borderId="9" xfId="6" applyNumberFormat="1" applyFont="1"/>
    <xf numFmtId="174" fontId="22" fillId="0" borderId="10" xfId="6" applyNumberFormat="1" applyFont="1" applyBorder="1"/>
    <xf numFmtId="175" fontId="12" fillId="0" borderId="9" xfId="6" applyNumberFormat="1" applyFont="1"/>
    <xf numFmtId="175" fontId="12" fillId="0" borderId="10" xfId="6" applyNumberFormat="1" applyFont="1" applyBorder="1"/>
    <xf numFmtId="175" fontId="5" fillId="6" borderId="9" xfId="6" applyNumberFormat="1" applyFont="1" applyFill="1"/>
    <xf numFmtId="175" fontId="3" fillId="0" borderId="9" xfId="6" applyNumberFormat="1"/>
    <xf numFmtId="175" fontId="12" fillId="6" borderId="7" xfId="6" applyNumberFormat="1" applyFont="1" applyFill="1" applyBorder="1"/>
    <xf numFmtId="175" fontId="12" fillId="0" borderId="7" xfId="6" applyNumberFormat="1" applyFont="1" applyBorder="1"/>
    <xf numFmtId="175" fontId="12" fillId="0" borderId="6" xfId="6" applyNumberFormat="1" applyFont="1" applyBorder="1"/>
    <xf numFmtId="178" fontId="6" fillId="0" borderId="9" xfId="6" applyNumberFormat="1" applyFont="1"/>
    <xf numFmtId="174" fontId="14" fillId="0" borderId="9" xfId="6" applyNumberFormat="1" applyFont="1"/>
    <xf numFmtId="175" fontId="14" fillId="0" borderId="9" xfId="6" applyNumberFormat="1" applyFont="1"/>
    <xf numFmtId="175" fontId="14" fillId="0" borderId="7" xfId="6" applyNumberFormat="1" applyFont="1" applyBorder="1"/>
    <xf numFmtId="175" fontId="26" fillId="7" borderId="9" xfId="6" applyNumberFormat="1" applyFont="1" applyFill="1"/>
    <xf numFmtId="175" fontId="26" fillId="7" borderId="11" xfId="6" applyNumberFormat="1" applyFont="1" applyFill="1" applyBorder="1"/>
    <xf numFmtId="174" fontId="12" fillId="3" borderId="17" xfId="6" applyNumberFormat="1" applyFont="1" applyFill="1" applyBorder="1"/>
    <xf numFmtId="176" fontId="5" fillId="0" borderId="9" xfId="6" applyNumberFormat="1" applyFont="1"/>
    <xf numFmtId="174" fontId="10" fillId="2" borderId="19" xfId="6" applyNumberFormat="1" applyFont="1" applyFill="1" applyBorder="1"/>
    <xf numFmtId="174" fontId="10" fillId="2" borderId="18" xfId="6" applyNumberFormat="1" applyFont="1" applyFill="1" applyBorder="1"/>
    <xf numFmtId="176" fontId="10" fillId="2" borderId="18" xfId="6" applyNumberFormat="1" applyFont="1" applyFill="1" applyBorder="1"/>
    <xf numFmtId="178" fontId="5" fillId="0" borderId="9" xfId="6" applyNumberFormat="1" applyFont="1"/>
    <xf numFmtId="175" fontId="31" fillId="0" borderId="9" xfId="6" applyNumberFormat="1" applyFont="1"/>
    <xf numFmtId="175" fontId="32" fillId="0" borderId="9" xfId="6" applyNumberFormat="1" applyFont="1"/>
    <xf numFmtId="175" fontId="32" fillId="0" borderId="10" xfId="6" applyNumberFormat="1" applyFont="1" applyBorder="1"/>
    <xf numFmtId="174" fontId="14" fillId="5" borderId="9" xfId="6" applyNumberFormat="1" applyFont="1" applyFill="1" applyAlignment="1">
      <alignment horizontal="center"/>
    </xf>
    <xf numFmtId="164" fontId="34" fillId="0" borderId="9" xfId="6" applyNumberFormat="1" applyFont="1" applyAlignment="1">
      <alignment horizontal="right"/>
    </xf>
    <xf numFmtId="164" fontId="34" fillId="0" borderId="9" xfId="4" applyNumberFormat="1" applyFont="1" applyAlignment="1">
      <alignment horizontal="right"/>
    </xf>
    <xf numFmtId="174" fontId="35" fillId="0" borderId="9" xfId="6" applyNumberFormat="1" applyFont="1"/>
    <xf numFmtId="174" fontId="35" fillId="0" borderId="10" xfId="6" applyNumberFormat="1" applyFont="1" applyBorder="1"/>
    <xf numFmtId="176" fontId="31" fillId="3" borderId="8" xfId="6" applyNumberFormat="1" applyFont="1" applyFill="1" applyBorder="1" applyAlignment="1">
      <alignment horizontal="center"/>
    </xf>
    <xf numFmtId="174" fontId="31" fillId="3" borderId="8" xfId="6" applyNumberFormat="1" applyFont="1" applyFill="1" applyBorder="1" applyAlignment="1">
      <alignment horizontal="center"/>
    </xf>
    <xf numFmtId="14" fontId="31" fillId="0" borderId="9" xfId="4" applyNumberFormat="1" applyFont="1"/>
    <xf numFmtId="178" fontId="31" fillId="0" borderId="9" xfId="4" applyNumberFormat="1" applyFont="1"/>
    <xf numFmtId="179" fontId="5" fillId="0" borderId="9" xfId="4" applyNumberFormat="1" applyFont="1"/>
    <xf numFmtId="178" fontId="12" fillId="9" borderId="12" xfId="4" applyNumberFormat="1" applyFont="1" applyFill="1" applyBorder="1"/>
    <xf numFmtId="175" fontId="32" fillId="0" borderId="9" xfId="4" applyNumberFormat="1" applyFont="1"/>
    <xf numFmtId="175" fontId="3" fillId="0" borderId="9" xfId="4" applyNumberFormat="1"/>
    <xf numFmtId="179" fontId="5" fillId="0" borderId="9" xfId="4" applyNumberFormat="1" applyFont="1" applyAlignment="1">
      <alignment horizontal="right"/>
    </xf>
    <xf numFmtId="179" fontId="14" fillId="0" borderId="9" xfId="4" applyNumberFormat="1" applyFont="1" applyAlignment="1">
      <alignment horizontal="right"/>
    </xf>
    <xf numFmtId="179" fontId="12" fillId="0" borderId="7" xfId="4" applyNumberFormat="1" applyFont="1" applyBorder="1" applyAlignment="1">
      <alignment horizontal="right"/>
    </xf>
    <xf numFmtId="178" fontId="14" fillId="0" borderId="9" xfId="4" applyNumberFormat="1" applyFont="1"/>
    <xf numFmtId="10" fontId="5" fillId="6" borderId="9" xfId="4" applyNumberFormat="1" applyFont="1" applyFill="1"/>
    <xf numFmtId="174" fontId="31" fillId="3" borderId="9" xfId="2" applyNumberFormat="1" applyFont="1" applyFill="1" applyBorder="1"/>
    <xf numFmtId="174" fontId="31" fillId="3" borderId="9" xfId="0" applyNumberFormat="1" applyFont="1" applyFill="1" applyBorder="1"/>
    <xf numFmtId="174" fontId="31" fillId="3" borderId="10" xfId="0" applyNumberFormat="1" applyFont="1" applyFill="1" applyBorder="1"/>
    <xf numFmtId="175" fontId="31" fillId="0" borderId="0" xfId="0" applyNumberFormat="1" applyFont="1"/>
    <xf numFmtId="175" fontId="33" fillId="0" borderId="12" xfId="0" applyNumberFormat="1" applyFont="1" applyBorder="1"/>
    <xf numFmtId="175" fontId="33" fillId="0" borderId="13" xfId="0" applyNumberFormat="1" applyFont="1" applyBorder="1"/>
    <xf numFmtId="0" fontId="26" fillId="0" borderId="9" xfId="4" applyFont="1"/>
    <xf numFmtId="175" fontId="26" fillId="0" borderId="9" xfId="4" applyNumberFormat="1" applyFont="1"/>
    <xf numFmtId="175" fontId="26" fillId="0" borderId="10" xfId="4" applyNumberFormat="1" applyFont="1" applyBorder="1"/>
    <xf numFmtId="0" fontId="22" fillId="0" borderId="7" xfId="4" applyFont="1" applyBorder="1" applyAlignment="1">
      <alignment horizontal="left"/>
    </xf>
    <xf numFmtId="174" fontId="3" fillId="6" borderId="9" xfId="4" applyNumberFormat="1" applyFill="1"/>
    <xf numFmtId="0" fontId="14" fillId="6" borderId="7" xfId="4" applyFont="1" applyFill="1" applyBorder="1"/>
    <xf numFmtId="0" fontId="6" fillId="0" borderId="12" xfId="4" applyFont="1" applyBorder="1" applyAlignment="1">
      <alignment horizontal="left"/>
    </xf>
    <xf numFmtId="174" fontId="3" fillId="6" borderId="12" xfId="4" applyNumberFormat="1" applyFill="1" applyBorder="1"/>
    <xf numFmtId="174" fontId="22" fillId="0" borderId="12" xfId="4" applyNumberFormat="1" applyFont="1" applyBorder="1"/>
    <xf numFmtId="174" fontId="22" fillId="0" borderId="13" xfId="4" applyNumberFormat="1" applyFont="1" applyBorder="1"/>
    <xf numFmtId="0" fontId="14" fillId="0" borderId="9" xfId="4" applyFont="1" applyAlignment="1">
      <alignment horizontal="left"/>
    </xf>
    <xf numFmtId="0" fontId="26" fillId="0" borderId="9" xfId="4" applyFont="1" applyAlignment="1">
      <alignment horizontal="left"/>
    </xf>
    <xf numFmtId="179" fontId="31" fillId="10" borderId="23" xfId="4" applyNumberFormat="1" applyFont="1" applyFill="1" applyBorder="1" applyAlignment="1">
      <alignment horizontal="right"/>
    </xf>
    <xf numFmtId="175" fontId="14" fillId="0" borderId="9" xfId="4" applyNumberFormat="1" applyFont="1" applyAlignment="1">
      <alignment horizontal="right"/>
    </xf>
    <xf numFmtId="179" fontId="32" fillId="0" borderId="9" xfId="6" applyNumberFormat="1" applyFont="1" applyAlignment="1">
      <alignment horizontal="right"/>
    </xf>
    <xf numFmtId="175" fontId="32" fillId="0" borderId="9" xfId="4" applyNumberFormat="1" applyFont="1" applyAlignment="1">
      <alignment horizontal="right"/>
    </xf>
    <xf numFmtId="174" fontId="32" fillId="0" borderId="9" xfId="4" applyNumberFormat="1" applyFont="1" applyAlignment="1">
      <alignment horizontal="right"/>
    </xf>
    <xf numFmtId="174" fontId="32" fillId="0" borderId="10" xfId="4" applyNumberFormat="1" applyFont="1" applyBorder="1" applyAlignment="1">
      <alignment horizontal="right"/>
    </xf>
    <xf numFmtId="171" fontId="32" fillId="0" borderId="9" xfId="4" applyNumberFormat="1" applyFont="1" applyAlignment="1">
      <alignment horizontal="right"/>
    </xf>
    <xf numFmtId="171" fontId="32" fillId="0" borderId="10" xfId="4" applyNumberFormat="1" applyFont="1" applyBorder="1" applyAlignment="1">
      <alignment horizontal="right"/>
    </xf>
    <xf numFmtId="177" fontId="32" fillId="6" borderId="7" xfId="4" applyNumberFormat="1" applyFont="1" applyFill="1" applyBorder="1" applyAlignment="1">
      <alignment horizontal="right"/>
    </xf>
    <xf numFmtId="177" fontId="32" fillId="0" borderId="7" xfId="4" applyNumberFormat="1" applyFont="1" applyBorder="1" applyAlignment="1">
      <alignment horizontal="right"/>
    </xf>
    <xf numFmtId="177" fontId="32" fillId="0" borderId="6" xfId="4" applyNumberFormat="1" applyFont="1" applyBorder="1" applyAlignment="1">
      <alignment horizontal="right"/>
    </xf>
    <xf numFmtId="164" fontId="30" fillId="0" borderId="9" xfId="4" applyNumberFormat="1" applyFont="1" applyAlignment="1">
      <alignment horizontal="right"/>
    </xf>
    <xf numFmtId="175" fontId="0" fillId="0" borderId="21" xfId="0" applyNumberFormat="1" applyBorder="1"/>
    <xf numFmtId="175" fontId="14" fillId="0" borderId="0" xfId="0" applyNumberFormat="1" applyFont="1"/>
    <xf numFmtId="175" fontId="31" fillId="0" borderId="9" xfId="4" applyNumberFormat="1" applyFont="1"/>
    <xf numFmtId="175" fontId="31" fillId="0" borderId="10" xfId="4" applyNumberFormat="1" applyFont="1" applyBorder="1"/>
    <xf numFmtId="0" fontId="5" fillId="0" borderId="9" xfId="0" applyFont="1" applyBorder="1" applyAlignment="1">
      <alignment horizontal="left"/>
    </xf>
    <xf numFmtId="174" fontId="14" fillId="0" borderId="9" xfId="0" applyNumberFormat="1" applyFont="1" applyBorder="1"/>
    <xf numFmtId="0" fontId="5" fillId="0" borderId="7" xfId="0" applyFont="1" applyBorder="1" applyAlignment="1">
      <alignment horizontal="left"/>
    </xf>
    <xf numFmtId="0" fontId="12" fillId="0" borderId="7" xfId="0" applyFont="1" applyBorder="1"/>
    <xf numFmtId="0" fontId="23" fillId="0" borderId="0" xfId="0" applyFont="1"/>
    <xf numFmtId="175" fontId="14" fillId="0" borderId="10" xfId="6" applyNumberFormat="1" applyFont="1" applyBorder="1"/>
    <xf numFmtId="175" fontId="31" fillId="0" borderId="21" xfId="0" applyNumberFormat="1" applyFont="1" applyBorder="1"/>
    <xf numFmtId="174" fontId="14" fillId="0" borderId="21" xfId="0" applyNumberFormat="1" applyFont="1" applyBorder="1"/>
    <xf numFmtId="174" fontId="5" fillId="6" borderId="0" xfId="0" applyNumberFormat="1" applyFont="1" applyFill="1"/>
    <xf numFmtId="174" fontId="5" fillId="6" borderId="21" xfId="0" applyNumberFormat="1" applyFont="1" applyFill="1" applyBorder="1"/>
    <xf numFmtId="0" fontId="2" fillId="0" borderId="0" xfId="0" applyFont="1"/>
    <xf numFmtId="175" fontId="5" fillId="6" borderId="21" xfId="0" applyNumberFormat="1" applyFont="1" applyFill="1" applyBorder="1"/>
    <xf numFmtId="0" fontId="2" fillId="0" borderId="9" xfId="4" applyFont="1" applyAlignment="1">
      <alignment horizontal="left"/>
    </xf>
    <xf numFmtId="0" fontId="2" fillId="0" borderId="9" xfId="4" applyFont="1" applyAlignment="1">
      <alignment horizontal="right"/>
    </xf>
    <xf numFmtId="0" fontId="2" fillId="0" borderId="12" xfId="0" applyFont="1" applyBorder="1"/>
    <xf numFmtId="0" fontId="2" fillId="0" borderId="0" xfId="0" applyFont="1" applyAlignment="1">
      <alignment wrapText="1"/>
    </xf>
    <xf numFmtId="0" fontId="2" fillId="0" borderId="9" xfId="0" applyFont="1" applyBorder="1"/>
    <xf numFmtId="0" fontId="2" fillId="0" borderId="9" xfId="6" applyFont="1" applyAlignment="1">
      <alignment horizontal="right"/>
    </xf>
    <xf numFmtId="0" fontId="2" fillId="0" borderId="9" xfId="6" applyFont="1"/>
    <xf numFmtId="0" fontId="2" fillId="0" borderId="9" xfId="4" applyFont="1"/>
    <xf numFmtId="175" fontId="5" fillId="0" borderId="12" xfId="0" applyNumberFormat="1" applyFont="1" applyBorder="1"/>
    <xf numFmtId="175" fontId="5" fillId="0" borderId="20" xfId="0" applyNumberFormat="1" applyFont="1" applyBorder="1"/>
    <xf numFmtId="0" fontId="1" fillId="0" borderId="0" xfId="0" applyFont="1"/>
    <xf numFmtId="0" fontId="10" fillId="2" borderId="9" xfId="4" applyFont="1" applyFill="1" applyAlignment="1">
      <alignment horizontal="center"/>
    </xf>
    <xf numFmtId="0" fontId="11" fillId="0" borderId="9" xfId="4" applyFont="1"/>
    <xf numFmtId="0" fontId="11" fillId="0" borderId="3" xfId="4" applyFont="1" applyBorder="1"/>
    <xf numFmtId="0" fontId="2" fillId="0" borderId="0" xfId="0" applyFont="1" applyAlignment="1">
      <alignment horizontal="left" vertical="center" wrapText="1"/>
    </xf>
    <xf numFmtId="0" fontId="10" fillId="2" borderId="9" xfId="0" applyFont="1" applyFill="1" applyBorder="1" applyAlignment="1">
      <alignment horizontal="center"/>
    </xf>
    <xf numFmtId="0" fontId="11" fillId="0" borderId="9" xfId="0" applyFont="1" applyBorder="1"/>
    <xf numFmtId="0" fontId="11" fillId="0" borderId="3" xfId="0" applyFont="1" applyBorder="1"/>
    <xf numFmtId="0" fontId="2" fillId="0" borderId="9" xfId="6" applyFont="1" applyAlignment="1">
      <alignment horizontal="center" vertical="center" wrapText="1"/>
    </xf>
    <xf numFmtId="0" fontId="10" fillId="8" borderId="9" xfId="6" applyFont="1" applyFill="1" applyAlignment="1">
      <alignment horizontal="center"/>
    </xf>
    <xf numFmtId="0" fontId="11" fillId="0" borderId="9" xfId="6" applyFont="1"/>
    <xf numFmtId="0" fontId="10" fillId="8" borderId="9" xfId="6" applyFont="1" applyFill="1" applyAlignment="1">
      <alignment horizontal="center" vertical="center" textRotation="90" wrapText="1"/>
    </xf>
    <xf numFmtId="0" fontId="10" fillId="2" borderId="9" xfId="6" applyFont="1" applyFill="1" applyAlignment="1">
      <alignment horizontal="center"/>
    </xf>
    <xf numFmtId="0" fontId="11" fillId="0" borderId="3" xfId="6" applyFont="1" applyBorder="1"/>
  </cellXfs>
  <cellStyles count="7">
    <cellStyle name="Comma" xfId="3" builtinId="3"/>
    <cellStyle name="Comma 2" xfId="5" xr:uid="{424C8167-4317-49B5-A16E-DACC6D1461CF}"/>
    <cellStyle name="Normal" xfId="0" builtinId="0"/>
    <cellStyle name="Normal 2" xfId="1" xr:uid="{226DB6D9-033B-D348-B46A-6C48F3A2EA05}"/>
    <cellStyle name="Normal 2 2" xfId="6" xr:uid="{69E3BDD3-B2E5-45B7-93F2-BD99ECE76C0B}"/>
    <cellStyle name="Normal 3" xfId="4" xr:uid="{EC52DC17-4131-4871-84F2-B1FEF6FA6A80}"/>
    <cellStyle name="Percent" xfId="2" builtinId="5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EF2CB"/>
      <color rgb="FFD8D8D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amiedu-my.sharepoint.com/Users/enzocardozorojas/Desktop/TAMID/Copy%20of%20Portfolio%20Review%20Financial%20Summary%20(USE%20IN%20MS%20EXCEL%20ONLY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Inputs"/>
      <sheetName val="Financial Summary"/>
      <sheetName val="Operating Model"/>
      <sheetName val="DCF"/>
      <sheetName val="Comps"/>
      <sheetName val="Comps Business Descriptions"/>
      <sheetName val="Income Statement"/>
      <sheetName val="Balance Sheet"/>
      <sheetName val="Cash Flow Statement"/>
      <sheetName val="Stock Price"/>
      <sheetName val="Graphics"/>
    </sheetNames>
    <sheetDataSet>
      <sheetData sheetId="0" refreshError="1"/>
      <sheetData sheetId="1" refreshError="1"/>
      <sheetData sheetId="2" refreshError="1"/>
      <sheetData sheetId="3">
        <row r="40">
          <cell r="D40">
            <v>2228</v>
          </cell>
        </row>
        <row r="44">
          <cell r="D44">
            <v>0.29570000000000002</v>
          </cell>
        </row>
      </sheetData>
      <sheetData sheetId="4" refreshError="1"/>
      <sheetData sheetId="5" refreshError="1"/>
      <sheetData sheetId="6" refreshError="1"/>
      <sheetData sheetId="7">
        <row r="6">
          <cell r="M6">
            <v>1946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F5229C-4070-B74C-B64C-BE750DDCDCA1}">
  <we:reference id="wa200001456" version="3.1.1.0" store="en-US" storeType="OMEX"/>
  <we:alternateReferences>
    <we:reference id="wa200001456" version="3.1.1.0" store="en-US" storeType="OMEX"/>
  </we:alternateReferences>
  <we:properties>
    <we:property name="Office.DisableTrustUX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FDS</we:customFunctionIds>
        <we:customFunctionIds>FDSN</we:customFunctionIds>
        <we:customFunctionIds>FDSZ</we:customFunctionIds>
        <we:customFunctionIds>FDSB</we:customFunctionIds>
        <we:customFunctionIds>FDSC</we:customFunctionIds>
        <we:customFunctionIds>FDSR</we:customFunctionIds>
        <we:customFunctionIds>FDSRN</we:customFunctionIds>
        <we:customFunctionIds>FDSRZ</we:customFunctionIds>
        <we:customFunctionIds>FDSRB</we:customFunctionIds>
        <we:customFunctionIds>FDSRC</we:customFunctionIds>
        <we:customFunctionIds>FDSLIVE</we:customFunctionIds>
        <we:customFunctionIds>FactSetLive.RTDFunction.1.FDSLIVE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6046-B93D-4B1C-9EC6-5095768477C6}">
  <dimension ref="B1:K49"/>
  <sheetViews>
    <sheetView showGridLines="0" tabSelected="1" zoomScale="85" zoomScaleNormal="85" workbookViewId="0"/>
  </sheetViews>
  <sheetFormatPr defaultColWidth="14.44140625" defaultRowHeight="14.4" customHeight="1"/>
  <cols>
    <col min="1" max="1" width="1.6640625" style="30" customWidth="1"/>
    <col min="2" max="2" width="2.6640625" style="30" customWidth="1"/>
    <col min="3" max="3" width="45.6640625" style="30" customWidth="1"/>
    <col min="4" max="11" width="12.5546875" style="30" bestFit="1" customWidth="1"/>
    <col min="12" max="12" width="2.6640625" style="30" customWidth="1"/>
    <col min="13" max="13" width="8.6640625" style="30" customWidth="1"/>
    <col min="14" max="18" width="11.33203125" style="30" customWidth="1"/>
    <col min="19" max="23" width="8.6640625" style="30" customWidth="1"/>
    <col min="24" max="16384" width="14.44140625" style="30"/>
  </cols>
  <sheetData>
    <row r="1" spans="3:11" ht="14.4" customHeight="1" thickBot="1"/>
    <row r="2" spans="3:11" ht="18" customHeight="1">
      <c r="C2" s="31" t="str">
        <f>"Revenue Build &amp; Growth Drivers For "&amp;D5</f>
        <v>Revenue Build &amp; Growth Drivers For Keysight Technologies, Inc.</v>
      </c>
      <c r="D2" s="32"/>
      <c r="E2" s="32"/>
      <c r="F2" s="32"/>
      <c r="G2" s="32"/>
      <c r="H2" s="32"/>
      <c r="I2" s="32"/>
      <c r="J2" s="32"/>
      <c r="K2" s="32"/>
    </row>
    <row r="3" spans="3:11" ht="14.4" customHeight="1" thickBot="1">
      <c r="C3" s="33" t="s">
        <v>0</v>
      </c>
      <c r="D3" s="34"/>
      <c r="E3" s="34"/>
      <c r="F3" s="34"/>
      <c r="G3" s="34"/>
      <c r="H3" s="34"/>
      <c r="I3" s="34"/>
      <c r="J3" s="34"/>
      <c r="K3" s="34"/>
    </row>
    <row r="4" spans="3:11" ht="14.4" customHeight="1">
      <c r="C4" s="35"/>
    </row>
    <row r="5" spans="3:11" ht="14.4" customHeight="1">
      <c r="C5" s="36" t="s">
        <v>1</v>
      </c>
      <c r="D5" s="322" t="s">
        <v>2</v>
      </c>
      <c r="F5" s="37"/>
    </row>
    <row r="6" spans="3:11" ht="14.4" customHeight="1">
      <c r="C6" s="36" t="s">
        <v>3</v>
      </c>
      <c r="D6" s="323" t="s">
        <v>4</v>
      </c>
      <c r="F6" s="36"/>
    </row>
    <row r="7" spans="3:11" ht="14.4" customHeight="1">
      <c r="C7" s="36" t="s">
        <v>5</v>
      </c>
      <c r="D7" s="69">
        <v>45394</v>
      </c>
      <c r="F7" s="38"/>
    </row>
    <row r="8" spans="3:11" ht="14.4" customHeight="1">
      <c r="C8" s="36" t="s">
        <v>6</v>
      </c>
      <c r="D8" s="69">
        <v>45393</v>
      </c>
      <c r="F8" s="39"/>
    </row>
    <row r="9" spans="3:11" ht="14.4" customHeight="1">
      <c r="C9" s="36" t="s">
        <v>7</v>
      </c>
      <c r="D9" s="305">
        <v>160.13999999999999</v>
      </c>
    </row>
    <row r="11" spans="3:11" ht="14.4" customHeight="1">
      <c r="C11" s="40" t="s">
        <v>8</v>
      </c>
      <c r="D11" s="333" t="s">
        <v>9</v>
      </c>
      <c r="E11" s="334"/>
      <c r="F11" s="335"/>
      <c r="G11" s="333" t="s">
        <v>10</v>
      </c>
      <c r="H11" s="334"/>
      <c r="I11" s="334"/>
      <c r="J11" s="334"/>
      <c r="K11" s="334"/>
    </row>
    <row r="12" spans="3:11" ht="14.4" customHeight="1">
      <c r="C12" s="40"/>
      <c r="D12" s="41">
        <f>'Financial Statement Model'!D12</f>
        <v>44500</v>
      </c>
      <c r="E12" s="41">
        <f>'Financial Statement Model'!E12</f>
        <v>44865</v>
      </c>
      <c r="F12" s="42">
        <f>'Financial Statement Model'!F12</f>
        <v>45230</v>
      </c>
      <c r="G12" s="41">
        <f>'Financial Statement Model'!G12</f>
        <v>45596</v>
      </c>
      <c r="H12" s="41">
        <f>'Financial Statement Model'!H12</f>
        <v>45961</v>
      </c>
      <c r="I12" s="41">
        <f>'Financial Statement Model'!I12</f>
        <v>46326</v>
      </c>
      <c r="J12" s="41">
        <f>'Financial Statement Model'!J12</f>
        <v>46691</v>
      </c>
      <c r="K12" s="41">
        <f>'Financial Statement Model'!K12</f>
        <v>47057</v>
      </c>
    </row>
    <row r="14" spans="3:11" ht="14.4" customHeight="1">
      <c r="C14" s="282" t="s">
        <v>11</v>
      </c>
      <c r="D14" s="283">
        <f>+D23+D30</f>
        <v>4941000</v>
      </c>
      <c r="E14" s="283">
        <f t="shared" ref="E14:K14" si="0">+E23+E30</f>
        <v>5420000</v>
      </c>
      <c r="F14" s="284">
        <f t="shared" si="0"/>
        <v>5464000</v>
      </c>
      <c r="G14" s="283">
        <f t="shared" si="0"/>
        <v>5740940</v>
      </c>
      <c r="H14" s="283">
        <f t="shared" si="0"/>
        <v>6106477.8000000007</v>
      </c>
      <c r="I14" s="283">
        <f t="shared" si="0"/>
        <v>6500932.8300000001</v>
      </c>
      <c r="J14" s="283">
        <f t="shared" si="0"/>
        <v>6896456.1555000003</v>
      </c>
      <c r="K14" s="283">
        <f t="shared" si="0"/>
        <v>7322384.811075002</v>
      </c>
    </row>
    <row r="15" spans="3:11" ht="14.4" customHeight="1">
      <c r="C15" s="285" t="s">
        <v>12</v>
      </c>
      <c r="D15" s="287"/>
      <c r="E15" s="216">
        <f>+E14/D14-1</f>
        <v>9.6943938473993185E-2</v>
      </c>
      <c r="F15" s="217">
        <f t="shared" ref="F15:K15" si="1">+F14/E14-1</f>
        <v>8.1180811808116982E-3</v>
      </c>
      <c r="G15" s="216">
        <f t="shared" si="1"/>
        <v>5.0684480234260532E-2</v>
      </c>
      <c r="H15" s="216">
        <f t="shared" si="1"/>
        <v>6.3672116412991642E-2</v>
      </c>
      <c r="I15" s="216">
        <f t="shared" si="1"/>
        <v>6.4596162128027323E-2</v>
      </c>
      <c r="J15" s="216">
        <f t="shared" si="1"/>
        <v>6.0841010950731578E-2</v>
      </c>
      <c r="K15" s="216">
        <f t="shared" si="1"/>
        <v>6.176051090172141E-2</v>
      </c>
    </row>
    <row r="16" spans="3:11" ht="14.4" customHeight="1">
      <c r="C16" s="35"/>
      <c r="E16" s="45"/>
      <c r="F16" s="45"/>
      <c r="G16" s="45"/>
      <c r="H16" s="45"/>
      <c r="I16" s="45"/>
      <c r="J16" s="45"/>
      <c r="K16" s="45"/>
    </row>
    <row r="17" spans="3:11" ht="14.4" customHeight="1">
      <c r="C17" s="40" t="s">
        <v>13</v>
      </c>
      <c r="D17" s="333" t="s">
        <v>9</v>
      </c>
      <c r="E17" s="334"/>
      <c r="F17" s="335"/>
      <c r="G17" s="333" t="s">
        <v>10</v>
      </c>
      <c r="H17" s="334"/>
      <c r="I17" s="334"/>
      <c r="J17" s="334"/>
      <c r="K17" s="334"/>
    </row>
    <row r="18" spans="3:11" ht="14.4" customHeight="1">
      <c r="C18" s="40"/>
      <c r="D18" s="41">
        <f>'Financial Statement Model'!D12</f>
        <v>44500</v>
      </c>
      <c r="E18" s="41">
        <f>'Financial Statement Model'!E12</f>
        <v>44865</v>
      </c>
      <c r="F18" s="42">
        <f>'Financial Statement Model'!F12</f>
        <v>45230</v>
      </c>
      <c r="G18" s="41">
        <f>'Financial Statement Model'!G12</f>
        <v>45596</v>
      </c>
      <c r="H18" s="41">
        <f>'Financial Statement Model'!H12</f>
        <v>45961</v>
      </c>
      <c r="I18" s="41">
        <f>'Financial Statement Model'!I12</f>
        <v>46326</v>
      </c>
      <c r="J18" s="41">
        <f>'Financial Statement Model'!J12</f>
        <v>46691</v>
      </c>
      <c r="K18" s="41">
        <f>'Financial Statement Model'!K12</f>
        <v>47057</v>
      </c>
    </row>
    <row r="20" spans="3:11" ht="14.4" customHeight="1">
      <c r="C20" s="43" t="s">
        <v>14</v>
      </c>
      <c r="F20" s="46"/>
    </row>
    <row r="21" spans="3:11" ht="14.4" customHeight="1">
      <c r="C21" s="292" t="s">
        <v>15</v>
      </c>
      <c r="D21" s="308">
        <v>1142000</v>
      </c>
      <c r="E21" s="308">
        <v>1171000</v>
      </c>
      <c r="F21" s="309">
        <v>1250000</v>
      </c>
      <c r="G21" s="210">
        <f t="shared" ref="G21:K22" si="2">+F21*(1+G38)</f>
        <v>1331250</v>
      </c>
      <c r="H21" s="210">
        <f t="shared" si="2"/>
        <v>1411125</v>
      </c>
      <c r="I21" s="210">
        <f t="shared" si="2"/>
        <v>1509903.75</v>
      </c>
      <c r="J21" s="210">
        <f t="shared" si="2"/>
        <v>1585398.9375</v>
      </c>
      <c r="K21" s="210">
        <f t="shared" si="2"/>
        <v>1664668.8843750001</v>
      </c>
    </row>
    <row r="22" spans="3:11" ht="14.4" customHeight="1">
      <c r="C22" s="292" t="s">
        <v>16</v>
      </c>
      <c r="D22" s="308">
        <v>2381000</v>
      </c>
      <c r="E22" s="308">
        <v>2632000</v>
      </c>
      <c r="F22" s="309">
        <v>2435000</v>
      </c>
      <c r="G22" s="210">
        <f t="shared" si="2"/>
        <v>2435000</v>
      </c>
      <c r="H22" s="210">
        <f t="shared" si="2"/>
        <v>2483700</v>
      </c>
      <c r="I22" s="210">
        <f t="shared" si="2"/>
        <v>2558211</v>
      </c>
      <c r="J22" s="210">
        <f t="shared" si="2"/>
        <v>2634957.33</v>
      </c>
      <c r="K22" s="210">
        <f t="shared" si="2"/>
        <v>2714006.0499</v>
      </c>
    </row>
    <row r="23" spans="3:11" ht="14.4" customHeight="1">
      <c r="C23" s="43" t="s">
        <v>17</v>
      </c>
      <c r="D23" s="283">
        <f t="shared" ref="D23:F23" si="3">SUM(D21:D22)</f>
        <v>3523000</v>
      </c>
      <c r="E23" s="283">
        <f t="shared" si="3"/>
        <v>3803000</v>
      </c>
      <c r="F23" s="284">
        <f t="shared" si="3"/>
        <v>3685000</v>
      </c>
      <c r="G23" s="211">
        <f>SUM(G21:G22)</f>
        <v>3766250</v>
      </c>
      <c r="H23" s="211">
        <f>SUM(H21:H22)</f>
        <v>3894825</v>
      </c>
      <c r="I23" s="211">
        <f>SUM(I21:I22)</f>
        <v>4068114.75</v>
      </c>
      <c r="J23" s="211">
        <f>SUM(J21:J22)</f>
        <v>4220356.2675000001</v>
      </c>
      <c r="K23" s="211">
        <f>SUM(K21:K22)</f>
        <v>4378674.9342750004</v>
      </c>
    </row>
    <row r="24" spans="3:11" ht="14.4" customHeight="1">
      <c r="C24" s="35" t="s">
        <v>12</v>
      </c>
      <c r="D24" s="286"/>
      <c r="E24" s="212">
        <f>+E23/D23-1</f>
        <v>7.9477717854101515E-2</v>
      </c>
      <c r="F24" s="213">
        <f>+F23/E23-1</f>
        <v>-3.1028135682356073E-2</v>
      </c>
      <c r="G24" s="212">
        <f t="shared" ref="G24:K24" si="4">+G23/F23-1</f>
        <v>2.2048846675712275E-2</v>
      </c>
      <c r="H24" s="212">
        <f t="shared" si="4"/>
        <v>3.4138732160637231E-2</v>
      </c>
      <c r="I24" s="212">
        <f t="shared" si="4"/>
        <v>4.4492307099805561E-2</v>
      </c>
      <c r="J24" s="212">
        <f t="shared" si="4"/>
        <v>3.7423112880481169E-2</v>
      </c>
      <c r="K24" s="212">
        <f t="shared" si="4"/>
        <v>3.7513104757097349E-2</v>
      </c>
    </row>
    <row r="25" spans="3:11" ht="14.4" customHeight="1">
      <c r="C25" s="35"/>
      <c r="E25" s="45"/>
      <c r="F25" s="47"/>
      <c r="G25" s="45"/>
      <c r="H25" s="45"/>
      <c r="I25" s="45"/>
      <c r="J25" s="45"/>
      <c r="K25" s="45"/>
    </row>
    <row r="26" spans="3:11" ht="14.4" customHeight="1">
      <c r="C26" s="43" t="s">
        <v>18</v>
      </c>
      <c r="F26" s="46"/>
    </row>
    <row r="27" spans="3:11" ht="14.4" customHeight="1">
      <c r="C27" s="36" t="str">
        <f>C21</f>
        <v>Aerospace, Defense &amp; Government</v>
      </c>
      <c r="D27" s="206">
        <f t="shared" ref="D27:F27" si="5">+D21/D$23</f>
        <v>0.32415554924780016</v>
      </c>
      <c r="E27" s="206">
        <f t="shared" si="5"/>
        <v>0.30791480410202471</v>
      </c>
      <c r="F27" s="207">
        <f t="shared" si="5"/>
        <v>0.33921302578018997</v>
      </c>
      <c r="G27" s="205">
        <f t="shared" ref="G27:K28" si="6">+G21/G$23</f>
        <v>0.35346830401593099</v>
      </c>
      <c r="H27" s="205">
        <f t="shared" si="6"/>
        <v>0.36230767749513776</v>
      </c>
      <c r="I27" s="205">
        <f t="shared" si="6"/>
        <v>0.37115564402405316</v>
      </c>
      <c r="J27" s="205">
        <f t="shared" si="6"/>
        <v>0.3756552378548691</v>
      </c>
      <c r="K27" s="205">
        <f t="shared" si="6"/>
        <v>0.38017640253320789</v>
      </c>
    </row>
    <row r="28" spans="3:11" ht="14.4" customHeight="1">
      <c r="C28" s="36" t="str">
        <f>C22</f>
        <v>Commercial Communications</v>
      </c>
      <c r="D28" s="206">
        <f t="shared" ref="D28:F28" si="7">+D22/D$23</f>
        <v>0.67584445075219979</v>
      </c>
      <c r="E28" s="206">
        <f t="shared" si="7"/>
        <v>0.69208519589797524</v>
      </c>
      <c r="F28" s="207">
        <f t="shared" si="7"/>
        <v>0.66078697421981003</v>
      </c>
      <c r="G28" s="205">
        <f t="shared" si="6"/>
        <v>0.64653169598406901</v>
      </c>
      <c r="H28" s="205">
        <f t="shared" si="6"/>
        <v>0.63769232250486219</v>
      </c>
      <c r="I28" s="205">
        <f t="shared" si="6"/>
        <v>0.62884435597594679</v>
      </c>
      <c r="J28" s="205">
        <f t="shared" si="6"/>
        <v>0.6243447621451309</v>
      </c>
      <c r="K28" s="205">
        <f t="shared" si="6"/>
        <v>0.61982359746679205</v>
      </c>
    </row>
    <row r="29" spans="3:11" ht="14.4" customHeight="1">
      <c r="C29" s="35"/>
      <c r="E29" s="45"/>
      <c r="F29" s="47"/>
      <c r="G29" s="45"/>
      <c r="H29" s="45"/>
      <c r="I29" s="45"/>
      <c r="J29" s="45"/>
      <c r="K29" s="45"/>
    </row>
    <row r="30" spans="3:11" ht="14.4" customHeight="1">
      <c r="C30" s="293" t="s">
        <v>19</v>
      </c>
      <c r="D30" s="218">
        <v>1418000</v>
      </c>
      <c r="E30" s="218">
        <v>1617000</v>
      </c>
      <c r="F30" s="219">
        <v>1779000</v>
      </c>
      <c r="G30" s="211">
        <f>+F30*(1+G40)</f>
        <v>1974690.0000000002</v>
      </c>
      <c r="H30" s="211">
        <f>+G30*(1+H40)</f>
        <v>2211652.8000000003</v>
      </c>
      <c r="I30" s="211">
        <f>+H30*(1+I40)</f>
        <v>2432818.0800000005</v>
      </c>
      <c r="J30" s="211">
        <f>+I30*(1+J40)</f>
        <v>2676099.8880000007</v>
      </c>
      <c r="K30" s="211">
        <f>+J30*(1+K40)</f>
        <v>2943709.8768000011</v>
      </c>
    </row>
    <row r="31" spans="3:11" ht="14.4" customHeight="1">
      <c r="C31" s="288" t="s">
        <v>12</v>
      </c>
      <c r="D31" s="289"/>
      <c r="E31" s="290">
        <f>+E30/D30-1</f>
        <v>0.14033850493653022</v>
      </c>
      <c r="F31" s="291">
        <f>+F30/E30-1</f>
        <v>0.1001855287569573</v>
      </c>
      <c r="G31" s="290">
        <f t="shared" ref="G31:K31" si="8">+G30/F30-1</f>
        <v>0.1100000000000001</v>
      </c>
      <c r="H31" s="290">
        <f t="shared" si="8"/>
        <v>0.12000000000000011</v>
      </c>
      <c r="I31" s="290">
        <f t="shared" si="8"/>
        <v>0.10000000000000009</v>
      </c>
      <c r="J31" s="290">
        <f t="shared" si="8"/>
        <v>0.10000000000000009</v>
      </c>
      <c r="K31" s="290">
        <f t="shared" si="8"/>
        <v>0.10000000000000009</v>
      </c>
    </row>
    <row r="33" spans="2:11" ht="14.4" customHeight="1" thickBot="1">
      <c r="C33" s="49" t="s">
        <v>20</v>
      </c>
      <c r="D33" s="34"/>
      <c r="E33" s="34"/>
      <c r="F33" s="34"/>
      <c r="G33" s="34"/>
      <c r="H33" s="34"/>
      <c r="I33" s="34"/>
      <c r="J33" s="34"/>
      <c r="K33" s="34"/>
    </row>
    <row r="35" spans="2:11" ht="14.4" customHeight="1">
      <c r="C35" s="50" t="s">
        <v>21</v>
      </c>
      <c r="D35" s="333" t="s">
        <v>9</v>
      </c>
      <c r="E35" s="334"/>
      <c r="F35" s="335"/>
      <c r="G35" s="333" t="s">
        <v>10</v>
      </c>
      <c r="H35" s="334"/>
      <c r="I35" s="334"/>
      <c r="J35" s="334"/>
      <c r="K35" s="334"/>
    </row>
    <row r="36" spans="2:11" ht="14.4" customHeight="1">
      <c r="C36" s="50"/>
      <c r="D36" s="41">
        <f>'Financial Statement Model'!D12</f>
        <v>44500</v>
      </c>
      <c r="E36" s="41">
        <f>'Financial Statement Model'!E12</f>
        <v>44865</v>
      </c>
      <c r="F36" s="42">
        <f>'Financial Statement Model'!F12</f>
        <v>45230</v>
      </c>
      <c r="G36" s="41">
        <f>'Financial Statement Model'!G12</f>
        <v>45596</v>
      </c>
      <c r="H36" s="41">
        <f>'Financial Statement Model'!H12</f>
        <v>45961</v>
      </c>
      <c r="I36" s="41">
        <f>'Financial Statement Model'!I12</f>
        <v>46326</v>
      </c>
      <c r="J36" s="41">
        <f>'Financial Statement Model'!J12</f>
        <v>46691</v>
      </c>
      <c r="K36" s="41">
        <f>'Financial Statement Model'!K12</f>
        <v>47057</v>
      </c>
    </row>
    <row r="37" spans="2:11" ht="14.4" customHeight="1">
      <c r="C37" s="37" t="s">
        <v>22</v>
      </c>
    </row>
    <row r="38" spans="2:11" ht="14.4" customHeight="1">
      <c r="C38" s="36" t="str">
        <f>+C21</f>
        <v>Aerospace, Defense &amp; Government</v>
      </c>
      <c r="D38" s="214"/>
      <c r="E38" s="206">
        <f>+E21/D21-1</f>
        <v>2.5394045534150589E-2</v>
      </c>
      <c r="F38" s="207">
        <f>+F21/E21-1</f>
        <v>6.7463706233988008E-2</v>
      </c>
      <c r="G38" s="220">
        <v>6.5000000000000002E-2</v>
      </c>
      <c r="H38" s="220">
        <v>0.06</v>
      </c>
      <c r="I38" s="220">
        <v>7.0000000000000007E-2</v>
      </c>
      <c r="J38" s="220">
        <v>0.05</v>
      </c>
      <c r="K38" s="220">
        <v>0.05</v>
      </c>
    </row>
    <row r="39" spans="2:11" ht="14.4" customHeight="1">
      <c r="C39" s="36" t="str">
        <f>+C22</f>
        <v>Commercial Communications</v>
      </c>
      <c r="D39" s="214"/>
      <c r="E39" s="206">
        <f>+E22/D22-1</f>
        <v>0.10541789164216708</v>
      </c>
      <c r="F39" s="207">
        <f>+F22/E22-1</f>
        <v>-7.4848024316109374E-2</v>
      </c>
      <c r="G39" s="220">
        <v>0</v>
      </c>
      <c r="H39" s="220">
        <v>0.02</v>
      </c>
      <c r="I39" s="220">
        <v>0.03</v>
      </c>
      <c r="J39" s="220">
        <v>0.03</v>
      </c>
      <c r="K39" s="220">
        <v>0.03</v>
      </c>
    </row>
    <row r="40" spans="2:11" ht="14.4" customHeight="1">
      <c r="B40" s="30" t="s">
        <v>23</v>
      </c>
      <c r="C40" s="48" t="str">
        <f>C30</f>
        <v>Electronic Industrial Solutions Group (EISG)</v>
      </c>
      <c r="D40" s="215"/>
      <c r="E40" s="208">
        <f>+E30/D30-1</f>
        <v>0.14033850493653022</v>
      </c>
      <c r="F40" s="209">
        <f>+F30/E30-1</f>
        <v>0.1001855287569573</v>
      </c>
      <c r="G40" s="221">
        <v>0.11</v>
      </c>
      <c r="H40" s="221">
        <v>0.12</v>
      </c>
      <c r="I40" s="221">
        <v>0.1</v>
      </c>
      <c r="J40" s="221">
        <v>0.1</v>
      </c>
      <c r="K40" s="221">
        <v>0.1</v>
      </c>
    </row>
    <row r="42" spans="2:11" ht="14.4" customHeight="1">
      <c r="C42" s="50" t="s">
        <v>24</v>
      </c>
      <c r="D42" s="333" t="s">
        <v>9</v>
      </c>
      <c r="E42" s="334"/>
      <c r="F42" s="335"/>
      <c r="G42" s="333" t="s">
        <v>10</v>
      </c>
      <c r="H42" s="334"/>
      <c r="I42" s="334"/>
      <c r="J42" s="334"/>
      <c r="K42" s="334"/>
    </row>
    <row r="43" spans="2:11" ht="14.4" customHeight="1">
      <c r="C43" s="50"/>
      <c r="D43" s="41">
        <f>'Financial Statement Model'!D12</f>
        <v>44500</v>
      </c>
      <c r="E43" s="41">
        <f>'Financial Statement Model'!E12</f>
        <v>44865</v>
      </c>
      <c r="F43" s="42">
        <f>'Financial Statement Model'!F12</f>
        <v>45230</v>
      </c>
      <c r="G43" s="41">
        <f>'Financial Statement Model'!G12</f>
        <v>45596</v>
      </c>
      <c r="H43" s="41">
        <f>'Financial Statement Model'!H12</f>
        <v>45961</v>
      </c>
      <c r="I43" s="41">
        <f>'Financial Statement Model'!I12</f>
        <v>46326</v>
      </c>
      <c r="J43" s="41">
        <f>'Financial Statement Model'!J12</f>
        <v>46691</v>
      </c>
      <c r="K43" s="41">
        <f>'Financial Statement Model'!K12</f>
        <v>47057</v>
      </c>
    </row>
    <row r="44" spans="2:11" ht="14.4" customHeight="1">
      <c r="C44" s="37" t="s">
        <v>25</v>
      </c>
    </row>
    <row r="45" spans="2:11" ht="14.4" customHeight="1">
      <c r="C45" s="36" t="s">
        <v>26</v>
      </c>
      <c r="D45" s="298"/>
      <c r="E45" s="298"/>
      <c r="F45" s="299"/>
      <c r="G45" s="220">
        <v>0.65</v>
      </c>
      <c r="H45" s="220">
        <v>0.65</v>
      </c>
      <c r="I45" s="220">
        <v>0.65</v>
      </c>
      <c r="J45" s="220">
        <v>0.65</v>
      </c>
      <c r="K45" s="220">
        <v>0.65</v>
      </c>
    </row>
    <row r="46" spans="2:11" ht="14.4" customHeight="1">
      <c r="C46" s="36" t="s">
        <v>27</v>
      </c>
      <c r="D46" s="298"/>
      <c r="E46" s="298"/>
      <c r="F46" s="299"/>
      <c r="G46" s="220">
        <v>0.38</v>
      </c>
      <c r="H46" s="220">
        <v>0.38</v>
      </c>
      <c r="I46" s="220">
        <v>0.38</v>
      </c>
      <c r="J46" s="220">
        <v>0.38</v>
      </c>
      <c r="K46" s="220">
        <v>0.38</v>
      </c>
    </row>
    <row r="47" spans="2:11" ht="14.4" customHeight="1">
      <c r="C47" s="36" t="s">
        <v>28</v>
      </c>
      <c r="D47" s="298"/>
      <c r="E47" s="298"/>
      <c r="F47" s="299"/>
      <c r="G47" s="220">
        <v>0</v>
      </c>
      <c r="H47" s="220">
        <v>0</v>
      </c>
      <c r="I47" s="220">
        <v>0</v>
      </c>
      <c r="J47" s="220">
        <v>0</v>
      </c>
      <c r="K47" s="220">
        <v>0</v>
      </c>
    </row>
    <row r="48" spans="2:11" ht="14.4" customHeight="1">
      <c r="C48" s="30" t="s">
        <v>29</v>
      </c>
      <c r="D48" s="300"/>
      <c r="E48" s="300"/>
      <c r="F48" s="301"/>
      <c r="G48" s="222">
        <v>60</v>
      </c>
      <c r="H48" s="222">
        <v>60</v>
      </c>
      <c r="I48" s="222">
        <v>60</v>
      </c>
      <c r="J48" s="222">
        <v>60</v>
      </c>
      <c r="K48" s="222">
        <v>60</v>
      </c>
    </row>
    <row r="49" spans="3:11" ht="14.4" customHeight="1">
      <c r="C49" s="44" t="s">
        <v>30</v>
      </c>
      <c r="D49" s="302"/>
      <c r="E49" s="303"/>
      <c r="F49" s="304"/>
      <c r="G49" s="223">
        <v>1.5</v>
      </c>
      <c r="H49" s="223">
        <v>1.5</v>
      </c>
      <c r="I49" s="223">
        <v>1.5</v>
      </c>
      <c r="J49" s="223">
        <v>1.5</v>
      </c>
      <c r="K49" s="223">
        <v>1.5</v>
      </c>
    </row>
  </sheetData>
  <mergeCells count="8">
    <mergeCell ref="D42:F42"/>
    <mergeCell ref="G42:K42"/>
    <mergeCell ref="D11:F11"/>
    <mergeCell ref="G11:K11"/>
    <mergeCell ref="D17:F17"/>
    <mergeCell ref="G17:K17"/>
    <mergeCell ref="D35:F35"/>
    <mergeCell ref="G35:K35"/>
  </mergeCells>
  <printOptions horizontalCentered="1" verticalCentered="1"/>
  <pageMargins left="0.7" right="0.7" top="0.75" bottom="0.75" header="0" footer="0"/>
  <pageSetup orientation="landscape"/>
  <rowBreaks count="1" manualBreakCount="1">
    <brk id="3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A237"/>
  <sheetViews>
    <sheetView showGridLines="0" zoomScale="85" zoomScaleNormal="85" workbookViewId="0"/>
  </sheetViews>
  <sheetFormatPr defaultColWidth="14.44140625" defaultRowHeight="14.4" customHeight="1"/>
  <cols>
    <col min="1" max="1" width="1.6640625" customWidth="1"/>
    <col min="2" max="2" width="2.6640625" customWidth="1"/>
    <col min="3" max="3" width="45.6640625" customWidth="1"/>
    <col min="4" max="11" width="12.5546875" bestFit="1" customWidth="1"/>
    <col min="12" max="12" width="2.6640625" customWidth="1"/>
    <col min="13" max="13" width="12.5546875" bestFit="1" customWidth="1"/>
    <col min="14" max="14" width="2.6640625" customWidth="1"/>
    <col min="15" max="25" width="8.6640625" style="314" customWidth="1"/>
    <col min="26" max="27" width="14.44140625" style="314"/>
  </cols>
  <sheetData>
    <row r="1" spans="3:27" ht="14.4" customHeight="1" thickBot="1"/>
    <row r="2" spans="3:27" ht="18" customHeight="1">
      <c r="C2" s="1" t="str">
        <f>"Financial Statement Model For "&amp;D5</f>
        <v>Financial Statement Model For Keysight Technologies, Inc.</v>
      </c>
      <c r="D2" s="2"/>
      <c r="E2" s="2"/>
      <c r="F2" s="2"/>
      <c r="G2" s="2"/>
      <c r="H2" s="2"/>
      <c r="I2" s="2"/>
      <c r="J2" s="2"/>
      <c r="K2" s="2"/>
      <c r="L2" s="2"/>
      <c r="M2" s="2"/>
      <c r="O2"/>
      <c r="P2"/>
      <c r="Q2"/>
      <c r="R2"/>
      <c r="S2"/>
      <c r="T2"/>
      <c r="U2"/>
      <c r="V2"/>
      <c r="W2"/>
      <c r="X2"/>
      <c r="Y2"/>
      <c r="Z2"/>
      <c r="AA2"/>
    </row>
    <row r="3" spans="3:27" ht="14.4" customHeight="1" thickBot="1">
      <c r="C3" s="3" t="s">
        <v>31</v>
      </c>
      <c r="D3" s="4"/>
      <c r="E3" s="4"/>
      <c r="F3" s="4"/>
      <c r="G3" s="4"/>
      <c r="H3" s="4"/>
      <c r="I3" s="4"/>
      <c r="J3" s="4"/>
      <c r="K3" s="4"/>
      <c r="L3" s="4"/>
      <c r="M3" s="4"/>
      <c r="O3"/>
      <c r="P3"/>
      <c r="Q3"/>
      <c r="R3"/>
      <c r="S3"/>
      <c r="T3"/>
      <c r="U3"/>
      <c r="V3"/>
      <c r="W3"/>
      <c r="X3"/>
      <c r="Y3"/>
      <c r="Z3"/>
      <c r="AA3"/>
    </row>
    <row r="4" spans="3:27" ht="14.4" customHeight="1">
      <c r="C4" s="5"/>
      <c r="O4"/>
      <c r="P4"/>
      <c r="Q4"/>
      <c r="R4"/>
      <c r="S4"/>
      <c r="T4"/>
      <c r="U4"/>
      <c r="V4"/>
      <c r="W4"/>
      <c r="X4"/>
      <c r="Y4"/>
      <c r="Z4"/>
      <c r="AA4"/>
    </row>
    <row r="5" spans="3:27" ht="14.4" customHeight="1">
      <c r="C5" s="6" t="s">
        <v>1</v>
      </c>
      <c r="D5" s="80" t="str">
        <f>'Revenue Build &amp; Growth Drivers'!D5</f>
        <v>Keysight Technologies, Inc.</v>
      </c>
      <c r="G5" s="6" t="s">
        <v>32</v>
      </c>
      <c r="H5" s="6"/>
      <c r="J5" s="16">
        <v>1</v>
      </c>
      <c r="O5" s="336" t="s">
        <v>33</v>
      </c>
      <c r="P5" s="336"/>
      <c r="Q5" s="336"/>
      <c r="R5" s="336"/>
      <c r="S5" s="336"/>
      <c r="T5" s="336"/>
      <c r="U5" s="336"/>
      <c r="V5" s="336"/>
      <c r="W5" s="336"/>
      <c r="X5"/>
      <c r="Y5"/>
      <c r="Z5"/>
      <c r="AA5"/>
    </row>
    <row r="6" spans="3:27" ht="14.4" customHeight="1">
      <c r="C6" s="6" t="s">
        <v>3</v>
      </c>
      <c r="D6" s="81" t="str">
        <f>'Revenue Build &amp; Growth Drivers'!D6</f>
        <v>KEYS</v>
      </c>
      <c r="F6" s="7"/>
      <c r="O6" s="336"/>
      <c r="P6" s="336"/>
      <c r="Q6" s="336"/>
      <c r="R6" s="336"/>
      <c r="S6" s="336"/>
      <c r="T6" s="336"/>
      <c r="U6" s="336"/>
      <c r="V6" s="336"/>
      <c r="W6" s="336"/>
      <c r="X6"/>
      <c r="Y6"/>
      <c r="Z6"/>
      <c r="AA6"/>
    </row>
    <row r="7" spans="3:27" ht="14.4" customHeight="1">
      <c r="C7" s="6" t="s">
        <v>5</v>
      </c>
      <c r="D7" s="82">
        <f>'Revenue Build &amp; Growth Drivers'!D7</f>
        <v>45394</v>
      </c>
      <c r="F7" s="8" t="s">
        <v>34</v>
      </c>
      <c r="O7"/>
      <c r="P7"/>
      <c r="Q7"/>
      <c r="R7"/>
      <c r="S7"/>
      <c r="T7"/>
      <c r="U7"/>
      <c r="V7"/>
      <c r="W7"/>
      <c r="X7"/>
      <c r="Y7"/>
      <c r="Z7"/>
      <c r="AA7"/>
    </row>
    <row r="8" spans="3:27" ht="14.4" customHeight="1">
      <c r="C8" s="6" t="s">
        <v>6</v>
      </c>
      <c r="D8" s="82">
        <f>'Revenue Build &amp; Growth Drivers'!D8</f>
        <v>45393</v>
      </c>
      <c r="F8" s="21"/>
      <c r="H8" s="320"/>
      <c r="O8"/>
      <c r="P8"/>
      <c r="Q8"/>
      <c r="R8"/>
      <c r="S8"/>
      <c r="T8"/>
      <c r="U8"/>
      <c r="V8"/>
      <c r="W8"/>
      <c r="X8"/>
      <c r="Y8"/>
      <c r="Z8"/>
      <c r="AA8"/>
    </row>
    <row r="9" spans="3:27" ht="14.4" customHeight="1">
      <c r="C9" s="6" t="s">
        <v>7</v>
      </c>
      <c r="D9" s="260">
        <f>'Revenue Build &amp; Growth Drivers'!D9</f>
        <v>160.13999999999999</v>
      </c>
      <c r="F9" s="9"/>
      <c r="O9"/>
      <c r="P9"/>
      <c r="Q9"/>
      <c r="R9"/>
      <c r="S9"/>
      <c r="T9"/>
      <c r="U9"/>
      <c r="V9"/>
      <c r="W9"/>
      <c r="X9"/>
      <c r="Y9"/>
      <c r="Z9"/>
      <c r="AA9"/>
    </row>
    <row r="10" spans="3:27" ht="14.4" customHeight="1"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3:27" ht="14.4" customHeight="1">
      <c r="C11" s="55" t="s">
        <v>35</v>
      </c>
      <c r="D11" s="337" t="s">
        <v>9</v>
      </c>
      <c r="E11" s="338"/>
      <c r="F11" s="339"/>
      <c r="G11" s="337" t="s">
        <v>10</v>
      </c>
      <c r="H11" s="338"/>
      <c r="I11" s="338"/>
      <c r="J11" s="338"/>
      <c r="K11" s="338"/>
      <c r="M11" s="52" t="s">
        <v>36</v>
      </c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3:27" ht="14.4" customHeight="1">
      <c r="C12" s="55"/>
      <c r="D12" s="10">
        <v>44500</v>
      </c>
      <c r="E12" s="10">
        <f t="shared" ref="E12:K12" si="0">EOMONTH(D12,12)</f>
        <v>44865</v>
      </c>
      <c r="F12" s="11">
        <f t="shared" si="0"/>
        <v>45230</v>
      </c>
      <c r="G12" s="10">
        <f>EOMONTH(F12,12)</f>
        <v>45596</v>
      </c>
      <c r="H12" s="10">
        <f t="shared" si="0"/>
        <v>45961</v>
      </c>
      <c r="I12" s="10">
        <f t="shared" si="0"/>
        <v>46326</v>
      </c>
      <c r="J12" s="10">
        <f t="shared" si="0"/>
        <v>46691</v>
      </c>
      <c r="K12" s="10">
        <f t="shared" si="0"/>
        <v>47057</v>
      </c>
      <c r="M12" s="10" t="s">
        <v>37</v>
      </c>
      <c r="N12" s="320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3:27" ht="14.4" customHeight="1">
      <c r="D13" s="25"/>
      <c r="E13" s="25"/>
      <c r="F13" s="149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3:27" ht="14.4" customHeight="1">
      <c r="C14" s="320" t="s">
        <v>11</v>
      </c>
      <c r="D14" s="152">
        <v>4941000</v>
      </c>
      <c r="E14" s="152">
        <v>5420000</v>
      </c>
      <c r="F14" s="153">
        <v>5464000</v>
      </c>
      <c r="G14" s="154">
        <f>+F14*(1+G34)</f>
        <v>5740940</v>
      </c>
      <c r="H14" s="154">
        <f t="shared" ref="H14:K14" si="1">+G14*(1+H34)</f>
        <v>6106477.7999999998</v>
      </c>
      <c r="I14" s="154">
        <f t="shared" si="1"/>
        <v>6500932.8299999991</v>
      </c>
      <c r="J14" s="154">
        <f t="shared" si="1"/>
        <v>6896456.1554999994</v>
      </c>
      <c r="K14" s="154">
        <f t="shared" si="1"/>
        <v>7322384.811075001</v>
      </c>
      <c r="M14" s="53">
        <f>+_xlfn.RRI(YEAR($K$12)-YEAR($F$12),F14,K14)</f>
        <v>6.0299048224266016E-2</v>
      </c>
      <c r="N14" s="320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3:27" ht="14.4" customHeight="1">
      <c r="C15" s="6" t="s">
        <v>38</v>
      </c>
      <c r="D15" s="152">
        <v>1873000</v>
      </c>
      <c r="E15" s="152">
        <v>1985000</v>
      </c>
      <c r="F15" s="153">
        <v>1945000</v>
      </c>
      <c r="G15" s="154"/>
      <c r="H15" s="154"/>
      <c r="I15" s="154"/>
      <c r="J15" s="154"/>
      <c r="K15" s="154"/>
      <c r="N15" s="320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3:27" ht="14.4" customHeight="1">
      <c r="C16" s="12" t="s">
        <v>39</v>
      </c>
      <c r="D16" s="155">
        <v>3068000</v>
      </c>
      <c r="E16" s="155">
        <v>3435000</v>
      </c>
      <c r="F16" s="156">
        <v>3519000</v>
      </c>
      <c r="G16" s="157"/>
      <c r="H16" s="157"/>
      <c r="I16" s="157"/>
      <c r="J16" s="157"/>
      <c r="K16" s="157"/>
      <c r="M16" s="53"/>
      <c r="N16" s="320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3:27" ht="14.4" customHeight="1">
      <c r="C17" s="320" t="s">
        <v>40</v>
      </c>
      <c r="D17" s="152">
        <v>1987000</v>
      </c>
      <c r="E17" s="152">
        <v>2099000</v>
      </c>
      <c r="F17" s="153">
        <v>2123000</v>
      </c>
      <c r="G17" s="154"/>
      <c r="H17" s="154"/>
      <c r="I17" s="154"/>
      <c r="J17" s="154"/>
      <c r="K17" s="154"/>
      <c r="L17" s="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3:27" ht="14.4" customHeight="1">
      <c r="C18" s="320" t="s">
        <v>41</v>
      </c>
      <c r="D18" s="152">
        <v>0</v>
      </c>
      <c r="E18" s="152">
        <v>0</v>
      </c>
      <c r="F18" s="153">
        <v>0</v>
      </c>
      <c r="G18" s="154"/>
      <c r="H18" s="154"/>
      <c r="I18" s="154"/>
      <c r="J18" s="154"/>
      <c r="K18" s="154"/>
      <c r="L18" s="17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3:27" ht="14.4" customHeight="1">
      <c r="C19" s="12" t="s">
        <v>42</v>
      </c>
      <c r="D19" s="155">
        <v>1081000</v>
      </c>
      <c r="E19" s="155">
        <v>1336000</v>
      </c>
      <c r="F19" s="156">
        <v>1396000</v>
      </c>
      <c r="G19" s="157"/>
      <c r="H19" s="157"/>
      <c r="I19" s="157"/>
      <c r="J19" s="157"/>
      <c r="K19" s="157"/>
      <c r="L19" s="17"/>
      <c r="M19" s="53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3:27" ht="14.4" customHeight="1">
      <c r="C20" s="320" t="s">
        <v>43</v>
      </c>
      <c r="D20" s="152">
        <v>27000</v>
      </c>
      <c r="E20" s="152">
        <v>62000</v>
      </c>
      <c r="F20" s="153">
        <v>143000</v>
      </c>
      <c r="G20" s="154"/>
      <c r="H20" s="154"/>
      <c r="I20" s="154"/>
      <c r="J20" s="154"/>
      <c r="K20" s="154"/>
      <c r="M20" s="160"/>
      <c r="O20" t="s">
        <v>44</v>
      </c>
      <c r="P20"/>
      <c r="Q20"/>
      <c r="R20"/>
      <c r="S20"/>
      <c r="T20"/>
      <c r="U20"/>
      <c r="V20"/>
      <c r="W20"/>
      <c r="X20"/>
      <c r="Y20"/>
      <c r="Z20"/>
      <c r="AA20"/>
    </row>
    <row r="21" spans="3:27" ht="14.4" customHeight="1">
      <c r="C21" s="320" t="s">
        <v>45</v>
      </c>
      <c r="D21" s="152">
        <v>79000</v>
      </c>
      <c r="E21" s="152">
        <v>79000</v>
      </c>
      <c r="F21" s="153">
        <v>78000</v>
      </c>
      <c r="G21" s="154"/>
      <c r="H21" s="154"/>
      <c r="I21" s="154"/>
      <c r="J21" s="154"/>
      <c r="K21" s="154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3:27" ht="14.4" customHeight="1">
      <c r="C22" s="320" t="s">
        <v>46</v>
      </c>
      <c r="D22" s="152">
        <v>19000</v>
      </c>
      <c r="E22" s="152">
        <v>34000</v>
      </c>
      <c r="F22" s="153">
        <v>104000</v>
      </c>
      <c r="G22" s="279"/>
      <c r="H22" s="279"/>
      <c r="I22" s="279"/>
      <c r="J22" s="279"/>
      <c r="K22" s="279"/>
      <c r="O22" t="s">
        <v>47</v>
      </c>
      <c r="P22"/>
      <c r="Q22"/>
      <c r="R22"/>
      <c r="S22"/>
      <c r="T22"/>
      <c r="U22"/>
      <c r="V22"/>
      <c r="W22"/>
      <c r="X22"/>
      <c r="Y22"/>
      <c r="Z22"/>
      <c r="AA22"/>
    </row>
    <row r="23" spans="3:27" ht="14.4" customHeight="1">
      <c r="C23" s="12" t="s">
        <v>48</v>
      </c>
      <c r="D23" s="155">
        <v>1010000</v>
      </c>
      <c r="E23" s="155">
        <v>1285000</v>
      </c>
      <c r="F23" s="156">
        <v>1357000</v>
      </c>
      <c r="G23" s="157"/>
      <c r="H23" s="157"/>
      <c r="I23" s="157"/>
      <c r="J23" s="157"/>
      <c r="K23" s="157"/>
      <c r="M23" s="5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3:27" ht="14.4" customHeight="1">
      <c r="C24" s="320" t="s">
        <v>49</v>
      </c>
      <c r="D24" s="152">
        <v>116000</v>
      </c>
      <c r="E24" s="152">
        <v>161000</v>
      </c>
      <c r="F24" s="153">
        <v>300000</v>
      </c>
      <c r="G24" s="154"/>
      <c r="H24" s="154"/>
      <c r="I24" s="154"/>
      <c r="J24" s="154"/>
      <c r="K24" s="15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3:27" ht="14.4" customHeight="1">
      <c r="C25" s="320" t="s">
        <v>50</v>
      </c>
      <c r="D25" s="152">
        <v>0</v>
      </c>
      <c r="E25" s="152">
        <v>0</v>
      </c>
      <c r="F25" s="153">
        <v>0</v>
      </c>
      <c r="G25" s="154"/>
      <c r="H25" s="154"/>
      <c r="I25" s="154"/>
      <c r="J25" s="154"/>
      <c r="K25" s="154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3:27" ht="14.4" customHeight="1">
      <c r="C26" s="12" t="s">
        <v>51</v>
      </c>
      <c r="D26" s="155">
        <v>894000</v>
      </c>
      <c r="E26" s="155">
        <v>1124000</v>
      </c>
      <c r="F26" s="156">
        <v>1057000</v>
      </c>
      <c r="G26" s="157"/>
      <c r="H26" s="157"/>
      <c r="I26" s="157"/>
      <c r="J26" s="157"/>
      <c r="K26" s="157"/>
      <c r="M26" s="53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3:27" ht="14.4" customHeight="1">
      <c r="C27" s="12"/>
      <c r="D27" s="158"/>
      <c r="E27" s="158"/>
      <c r="F27" s="159"/>
      <c r="G27" s="160"/>
      <c r="H27" s="160"/>
      <c r="I27" s="160"/>
      <c r="J27" s="160"/>
      <c r="K27" s="160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3:27" ht="14.4" customHeight="1">
      <c r="C28" s="320" t="s">
        <v>52</v>
      </c>
      <c r="D28" s="152">
        <v>291000</v>
      </c>
      <c r="E28" s="152">
        <v>220000</v>
      </c>
      <c r="F28" s="153">
        <v>210000</v>
      </c>
      <c r="G28" s="154"/>
      <c r="H28" s="154"/>
      <c r="I28" s="154"/>
      <c r="J28" s="154"/>
      <c r="K28" s="154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3:27" ht="14.4" customHeight="1">
      <c r="C29" s="12" t="s">
        <v>53</v>
      </c>
      <c r="D29" s="158">
        <v>1372000</v>
      </c>
      <c r="E29" s="158">
        <v>1556000</v>
      </c>
      <c r="F29" s="159">
        <v>1606000</v>
      </c>
      <c r="G29" s="157"/>
      <c r="H29" s="157"/>
      <c r="I29" s="157"/>
      <c r="J29" s="157"/>
      <c r="K29" s="157"/>
      <c r="M29" s="53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3:27" ht="14.4" customHeight="1">
      <c r="C30" s="12"/>
      <c r="D30" s="158"/>
      <c r="E30" s="158"/>
      <c r="F30" s="159"/>
      <c r="G30" s="157"/>
      <c r="H30" s="157"/>
      <c r="I30" s="157"/>
      <c r="J30" s="157"/>
      <c r="K30" s="157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3:27" ht="14.4" customHeight="1">
      <c r="C31" s="12" t="s">
        <v>54</v>
      </c>
      <c r="D31" s="158">
        <v>103000</v>
      </c>
      <c r="E31" s="158">
        <v>125000</v>
      </c>
      <c r="F31" s="159">
        <v>135000</v>
      </c>
      <c r="G31" s="157"/>
      <c r="H31" s="157"/>
      <c r="I31" s="157"/>
      <c r="J31" s="157"/>
      <c r="K31" s="157"/>
      <c r="O31" t="s">
        <v>55</v>
      </c>
      <c r="P31"/>
      <c r="Q31"/>
      <c r="R31"/>
      <c r="S31"/>
      <c r="T31"/>
      <c r="U31"/>
      <c r="V31"/>
      <c r="W31"/>
      <c r="X31"/>
      <c r="Y31"/>
      <c r="Z31"/>
      <c r="AA31"/>
    </row>
    <row r="32" spans="3:27" ht="14.4" customHeight="1">
      <c r="C32" s="12"/>
      <c r="D32" s="28"/>
      <c r="E32" s="28"/>
      <c r="F32" s="76"/>
      <c r="G32" s="26"/>
      <c r="H32" s="26"/>
      <c r="I32" s="26"/>
      <c r="J32" s="26"/>
      <c r="K32" s="26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3:27" ht="14.4" customHeight="1">
      <c r="C33" s="7" t="s">
        <v>56</v>
      </c>
      <c r="D33" s="29"/>
      <c r="E33" s="29"/>
      <c r="F33" s="77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3:27" ht="14.4" customHeight="1">
      <c r="C34" s="6" t="s">
        <v>57</v>
      </c>
      <c r="D34" s="161"/>
      <c r="E34" s="162">
        <f>+E14/D14-1</f>
        <v>9.6943938473993185E-2</v>
      </c>
      <c r="F34" s="163">
        <f>+F14/E14-1</f>
        <v>8.1180811808116982E-3</v>
      </c>
      <c r="G34" s="224">
        <f>+'Revenue Build &amp; Growth Drivers'!G15</f>
        <v>5.0684480234260532E-2</v>
      </c>
      <c r="H34" s="224">
        <f>+'Revenue Build &amp; Growth Drivers'!H15</f>
        <v>6.3672116412991642E-2</v>
      </c>
      <c r="I34" s="224">
        <f>+'Revenue Build &amp; Growth Drivers'!I15</f>
        <v>6.4596162128027323E-2</v>
      </c>
      <c r="J34" s="224">
        <f>+'Revenue Build &amp; Growth Drivers'!J15</f>
        <v>6.0841010950731578E-2</v>
      </c>
      <c r="K34" s="224">
        <f>+'Revenue Build &amp; Growth Drivers'!K15</f>
        <v>6.176051090172141E-2</v>
      </c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3:27" ht="14.4" customHeight="1">
      <c r="C35" s="6" t="s">
        <v>26</v>
      </c>
      <c r="D35" s="162"/>
      <c r="E35" s="162"/>
      <c r="F35" s="163"/>
      <c r="G35" s="224"/>
      <c r="H35" s="224"/>
      <c r="I35" s="224"/>
      <c r="J35" s="224"/>
      <c r="K35" s="224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3:27" ht="14.4" customHeight="1">
      <c r="C36" s="6" t="s">
        <v>58</v>
      </c>
      <c r="D36" s="162"/>
      <c r="E36" s="162"/>
      <c r="F36" s="163"/>
      <c r="G36" s="224"/>
      <c r="H36" s="224"/>
      <c r="I36" s="224"/>
      <c r="J36" s="224"/>
      <c r="K36" s="224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3:27" ht="14.4" customHeight="1">
      <c r="C37" s="6" t="s">
        <v>28</v>
      </c>
      <c r="D37" s="162"/>
      <c r="E37" s="162"/>
      <c r="F37" s="163"/>
      <c r="G37" s="224"/>
      <c r="H37" s="224"/>
      <c r="I37" s="224"/>
      <c r="J37" s="224"/>
      <c r="K37" s="224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3:27" ht="14.4" customHeight="1">
      <c r="C38" s="6" t="s">
        <v>59</v>
      </c>
      <c r="D38" s="162"/>
      <c r="E38" s="162"/>
      <c r="F38" s="163"/>
      <c r="G38" s="162"/>
      <c r="H38" s="162"/>
      <c r="I38" s="162"/>
      <c r="J38" s="162"/>
      <c r="K38" s="162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14.4" customHeight="1">
      <c r="C39" s="6" t="s">
        <v>60</v>
      </c>
      <c r="D39" s="162"/>
      <c r="E39" s="162"/>
      <c r="F39" s="163"/>
      <c r="G39" s="162"/>
      <c r="H39" s="162"/>
      <c r="I39" s="162"/>
      <c r="J39" s="162"/>
      <c r="K39" s="162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3:27" ht="14.4" customHeight="1">
      <c r="C40" s="6" t="s">
        <v>61</v>
      </c>
      <c r="D40" s="162"/>
      <c r="E40" s="162"/>
      <c r="F40" s="163"/>
      <c r="G40" s="162"/>
      <c r="H40" s="162"/>
      <c r="I40" s="162"/>
      <c r="J40" s="162"/>
      <c r="K40" s="162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3:27" ht="14.4" customHeight="1">
      <c r="C41" s="312" t="s">
        <v>62</v>
      </c>
      <c r="D41" s="164"/>
      <c r="E41" s="164"/>
      <c r="F41" s="165"/>
      <c r="G41" s="201"/>
      <c r="H41" s="201"/>
      <c r="I41" s="201"/>
      <c r="J41" s="201"/>
      <c r="K41" s="201"/>
      <c r="O41" t="s">
        <v>63</v>
      </c>
      <c r="P41"/>
      <c r="Q41"/>
      <c r="R41"/>
      <c r="S41"/>
      <c r="T41"/>
      <c r="U41"/>
      <c r="V41"/>
      <c r="W41"/>
      <c r="X41"/>
      <c r="Y41"/>
      <c r="Z41"/>
      <c r="AA41"/>
    </row>
    <row r="42" spans="3:27" ht="14.4" customHeight="1">
      <c r="C42" s="6"/>
      <c r="D42" s="18"/>
      <c r="E42" s="18"/>
      <c r="F42" s="18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3:27" ht="14.4" customHeight="1">
      <c r="C43" s="55" t="s">
        <v>64</v>
      </c>
      <c r="D43" s="337" t="s">
        <v>9</v>
      </c>
      <c r="E43" s="338"/>
      <c r="F43" s="339"/>
      <c r="G43" s="337" t="s">
        <v>10</v>
      </c>
      <c r="H43" s="338"/>
      <c r="I43" s="338"/>
      <c r="J43" s="338"/>
      <c r="K43" s="338"/>
      <c r="M43" s="52" t="s">
        <v>36</v>
      </c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3:27" ht="14.4" customHeight="1">
      <c r="C44" s="55"/>
      <c r="D44" s="10">
        <f>+D$12</f>
        <v>44500</v>
      </c>
      <c r="E44" s="10">
        <f t="shared" ref="E44:K44" si="2">+E$12</f>
        <v>44865</v>
      </c>
      <c r="F44" s="11">
        <f t="shared" si="2"/>
        <v>45230</v>
      </c>
      <c r="G44" s="10">
        <f t="shared" si="2"/>
        <v>45596</v>
      </c>
      <c r="H44" s="10">
        <f t="shared" si="2"/>
        <v>45961</v>
      </c>
      <c r="I44" s="10">
        <f t="shared" si="2"/>
        <v>46326</v>
      </c>
      <c r="J44" s="10">
        <f t="shared" si="2"/>
        <v>46691</v>
      </c>
      <c r="K44" s="10">
        <f t="shared" si="2"/>
        <v>47057</v>
      </c>
      <c r="M44" s="10" t="s">
        <v>37</v>
      </c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3:27" ht="14.4" customHeight="1">
      <c r="D45" s="160"/>
      <c r="E45" s="160"/>
      <c r="F45" s="160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3:27" ht="14.4" customHeight="1">
      <c r="C46" s="320" t="s">
        <v>65</v>
      </c>
      <c r="D46" s="166">
        <v>2052000</v>
      </c>
      <c r="E46" s="166">
        <v>2042000</v>
      </c>
      <c r="F46" s="167">
        <v>2472000</v>
      </c>
      <c r="G46" s="160"/>
      <c r="H46" s="160"/>
      <c r="I46" s="160"/>
      <c r="J46" s="160"/>
      <c r="K46" s="160"/>
      <c r="M46" s="53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3:27" ht="14.4" customHeight="1">
      <c r="C47" s="320" t="s">
        <v>66</v>
      </c>
      <c r="D47" s="166">
        <v>735000</v>
      </c>
      <c r="E47" s="166">
        <v>905000</v>
      </c>
      <c r="F47" s="167">
        <v>900000</v>
      </c>
      <c r="G47" s="160"/>
      <c r="H47" s="160"/>
      <c r="I47" s="160"/>
      <c r="J47" s="160"/>
      <c r="K47" s="160"/>
      <c r="O47"/>
      <c r="P47"/>
      <c r="Q47"/>
      <c r="R47"/>
      <c r="S47"/>
      <c r="T47"/>
      <c r="U47"/>
      <c r="V47"/>
      <c r="W47"/>
      <c r="X47"/>
      <c r="Y47"/>
      <c r="Z47"/>
      <c r="AA47"/>
    </row>
    <row r="48" spans="3:27" ht="14.4" customHeight="1">
      <c r="C48" s="320" t="s">
        <v>67</v>
      </c>
      <c r="D48" s="166">
        <v>777000</v>
      </c>
      <c r="E48" s="166">
        <v>1057000</v>
      </c>
      <c r="F48" s="167">
        <v>1195000</v>
      </c>
      <c r="G48" s="160"/>
      <c r="H48" s="160"/>
      <c r="I48" s="160"/>
      <c r="J48" s="160"/>
      <c r="K48" s="160"/>
      <c r="O48"/>
      <c r="P48"/>
      <c r="Q48"/>
      <c r="R48"/>
      <c r="S48"/>
      <c r="T48"/>
      <c r="U48"/>
      <c r="V48"/>
      <c r="W48"/>
      <c r="X48"/>
      <c r="Y48"/>
      <c r="Z48"/>
      <c r="AA48"/>
    </row>
    <row r="49" spans="3:27" ht="14.4" customHeight="1">
      <c r="C49" s="320" t="s">
        <v>68</v>
      </c>
      <c r="D49" s="166">
        <v>270000</v>
      </c>
      <c r="E49" s="166">
        <v>230000</v>
      </c>
      <c r="F49" s="167">
        <v>242000</v>
      </c>
      <c r="G49" s="160"/>
      <c r="H49" s="160"/>
      <c r="I49" s="160"/>
      <c r="J49" s="160"/>
      <c r="K49" s="160"/>
      <c r="O49" t="s">
        <v>69</v>
      </c>
      <c r="P49"/>
      <c r="Q49"/>
      <c r="R49"/>
      <c r="S49"/>
      <c r="T49"/>
      <c r="U49"/>
      <c r="V49"/>
      <c r="W49"/>
      <c r="X49"/>
      <c r="Y49"/>
      <c r="Z49"/>
      <c r="AA49"/>
    </row>
    <row r="50" spans="3:27" ht="14.4" customHeight="1">
      <c r="C50" s="320" t="s">
        <v>70</v>
      </c>
      <c r="D50" s="166">
        <v>3834000</v>
      </c>
      <c r="E50" s="166">
        <v>4234000</v>
      </c>
      <c r="F50" s="167">
        <v>4809000</v>
      </c>
      <c r="G50" s="160"/>
      <c r="H50" s="160"/>
      <c r="I50" s="160"/>
      <c r="J50" s="160"/>
      <c r="K50" s="16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3:27" ht="14.4" customHeight="1">
      <c r="C51" s="320" t="s">
        <v>71</v>
      </c>
      <c r="D51" s="166">
        <v>877000</v>
      </c>
      <c r="E51" s="166">
        <v>910000</v>
      </c>
      <c r="F51" s="167">
        <v>987000</v>
      </c>
      <c r="G51" s="160"/>
      <c r="H51" s="160"/>
      <c r="I51" s="160"/>
      <c r="J51" s="160"/>
      <c r="K51" s="160"/>
      <c r="M51" s="20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3:27" ht="14.4" customHeight="1">
      <c r="C52" s="320" t="s">
        <v>72</v>
      </c>
      <c r="D52" s="166">
        <v>134000</v>
      </c>
      <c r="E52" s="166">
        <v>210000</v>
      </c>
      <c r="F52" s="167">
        <v>97000</v>
      </c>
      <c r="G52" s="160"/>
      <c r="H52" s="160"/>
      <c r="I52" s="160"/>
      <c r="J52" s="160"/>
      <c r="K52" s="160"/>
      <c r="M52" s="20"/>
      <c r="O52" t="s">
        <v>69</v>
      </c>
      <c r="P52"/>
      <c r="Q52"/>
      <c r="R52"/>
      <c r="S52"/>
      <c r="T52"/>
      <c r="U52"/>
      <c r="V52"/>
      <c r="W52"/>
      <c r="X52"/>
      <c r="Y52"/>
      <c r="Z52"/>
      <c r="AA52"/>
    </row>
    <row r="53" spans="3:27" ht="14.4" customHeight="1">
      <c r="C53" s="320" t="s">
        <v>73</v>
      </c>
      <c r="D53" s="166">
        <v>1900000</v>
      </c>
      <c r="E53" s="166">
        <v>1771000</v>
      </c>
      <c r="F53" s="167">
        <v>1795000</v>
      </c>
      <c r="G53" s="160"/>
      <c r="H53" s="160"/>
      <c r="I53" s="160"/>
      <c r="J53" s="160"/>
      <c r="K53" s="160"/>
      <c r="M53" s="20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3:27" ht="14.4" customHeight="1">
      <c r="C54" s="320" t="s">
        <v>74</v>
      </c>
      <c r="D54" s="166">
        <v>711000</v>
      </c>
      <c r="E54" s="166">
        <v>667000</v>
      </c>
      <c r="F54" s="167">
        <v>671000</v>
      </c>
      <c r="G54" s="160"/>
      <c r="H54" s="160"/>
      <c r="I54" s="160"/>
      <c r="J54" s="160"/>
      <c r="K54" s="160"/>
      <c r="M54" s="20"/>
      <c r="O54" t="s">
        <v>69</v>
      </c>
      <c r="P54"/>
      <c r="Q54"/>
      <c r="R54"/>
      <c r="S54"/>
      <c r="T54"/>
      <c r="U54"/>
      <c r="V54"/>
      <c r="W54"/>
      <c r="X54"/>
      <c r="Y54"/>
      <c r="Z54"/>
      <c r="AA54"/>
    </row>
    <row r="55" spans="3:27" ht="14.4" customHeight="1">
      <c r="C55" s="320" t="s">
        <v>75</v>
      </c>
      <c r="D55" s="166">
        <v>325000</v>
      </c>
      <c r="E55" s="166">
        <v>306000</v>
      </c>
      <c r="F55" s="167">
        <v>324000</v>
      </c>
      <c r="G55" s="160"/>
      <c r="H55" s="160"/>
      <c r="I55" s="160"/>
      <c r="J55" s="160"/>
      <c r="K55" s="160"/>
      <c r="M55" s="20"/>
      <c r="O55" t="s">
        <v>69</v>
      </c>
      <c r="P55"/>
      <c r="Q55"/>
      <c r="R55"/>
      <c r="S55"/>
      <c r="T55"/>
      <c r="U55"/>
      <c r="V55"/>
      <c r="W55"/>
      <c r="X55"/>
      <c r="Y55"/>
      <c r="Z55"/>
      <c r="AA55"/>
    </row>
    <row r="56" spans="3:27" ht="14.4" customHeight="1">
      <c r="C56" s="313" t="s">
        <v>76</v>
      </c>
      <c r="D56" s="168">
        <v>7781000</v>
      </c>
      <c r="E56" s="168">
        <v>8098000</v>
      </c>
      <c r="F56" s="172">
        <v>8683000</v>
      </c>
      <c r="G56" s="168"/>
      <c r="H56" s="168"/>
      <c r="I56" s="168"/>
      <c r="J56" s="168"/>
      <c r="K56" s="168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3:27" ht="14.4" customHeight="1">
      <c r="D57" s="169"/>
      <c r="E57" s="169"/>
      <c r="F57" s="306"/>
      <c r="G57" s="160"/>
      <c r="H57" s="160"/>
      <c r="I57" s="160"/>
      <c r="J57" s="160"/>
      <c r="K57" s="160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3:27" ht="14.4" customHeight="1">
      <c r="C58" s="320" t="s">
        <v>77</v>
      </c>
      <c r="D58" s="166">
        <v>41000</v>
      </c>
      <c r="E58" s="166">
        <v>39000</v>
      </c>
      <c r="F58" s="167">
        <v>639000</v>
      </c>
      <c r="G58" s="154"/>
      <c r="H58" s="154"/>
      <c r="I58" s="154"/>
      <c r="J58" s="154"/>
      <c r="K58" s="154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3:27" ht="14.4" customHeight="1">
      <c r="C59" s="320" t="s">
        <v>78</v>
      </c>
      <c r="D59" s="166">
        <v>287000</v>
      </c>
      <c r="E59" s="166">
        <v>348000</v>
      </c>
      <c r="F59" s="167">
        <v>286000</v>
      </c>
      <c r="G59" s="154"/>
      <c r="H59" s="154"/>
      <c r="I59" s="154"/>
      <c r="J59" s="154"/>
      <c r="K59" s="154"/>
      <c r="O59" t="s">
        <v>79</v>
      </c>
      <c r="P59"/>
      <c r="Q59"/>
      <c r="R59"/>
      <c r="S59"/>
      <c r="T59"/>
      <c r="U59"/>
      <c r="V59"/>
      <c r="W59"/>
      <c r="X59"/>
      <c r="Y59"/>
      <c r="Z59"/>
      <c r="AA59"/>
    </row>
    <row r="60" spans="3:27" ht="14.4" customHeight="1">
      <c r="C60" s="320" t="s">
        <v>80</v>
      </c>
      <c r="D60" s="166">
        <v>74000</v>
      </c>
      <c r="E60" s="166">
        <v>96000</v>
      </c>
      <c r="F60" s="167">
        <v>90000</v>
      </c>
      <c r="G60" s="279"/>
      <c r="H60" s="279"/>
      <c r="I60" s="279"/>
      <c r="J60" s="279"/>
      <c r="K60" s="279"/>
      <c r="O60" t="s">
        <v>47</v>
      </c>
      <c r="P60"/>
      <c r="Q60"/>
      <c r="R60"/>
      <c r="S60"/>
      <c r="T60"/>
      <c r="U60"/>
      <c r="V60"/>
      <c r="W60"/>
      <c r="X60"/>
      <c r="Y60"/>
      <c r="Z60"/>
      <c r="AA60"/>
    </row>
    <row r="61" spans="3:27" ht="14.4" customHeight="1">
      <c r="C61" s="320" t="s">
        <v>81</v>
      </c>
      <c r="D61" s="166">
        <v>907000</v>
      </c>
      <c r="E61" s="166">
        <v>924000</v>
      </c>
      <c r="F61" s="167">
        <v>1034000</v>
      </c>
      <c r="G61" s="154"/>
      <c r="H61" s="154"/>
      <c r="I61" s="154"/>
      <c r="J61" s="154"/>
      <c r="K61" s="154"/>
      <c r="O61" t="s">
        <v>69</v>
      </c>
      <c r="P61"/>
      <c r="Q61"/>
      <c r="R61"/>
      <c r="S61"/>
      <c r="T61"/>
      <c r="U61"/>
      <c r="V61"/>
      <c r="W61"/>
      <c r="X61"/>
      <c r="Y61"/>
      <c r="Z61"/>
      <c r="AA61"/>
    </row>
    <row r="62" spans="3:27" ht="14.4" customHeight="1">
      <c r="C62" s="27" t="s">
        <v>82</v>
      </c>
      <c r="D62" s="170">
        <v>1309000</v>
      </c>
      <c r="E62" s="170">
        <v>1407000</v>
      </c>
      <c r="F62" s="171">
        <v>2049000</v>
      </c>
      <c r="G62" s="157"/>
      <c r="H62" s="157"/>
      <c r="I62" s="157"/>
      <c r="J62" s="157"/>
      <c r="K62" s="157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3:27" ht="14.4" customHeight="1">
      <c r="C63" s="320"/>
      <c r="D63" s="166"/>
      <c r="E63" s="166"/>
      <c r="F63" s="167"/>
      <c r="G63" s="154"/>
      <c r="H63" s="154"/>
      <c r="I63" s="154"/>
      <c r="J63" s="154"/>
      <c r="K63" s="154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3:27" ht="14.4" customHeight="1">
      <c r="C64" s="320" t="s">
        <v>83</v>
      </c>
      <c r="D64" s="166">
        <v>1982000</v>
      </c>
      <c r="E64" s="166">
        <v>1979000</v>
      </c>
      <c r="F64" s="167">
        <v>1387000</v>
      </c>
      <c r="G64" s="154"/>
      <c r="H64" s="154"/>
      <c r="I64" s="154"/>
      <c r="J64" s="154"/>
      <c r="K64" s="154"/>
      <c r="M64" s="1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3:27" ht="14.4" customHeight="1">
      <c r="C65" s="320" t="s">
        <v>84</v>
      </c>
      <c r="D65" s="166">
        <v>180000</v>
      </c>
      <c r="E65" s="166">
        <v>70000</v>
      </c>
      <c r="F65" s="167">
        <v>78000</v>
      </c>
      <c r="G65" s="154"/>
      <c r="H65" s="154"/>
      <c r="I65" s="154"/>
      <c r="J65" s="154"/>
      <c r="K65" s="154"/>
      <c r="M65" s="14"/>
      <c r="O65" t="s">
        <v>69</v>
      </c>
      <c r="P65"/>
      <c r="Q65"/>
      <c r="R65"/>
      <c r="S65"/>
      <c r="T65"/>
      <c r="U65"/>
      <c r="V65"/>
      <c r="W65"/>
      <c r="X65"/>
      <c r="Y65"/>
      <c r="Z65"/>
      <c r="AA65"/>
    </row>
    <row r="66" spans="3:27" ht="14.4" customHeight="1">
      <c r="C66" s="320" t="s">
        <v>85</v>
      </c>
      <c r="D66" s="166">
        <v>0</v>
      </c>
      <c r="E66" s="166">
        <v>0</v>
      </c>
      <c r="F66" s="167">
        <v>0</v>
      </c>
      <c r="G66" s="154"/>
      <c r="H66" s="154"/>
      <c r="I66" s="154"/>
      <c r="J66" s="154"/>
      <c r="K66" s="154"/>
      <c r="M66" s="14"/>
      <c r="O66" t="s">
        <v>69</v>
      </c>
      <c r="P66"/>
      <c r="Q66"/>
      <c r="R66"/>
      <c r="S66"/>
      <c r="T66"/>
      <c r="U66"/>
      <c r="V66"/>
      <c r="W66"/>
      <c r="X66"/>
      <c r="Y66"/>
      <c r="Z66"/>
      <c r="AA66"/>
    </row>
    <row r="67" spans="3:27" ht="14.4" customHeight="1">
      <c r="C67" s="320" t="s">
        <v>86</v>
      </c>
      <c r="D67" s="166">
        <v>526000</v>
      </c>
      <c r="E67" s="166">
        <v>481000</v>
      </c>
      <c r="F67" s="167">
        <v>515000</v>
      </c>
      <c r="G67" s="154"/>
      <c r="H67" s="154"/>
      <c r="I67" s="154"/>
      <c r="J67" s="154"/>
      <c r="K67" s="154"/>
      <c r="O67" t="s">
        <v>69</v>
      </c>
      <c r="P67"/>
      <c r="Q67"/>
      <c r="R67"/>
      <c r="S67"/>
      <c r="T67"/>
      <c r="U67"/>
      <c r="V67"/>
      <c r="W67"/>
      <c r="X67"/>
      <c r="Y67"/>
      <c r="Z67"/>
      <c r="AA67"/>
    </row>
    <row r="68" spans="3:27" ht="14.4" customHeight="1">
      <c r="C68" s="12" t="s">
        <v>87</v>
      </c>
      <c r="D68" s="173">
        <v>3997000</v>
      </c>
      <c r="E68" s="173">
        <v>3937000</v>
      </c>
      <c r="F68" s="174">
        <v>4029000</v>
      </c>
      <c r="G68" s="157"/>
      <c r="H68" s="157"/>
      <c r="I68" s="157"/>
      <c r="J68" s="157"/>
      <c r="K68" s="157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3:27" ht="14.4" customHeight="1">
      <c r="D69" s="169"/>
      <c r="E69" s="169"/>
      <c r="F69" s="167"/>
      <c r="G69" s="160"/>
      <c r="H69" s="160"/>
      <c r="I69" s="160"/>
      <c r="J69" s="160"/>
      <c r="K69" s="160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3:27" ht="14.4" customHeight="1">
      <c r="C70" s="12" t="s">
        <v>88</v>
      </c>
      <c r="D70" s="170">
        <v>3784000</v>
      </c>
      <c r="E70" s="170">
        <v>4161000</v>
      </c>
      <c r="F70" s="171">
        <v>4654000</v>
      </c>
      <c r="G70" s="157"/>
      <c r="H70" s="157"/>
      <c r="I70" s="157"/>
      <c r="J70" s="157"/>
      <c r="K70" s="157"/>
      <c r="O70" t="s">
        <v>89</v>
      </c>
      <c r="P70"/>
      <c r="Q70"/>
      <c r="R70"/>
      <c r="S70"/>
      <c r="T70"/>
      <c r="U70"/>
      <c r="V70"/>
      <c r="W70"/>
      <c r="X70"/>
      <c r="Y70"/>
      <c r="Z70"/>
      <c r="AA70"/>
    </row>
    <row r="71" spans="3:27" ht="14.4" customHeight="1">
      <c r="C71" s="12" t="s">
        <v>90</v>
      </c>
      <c r="D71" s="170">
        <v>3784000</v>
      </c>
      <c r="E71" s="170">
        <v>4161000</v>
      </c>
      <c r="F71" s="171">
        <v>4654000</v>
      </c>
      <c r="G71" s="157"/>
      <c r="H71" s="157"/>
      <c r="I71" s="157"/>
      <c r="J71" s="157"/>
      <c r="K71" s="157"/>
      <c r="O71" t="s">
        <v>91</v>
      </c>
      <c r="P71"/>
      <c r="Q71"/>
      <c r="R71"/>
      <c r="S71"/>
      <c r="T71"/>
      <c r="U71"/>
      <c r="V71"/>
      <c r="W71"/>
      <c r="X71"/>
      <c r="Y71"/>
      <c r="Z71"/>
      <c r="AA71"/>
    </row>
    <row r="72" spans="3:27" ht="14.4" customHeight="1">
      <c r="D72" s="169"/>
      <c r="E72" s="169"/>
      <c r="F72" s="167"/>
      <c r="G72" s="160"/>
      <c r="H72" s="160"/>
      <c r="I72" s="160"/>
      <c r="J72" s="160"/>
      <c r="K72" s="160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3:27" ht="14.4" customHeight="1">
      <c r="C73" s="313" t="s">
        <v>92</v>
      </c>
      <c r="D73" s="168">
        <v>7781000</v>
      </c>
      <c r="E73" s="168">
        <v>8098000</v>
      </c>
      <c r="F73" s="172">
        <v>8683000</v>
      </c>
      <c r="G73" s="168"/>
      <c r="H73" s="168"/>
      <c r="I73" s="168"/>
      <c r="J73" s="168"/>
      <c r="K73" s="168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3:27" ht="14.4" customHeight="1">
      <c r="C74" s="12"/>
      <c r="D74" s="169"/>
      <c r="E74" s="169"/>
      <c r="F74" s="167"/>
      <c r="G74" s="160"/>
      <c r="H74" s="160"/>
      <c r="I74" s="160"/>
      <c r="J74" s="160"/>
      <c r="K74" s="160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3:27" ht="14.4" customHeight="1">
      <c r="C75" s="13" t="s">
        <v>93</v>
      </c>
      <c r="D75" s="166">
        <f>+D56-D73</f>
        <v>0</v>
      </c>
      <c r="E75" s="166">
        <f t="shared" ref="E75:K75" si="3">+E56-E73</f>
        <v>0</v>
      </c>
      <c r="F75" s="167">
        <f t="shared" si="3"/>
        <v>0</v>
      </c>
      <c r="G75" s="154">
        <f t="shared" si="3"/>
        <v>0</v>
      </c>
      <c r="H75" s="154">
        <f t="shared" si="3"/>
        <v>0</v>
      </c>
      <c r="I75" s="154">
        <f t="shared" si="3"/>
        <v>0</v>
      </c>
      <c r="J75" s="154">
        <f t="shared" si="3"/>
        <v>0</v>
      </c>
      <c r="K75" s="154">
        <f t="shared" si="3"/>
        <v>0</v>
      </c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3:27" ht="14.4" customHeight="1">
      <c r="H76" s="20"/>
      <c r="I76" s="20"/>
      <c r="J76" s="20"/>
      <c r="K76" s="20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3:27" ht="14.4" customHeight="1">
      <c r="C77" s="55" t="s">
        <v>94</v>
      </c>
      <c r="D77" s="337" t="s">
        <v>9</v>
      </c>
      <c r="E77" s="338"/>
      <c r="F77" s="339"/>
      <c r="G77" s="337" t="s">
        <v>10</v>
      </c>
      <c r="H77" s="338"/>
      <c r="I77" s="338"/>
      <c r="J77" s="338"/>
      <c r="K77" s="338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3:27" ht="14.4" customHeight="1">
      <c r="C78" s="55"/>
      <c r="D78" s="10">
        <f>+D$12</f>
        <v>44500</v>
      </c>
      <c r="E78" s="10">
        <f t="shared" ref="E78:K78" si="4">+E$12</f>
        <v>44865</v>
      </c>
      <c r="F78" s="11">
        <f t="shared" si="4"/>
        <v>45230</v>
      </c>
      <c r="G78" s="10">
        <f t="shared" si="4"/>
        <v>45596</v>
      </c>
      <c r="H78" s="10">
        <f t="shared" si="4"/>
        <v>45961</v>
      </c>
      <c r="I78" s="10">
        <f t="shared" si="4"/>
        <v>46326</v>
      </c>
      <c r="J78" s="10">
        <f t="shared" si="4"/>
        <v>46691</v>
      </c>
      <c r="K78" s="10">
        <f t="shared" si="4"/>
        <v>47057</v>
      </c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3:27" ht="14.4" customHeight="1"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3:27" ht="14.4" customHeight="1">
      <c r="C80" s="320" t="s">
        <v>51</v>
      </c>
      <c r="D80" s="166">
        <v>894000</v>
      </c>
      <c r="E80" s="166">
        <v>1124000</v>
      </c>
      <c r="F80" s="167">
        <v>1057000</v>
      </c>
      <c r="G80" s="154"/>
      <c r="H80" s="154"/>
      <c r="I80" s="154"/>
      <c r="J80" s="154"/>
      <c r="K80" s="154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4.4" customHeight="1">
      <c r="C81" s="320" t="s">
        <v>95</v>
      </c>
      <c r="D81" s="166">
        <v>293000</v>
      </c>
      <c r="E81" s="166">
        <v>223000</v>
      </c>
      <c r="F81" s="167">
        <v>212000</v>
      </c>
      <c r="G81" s="154"/>
      <c r="H81" s="154"/>
      <c r="I81" s="154"/>
      <c r="J81" s="154"/>
      <c r="K81" s="154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3:27" ht="14.4" customHeight="1">
      <c r="C82" s="320" t="s">
        <v>96</v>
      </c>
      <c r="D82" s="166">
        <v>-53000</v>
      </c>
      <c r="E82" s="166">
        <v>7000</v>
      </c>
      <c r="F82" s="167">
        <v>-3000</v>
      </c>
      <c r="G82" s="166"/>
      <c r="H82" s="166"/>
      <c r="I82" s="166"/>
      <c r="J82" s="166"/>
      <c r="K82" s="166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3:27" ht="14.4" customHeight="1">
      <c r="C83" s="320" t="s">
        <v>97</v>
      </c>
      <c r="D83" s="166">
        <v>152000</v>
      </c>
      <c r="E83" s="166">
        <v>194000</v>
      </c>
      <c r="F83" s="167">
        <v>161000</v>
      </c>
      <c r="G83" s="166"/>
      <c r="H83" s="154"/>
      <c r="I83" s="154"/>
      <c r="J83" s="154"/>
      <c r="K83" s="154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3:27" ht="14.4" customHeight="1">
      <c r="C84" s="320" t="s">
        <v>98</v>
      </c>
      <c r="D84" s="166">
        <v>1286000</v>
      </c>
      <c r="E84" s="166">
        <v>1548000</v>
      </c>
      <c r="F84" s="167">
        <v>1427000</v>
      </c>
      <c r="G84" s="166"/>
      <c r="H84" s="166"/>
      <c r="I84" s="166"/>
      <c r="J84" s="166"/>
      <c r="K84" s="166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3:27" ht="14.4" customHeight="1">
      <c r="C85" s="320" t="s">
        <v>99</v>
      </c>
      <c r="D85" s="166">
        <v>36000</v>
      </c>
      <c r="E85" s="166">
        <v>-404000</v>
      </c>
      <c r="F85" s="167">
        <v>-19000</v>
      </c>
      <c r="G85" s="166"/>
      <c r="H85" s="166"/>
      <c r="I85" s="166"/>
      <c r="J85" s="166"/>
      <c r="K85" s="166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3:27" ht="14.4" customHeight="1">
      <c r="C86" s="27" t="s">
        <v>100</v>
      </c>
      <c r="D86" s="170">
        <v>1322000</v>
      </c>
      <c r="E86" s="170">
        <v>1144000</v>
      </c>
      <c r="F86" s="171">
        <v>1408000</v>
      </c>
      <c r="G86" s="170"/>
      <c r="H86" s="170"/>
      <c r="I86" s="170"/>
      <c r="J86" s="170"/>
      <c r="K86" s="170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3:27" ht="14.4" customHeight="1">
      <c r="D87" s="166"/>
      <c r="E87" s="166"/>
      <c r="F87" s="167"/>
      <c r="G87" s="169"/>
      <c r="H87" s="160"/>
      <c r="I87" s="160"/>
      <c r="J87" s="160"/>
      <c r="K87" s="160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3:27" ht="14.4" customHeight="1">
      <c r="C88" s="320" t="s">
        <v>101</v>
      </c>
      <c r="D88" s="166">
        <v>-174000</v>
      </c>
      <c r="E88" s="166">
        <v>-185000</v>
      </c>
      <c r="F88" s="167">
        <v>-196000</v>
      </c>
      <c r="G88" s="166"/>
      <c r="H88" s="154"/>
      <c r="I88" s="154"/>
      <c r="J88" s="154"/>
      <c r="K88" s="154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3:27" ht="14.4" customHeight="1">
      <c r="C89" s="320" t="s">
        <v>102</v>
      </c>
      <c r="D89" s="166">
        <v>-178000</v>
      </c>
      <c r="E89" s="166">
        <v>-33000</v>
      </c>
      <c r="F89" s="167">
        <v>-85000</v>
      </c>
      <c r="G89" s="227"/>
      <c r="H89" s="227"/>
      <c r="I89" s="227"/>
      <c r="J89" s="227"/>
      <c r="K89" s="227"/>
      <c r="O89" t="s">
        <v>103</v>
      </c>
      <c r="P89"/>
      <c r="Q89"/>
      <c r="R89"/>
      <c r="S89"/>
      <c r="T89"/>
      <c r="U89"/>
      <c r="V89"/>
      <c r="W89"/>
      <c r="X89"/>
      <c r="Y89"/>
      <c r="Z89"/>
      <c r="AA89"/>
    </row>
    <row r="90" spans="3:27" ht="14.4" customHeight="1">
      <c r="C90" s="320" t="s">
        <v>104</v>
      </c>
      <c r="D90" s="166">
        <v>0</v>
      </c>
      <c r="E90" s="166">
        <v>0</v>
      </c>
      <c r="F90" s="167">
        <v>0</v>
      </c>
      <c r="G90" s="227"/>
      <c r="H90" s="227"/>
      <c r="I90" s="227"/>
      <c r="J90" s="227"/>
      <c r="K90" s="227"/>
      <c r="O90" t="s">
        <v>105</v>
      </c>
      <c r="P90"/>
      <c r="Q90"/>
      <c r="R90"/>
      <c r="S90"/>
      <c r="T90"/>
      <c r="U90"/>
      <c r="V90"/>
      <c r="W90"/>
      <c r="X90"/>
      <c r="Y90"/>
      <c r="Z90"/>
      <c r="AA90"/>
    </row>
    <row r="91" spans="3:27" ht="14.4" customHeight="1">
      <c r="C91" s="320" t="s">
        <v>106</v>
      </c>
      <c r="D91" s="166">
        <v>0</v>
      </c>
      <c r="E91" s="166">
        <v>-33000</v>
      </c>
      <c r="F91" s="167">
        <v>-7000</v>
      </c>
      <c r="G91" s="166"/>
      <c r="H91" s="154"/>
      <c r="I91" s="154"/>
      <c r="J91" s="154"/>
      <c r="K91" s="154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3:27" ht="14.4" customHeight="1">
      <c r="C92" s="320" t="s">
        <v>97</v>
      </c>
      <c r="D92" s="166">
        <v>-1000</v>
      </c>
      <c r="E92" s="166">
        <v>0</v>
      </c>
      <c r="F92" s="167">
        <v>0</v>
      </c>
      <c r="G92" s="227"/>
      <c r="H92" s="279"/>
      <c r="I92" s="279"/>
      <c r="J92" s="279"/>
      <c r="K92" s="279"/>
      <c r="O92" t="s">
        <v>47</v>
      </c>
      <c r="P92"/>
      <c r="Q92"/>
      <c r="R92"/>
      <c r="S92"/>
      <c r="T92"/>
      <c r="U92"/>
      <c r="V92"/>
      <c r="W92"/>
      <c r="X92"/>
      <c r="Y92"/>
      <c r="Z92"/>
      <c r="AA92"/>
    </row>
    <row r="93" spans="3:27" ht="14.4" customHeight="1">
      <c r="C93" s="27" t="s">
        <v>107</v>
      </c>
      <c r="D93" s="170">
        <v>-353000</v>
      </c>
      <c r="E93" s="170">
        <v>-251000</v>
      </c>
      <c r="F93" s="171">
        <v>-288000</v>
      </c>
      <c r="G93" s="170"/>
      <c r="H93" s="170"/>
      <c r="I93" s="170"/>
      <c r="J93" s="170"/>
      <c r="K93" s="170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3:27" ht="14.4" customHeight="1">
      <c r="C94" s="320"/>
      <c r="D94" s="175"/>
      <c r="E94" s="175"/>
      <c r="F94" s="176"/>
      <c r="G94" s="166"/>
      <c r="H94" s="154"/>
      <c r="I94" s="154"/>
      <c r="J94" s="154"/>
      <c r="K94" s="15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3:27" ht="14.4" customHeight="1">
      <c r="C95" s="320" t="s">
        <v>108</v>
      </c>
      <c r="D95" s="166">
        <v>-614000</v>
      </c>
      <c r="E95" s="166">
        <v>-786000</v>
      </c>
      <c r="F95" s="167">
        <v>-635000</v>
      </c>
      <c r="G95" s="227"/>
      <c r="H95" s="227"/>
      <c r="I95" s="227"/>
      <c r="J95" s="227"/>
      <c r="K95" s="227"/>
      <c r="O95" t="s">
        <v>47</v>
      </c>
      <c r="P95"/>
      <c r="Q95"/>
      <c r="R95"/>
      <c r="S95"/>
      <c r="T95"/>
      <c r="U95"/>
      <c r="V95"/>
      <c r="W95"/>
      <c r="X95"/>
      <c r="Y95"/>
      <c r="Z95"/>
      <c r="AA95"/>
    </row>
    <row r="96" spans="3:27" ht="14.4" customHeight="1">
      <c r="C96" s="320" t="s">
        <v>109</v>
      </c>
      <c r="D96" s="166">
        <v>0</v>
      </c>
      <c r="E96" s="166">
        <v>0</v>
      </c>
      <c r="F96" s="167">
        <v>0</v>
      </c>
      <c r="G96" s="166"/>
      <c r="H96" s="166"/>
      <c r="I96" s="166"/>
      <c r="J96" s="166"/>
      <c r="K96" s="166"/>
      <c r="M96" s="320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3:27" ht="14.4" customHeight="1">
      <c r="C97" s="320" t="s">
        <v>110</v>
      </c>
      <c r="D97" s="166">
        <v>0</v>
      </c>
      <c r="E97" s="166">
        <v>0</v>
      </c>
      <c r="F97" s="167">
        <v>0</v>
      </c>
      <c r="G97" s="166"/>
      <c r="H97" s="166"/>
      <c r="I97" s="166"/>
      <c r="J97" s="166"/>
      <c r="K97" s="166"/>
      <c r="M97" s="320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3:27" ht="14.4" customHeight="1">
      <c r="C98" s="320" t="s">
        <v>97</v>
      </c>
      <c r="D98" s="166">
        <v>-57000</v>
      </c>
      <c r="E98" s="166">
        <v>-75000</v>
      </c>
      <c r="F98" s="167">
        <v>-52000</v>
      </c>
      <c r="G98" s="227"/>
      <c r="H98" s="227"/>
      <c r="I98" s="227"/>
      <c r="J98" s="227"/>
      <c r="K98" s="227"/>
      <c r="O98" t="s">
        <v>47</v>
      </c>
      <c r="P98"/>
      <c r="Q98"/>
      <c r="R98"/>
      <c r="S98"/>
      <c r="T98"/>
      <c r="U98"/>
      <c r="V98"/>
      <c r="W98"/>
      <c r="X98"/>
      <c r="Y98"/>
      <c r="Z98"/>
      <c r="AA98"/>
    </row>
    <row r="99" spans="3:27" ht="14.4" customHeight="1">
      <c r="C99" s="27" t="s">
        <v>111</v>
      </c>
      <c r="D99" s="170">
        <v>-671000</v>
      </c>
      <c r="E99" s="170">
        <v>-861000</v>
      </c>
      <c r="F99" s="171">
        <v>-687000</v>
      </c>
      <c r="G99" s="170"/>
      <c r="H99" s="170"/>
      <c r="I99" s="170"/>
      <c r="J99" s="170"/>
      <c r="K99" s="170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4.4" customHeight="1">
      <c r="C100" s="12"/>
      <c r="D100" s="177"/>
      <c r="E100" s="177"/>
      <c r="F100" s="171"/>
      <c r="G100" s="170"/>
      <c r="H100" s="157"/>
      <c r="I100" s="157"/>
      <c r="J100" s="157"/>
      <c r="K100" s="157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3:27" ht="14.4" customHeight="1">
      <c r="C101" s="19" t="s">
        <v>112</v>
      </c>
      <c r="D101" s="166">
        <v>3000</v>
      </c>
      <c r="E101" s="166">
        <v>-43000</v>
      </c>
      <c r="F101" s="167">
        <v>-2000</v>
      </c>
      <c r="G101" s="227"/>
      <c r="H101" s="227"/>
      <c r="I101" s="227"/>
      <c r="J101" s="227"/>
      <c r="K101" s="227"/>
      <c r="O101" t="s">
        <v>47</v>
      </c>
      <c r="P101"/>
      <c r="Q101"/>
      <c r="R101"/>
      <c r="S101"/>
      <c r="T101"/>
      <c r="U101"/>
      <c r="V101"/>
      <c r="W101"/>
      <c r="X101"/>
      <c r="Y101"/>
      <c r="Z101"/>
      <c r="AA101"/>
    </row>
    <row r="102" spans="3:27" ht="14.4" customHeight="1">
      <c r="D102" s="178"/>
      <c r="E102" s="178"/>
      <c r="F102" s="167"/>
      <c r="G102" s="169"/>
      <c r="H102" s="160"/>
      <c r="I102" s="160"/>
      <c r="J102" s="160"/>
      <c r="K102" s="160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3:27" ht="14.4" customHeight="1">
      <c r="C103" s="75" t="s">
        <v>113</v>
      </c>
      <c r="D103" s="179">
        <v>301000</v>
      </c>
      <c r="E103" s="179">
        <v>-11000</v>
      </c>
      <c r="F103" s="180">
        <v>431000</v>
      </c>
      <c r="G103" s="179"/>
      <c r="H103" s="179"/>
      <c r="I103" s="179"/>
      <c r="J103" s="179"/>
      <c r="K103" s="179"/>
      <c r="L103" s="25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3:27" ht="14.4" customHeight="1"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3:27" ht="14.4" customHeight="1" thickBot="1">
      <c r="C105" s="54" t="s">
        <v>114</v>
      </c>
      <c r="D105" s="4"/>
      <c r="E105" s="4"/>
      <c r="F105" s="4"/>
      <c r="G105" s="4"/>
      <c r="H105" s="4"/>
      <c r="I105" s="4"/>
      <c r="J105" s="4"/>
      <c r="K105" s="4"/>
      <c r="L105" s="22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3:27" ht="14.4" customHeight="1">
      <c r="L106" s="22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3:27" ht="14.4" customHeight="1">
      <c r="C107" s="55" t="s">
        <v>115</v>
      </c>
      <c r="D107" s="337" t="s">
        <v>9</v>
      </c>
      <c r="E107" s="338"/>
      <c r="F107" s="339"/>
      <c r="G107" s="337" t="s">
        <v>10</v>
      </c>
      <c r="H107" s="338"/>
      <c r="I107" s="338"/>
      <c r="J107" s="338"/>
      <c r="K107" s="338"/>
      <c r="L107" s="22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3:27" ht="14.4" customHeight="1">
      <c r="C108" s="55"/>
      <c r="D108" s="10">
        <f>+D$12</f>
        <v>44500</v>
      </c>
      <c r="E108" s="10">
        <f t="shared" ref="E108:K108" si="5">+E$12</f>
        <v>44865</v>
      </c>
      <c r="F108" s="11">
        <f t="shared" si="5"/>
        <v>45230</v>
      </c>
      <c r="G108" s="10">
        <f t="shared" si="5"/>
        <v>45596</v>
      </c>
      <c r="H108" s="10">
        <f t="shared" si="5"/>
        <v>45961</v>
      </c>
      <c r="I108" s="10">
        <f t="shared" si="5"/>
        <v>46326</v>
      </c>
      <c r="J108" s="10">
        <f t="shared" si="5"/>
        <v>46691</v>
      </c>
      <c r="K108" s="10">
        <f t="shared" si="5"/>
        <v>47057</v>
      </c>
      <c r="L108" s="22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3:27" ht="14.4" customHeight="1">
      <c r="L109" s="22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3:27" ht="14.4" customHeight="1">
      <c r="C110" s="7" t="s">
        <v>116</v>
      </c>
      <c r="F110" s="56"/>
      <c r="G110" s="14"/>
      <c r="L110" s="22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3:27" ht="14.4" customHeight="1">
      <c r="C111" s="6" t="s">
        <v>117</v>
      </c>
      <c r="D111" s="181"/>
      <c r="E111" s="154"/>
      <c r="F111" s="182"/>
      <c r="G111" s="154"/>
      <c r="H111" s="154"/>
      <c r="I111" s="154"/>
      <c r="J111" s="154"/>
      <c r="K111" s="154"/>
      <c r="L111" s="22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3:27" ht="14.4" customHeight="1">
      <c r="C112" s="6" t="s">
        <v>118</v>
      </c>
      <c r="D112" s="181"/>
      <c r="E112" s="154"/>
      <c r="F112" s="182"/>
      <c r="G112" s="154"/>
      <c r="H112" s="154"/>
      <c r="I112" s="154"/>
      <c r="J112" s="154"/>
      <c r="K112" s="154"/>
      <c r="L112" s="2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3:27" ht="14.4" customHeight="1">
      <c r="C113" s="58" t="s">
        <v>119</v>
      </c>
      <c r="D113" s="157"/>
      <c r="E113" s="157"/>
      <c r="F113" s="183"/>
      <c r="G113" s="157"/>
      <c r="H113" s="157"/>
      <c r="I113" s="157"/>
      <c r="J113" s="157"/>
      <c r="K113" s="157"/>
      <c r="L113" s="22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3:27" ht="14.4" customHeight="1">
      <c r="F114" s="56"/>
      <c r="L114" s="22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3:27" ht="14.4" customHeight="1">
      <c r="C115" s="6" t="s">
        <v>120</v>
      </c>
      <c r="E115" s="16">
        <v>1</v>
      </c>
      <c r="F115" s="56"/>
      <c r="L115" s="22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3:27" ht="14.4" customHeight="1">
      <c r="C116" s="6"/>
      <c r="F116" s="56"/>
      <c r="L116" s="22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3:27" ht="14.4" customHeight="1">
      <c r="C117" s="6" t="s">
        <v>121</v>
      </c>
      <c r="D117" s="184"/>
      <c r="E117" s="150"/>
      <c r="F117" s="185"/>
      <c r="G117" s="186"/>
      <c r="H117" s="186"/>
      <c r="I117" s="186"/>
      <c r="J117" s="186"/>
      <c r="K117" s="186"/>
      <c r="L117" s="22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3:27" ht="14.4" customHeight="1">
      <c r="C118" s="6" t="s">
        <v>122</v>
      </c>
      <c r="D118" s="59"/>
      <c r="E118" s="59"/>
      <c r="F118" s="60"/>
      <c r="G118" s="225"/>
      <c r="H118" s="225"/>
      <c r="I118" s="225"/>
      <c r="J118" s="225"/>
      <c r="K118" s="225"/>
      <c r="L118" s="22"/>
      <c r="O118" t="s">
        <v>123</v>
      </c>
      <c r="P118"/>
      <c r="Q118"/>
      <c r="R118"/>
      <c r="S118"/>
      <c r="T118"/>
      <c r="U118"/>
      <c r="V118"/>
      <c r="W118"/>
      <c r="X118"/>
      <c r="Y118"/>
      <c r="Z118"/>
      <c r="AA118"/>
    </row>
    <row r="119" spans="3:27" ht="14.4" customHeight="1">
      <c r="C119" s="6" t="s">
        <v>124</v>
      </c>
      <c r="D119" s="154"/>
      <c r="E119" s="154"/>
      <c r="F119" s="182"/>
      <c r="G119" s="154"/>
      <c r="H119" s="154"/>
      <c r="I119" s="154"/>
      <c r="J119" s="154"/>
      <c r="K119" s="154"/>
      <c r="L119" s="22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3:27" ht="14.4" customHeight="1">
      <c r="C120" s="6"/>
      <c r="D120" s="14"/>
      <c r="E120" s="14"/>
      <c r="F120" s="57"/>
      <c r="G120" s="14"/>
      <c r="H120" s="14"/>
      <c r="I120" s="14"/>
      <c r="J120" s="14"/>
      <c r="K120" s="14"/>
      <c r="L120" s="22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3:27" ht="14.4" customHeight="1">
      <c r="C121" s="61" t="s">
        <v>67</v>
      </c>
      <c r="F121" s="56"/>
      <c r="L121" s="22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3:27" ht="14.4" customHeight="1">
      <c r="C122" s="6" t="s">
        <v>117</v>
      </c>
      <c r="D122" s="181"/>
      <c r="E122" s="154"/>
      <c r="F122" s="182"/>
      <c r="G122" s="154"/>
      <c r="H122" s="154"/>
      <c r="I122" s="154"/>
      <c r="J122" s="154"/>
      <c r="K122" s="154"/>
      <c r="L122" s="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3:27" ht="14.4" customHeight="1">
      <c r="C123" s="6" t="s">
        <v>118</v>
      </c>
      <c r="D123" s="181"/>
      <c r="E123" s="154"/>
      <c r="F123" s="182"/>
      <c r="G123" s="154"/>
      <c r="H123" s="154"/>
      <c r="I123" s="154"/>
      <c r="J123" s="154"/>
      <c r="K123" s="154"/>
      <c r="L123" s="22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3:27" ht="14.4" customHeight="1">
      <c r="C124" s="58" t="s">
        <v>119</v>
      </c>
      <c r="D124" s="157"/>
      <c r="E124" s="157"/>
      <c r="F124" s="183"/>
      <c r="G124" s="157"/>
      <c r="H124" s="157"/>
      <c r="I124" s="157"/>
      <c r="J124" s="157"/>
      <c r="K124" s="157"/>
      <c r="L124" s="22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3:27" ht="14.4" customHeight="1">
      <c r="F125" s="56"/>
      <c r="L125" s="22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3:27" ht="14.4" customHeight="1">
      <c r="C126" s="6" t="s">
        <v>125</v>
      </c>
      <c r="E126" s="16">
        <v>1</v>
      </c>
      <c r="F126" s="56"/>
      <c r="L126" s="22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3:27" ht="14.4" customHeight="1">
      <c r="C127" s="6"/>
      <c r="F127" s="56"/>
      <c r="L127" s="22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3:27" ht="14.4" customHeight="1">
      <c r="C128" s="6" t="s">
        <v>126</v>
      </c>
      <c r="D128" s="184"/>
      <c r="E128" s="187"/>
      <c r="F128" s="188"/>
      <c r="G128" s="187"/>
      <c r="H128" s="187"/>
      <c r="I128" s="187"/>
      <c r="J128" s="187"/>
      <c r="K128" s="187"/>
      <c r="L128" s="22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3:27" ht="14.4" customHeight="1">
      <c r="C129" s="6" t="s">
        <v>127</v>
      </c>
      <c r="D129" s="189"/>
      <c r="E129" s="190"/>
      <c r="F129" s="191"/>
      <c r="G129" s="226"/>
      <c r="H129" s="226"/>
      <c r="I129" s="226"/>
      <c r="J129" s="226"/>
      <c r="K129" s="226"/>
      <c r="L129" s="22"/>
      <c r="O129" t="s">
        <v>128</v>
      </c>
      <c r="P129"/>
      <c r="Q129"/>
      <c r="R129"/>
      <c r="S129"/>
      <c r="T129"/>
      <c r="U129"/>
      <c r="V129"/>
      <c r="W129"/>
      <c r="X129"/>
      <c r="Y129"/>
      <c r="Z129"/>
      <c r="AA129"/>
    </row>
    <row r="130" spans="3:27" ht="14.4" customHeight="1">
      <c r="C130" s="6" t="s">
        <v>129</v>
      </c>
      <c r="D130" s="154"/>
      <c r="E130" s="154"/>
      <c r="F130" s="182"/>
      <c r="G130" s="154"/>
      <c r="H130" s="154"/>
      <c r="I130" s="154"/>
      <c r="J130" s="154"/>
      <c r="K130" s="154"/>
      <c r="L130" s="22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3:27" ht="14.4" customHeight="1">
      <c r="C131" s="6"/>
      <c r="D131" s="14"/>
      <c r="E131" s="14"/>
      <c r="F131" s="57"/>
      <c r="G131" s="14"/>
      <c r="H131" s="14"/>
      <c r="I131" s="14"/>
      <c r="J131" s="14"/>
      <c r="K131" s="14"/>
      <c r="L131" s="22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3:27" ht="14.4" customHeight="1">
      <c r="C132" s="63" t="s">
        <v>130</v>
      </c>
      <c r="D132" s="168"/>
      <c r="E132" s="168"/>
      <c r="F132" s="192"/>
      <c r="G132" s="168"/>
      <c r="H132" s="168"/>
      <c r="I132" s="168"/>
      <c r="J132" s="168"/>
      <c r="K132" s="168"/>
      <c r="L132" s="2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3:27" ht="14.4" customHeight="1">
      <c r="D133" s="20"/>
      <c r="L133" s="22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3:27" ht="14.4" customHeight="1">
      <c r="C134" s="55" t="s">
        <v>131</v>
      </c>
      <c r="D134" s="337" t="s">
        <v>9</v>
      </c>
      <c r="E134" s="338"/>
      <c r="F134" s="339"/>
      <c r="G134" s="337" t="s">
        <v>10</v>
      </c>
      <c r="H134" s="338"/>
      <c r="I134" s="338"/>
      <c r="J134" s="338"/>
      <c r="K134" s="338"/>
      <c r="L134" s="22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3:27" ht="14.4" customHeight="1">
      <c r="C135" s="55"/>
      <c r="D135" s="10">
        <f>+D$12</f>
        <v>44500</v>
      </c>
      <c r="E135" s="10">
        <f t="shared" ref="E135:K135" si="6">+E$12</f>
        <v>44865</v>
      </c>
      <c r="F135" s="11">
        <f t="shared" si="6"/>
        <v>45230</v>
      </c>
      <c r="G135" s="10">
        <f t="shared" si="6"/>
        <v>45596</v>
      </c>
      <c r="H135" s="10">
        <f t="shared" si="6"/>
        <v>45961</v>
      </c>
      <c r="I135" s="10">
        <f t="shared" si="6"/>
        <v>46326</v>
      </c>
      <c r="J135" s="10">
        <f t="shared" si="6"/>
        <v>46691</v>
      </c>
      <c r="K135" s="10">
        <f t="shared" si="6"/>
        <v>47057</v>
      </c>
      <c r="L135" s="22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3:27" ht="14.4" customHeight="1">
      <c r="L136" s="22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3:27" ht="14.4" customHeight="1">
      <c r="C137" s="7" t="s">
        <v>132</v>
      </c>
      <c r="E137" s="20"/>
      <c r="F137" s="56"/>
      <c r="L137" s="22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3:27" ht="14.4" customHeight="1">
      <c r="C138" s="6" t="s">
        <v>117</v>
      </c>
      <c r="D138" s="227"/>
      <c r="E138" s="154"/>
      <c r="F138" s="182"/>
      <c r="G138" s="154"/>
      <c r="H138" s="154"/>
      <c r="I138" s="154"/>
      <c r="J138" s="154"/>
      <c r="K138" s="154"/>
      <c r="L138" s="22"/>
      <c r="O138" t="s">
        <v>133</v>
      </c>
      <c r="P138"/>
      <c r="Q138"/>
      <c r="R138"/>
      <c r="S138"/>
      <c r="T138"/>
      <c r="U138"/>
      <c r="V138"/>
      <c r="W138"/>
      <c r="X138"/>
      <c r="Y138"/>
      <c r="Z138"/>
      <c r="AA138"/>
    </row>
    <row r="139" spans="3:27" ht="14.4" customHeight="1">
      <c r="C139" s="6" t="s">
        <v>134</v>
      </c>
      <c r="D139" s="227"/>
      <c r="E139" s="227"/>
      <c r="F139" s="228"/>
      <c r="G139" s="279"/>
      <c r="H139" s="279"/>
      <c r="I139" s="279"/>
      <c r="J139" s="279"/>
      <c r="K139" s="279"/>
      <c r="L139" s="22"/>
      <c r="O139" t="s">
        <v>135</v>
      </c>
      <c r="P139"/>
      <c r="Q139"/>
      <c r="R139"/>
      <c r="S139"/>
      <c r="T139"/>
      <c r="U139"/>
      <c r="V139"/>
      <c r="W139"/>
      <c r="X139"/>
      <c r="Y139"/>
      <c r="Z139"/>
      <c r="AA139"/>
    </row>
    <row r="140" spans="3:27" ht="14.4" customHeight="1">
      <c r="C140" s="6" t="s">
        <v>136</v>
      </c>
      <c r="D140" s="227"/>
      <c r="E140" s="227"/>
      <c r="F140" s="228"/>
      <c r="G140" s="279"/>
      <c r="H140" s="279"/>
      <c r="I140" s="279"/>
      <c r="J140" s="279"/>
      <c r="K140" s="279"/>
      <c r="L140" s="22"/>
      <c r="O140" t="s">
        <v>135</v>
      </c>
      <c r="P140"/>
      <c r="Q140"/>
      <c r="R140"/>
      <c r="S140"/>
      <c r="T140"/>
      <c r="U140"/>
      <c r="V140"/>
      <c r="W140"/>
      <c r="X140"/>
      <c r="Y140"/>
      <c r="Z140"/>
      <c r="AA140"/>
    </row>
    <row r="141" spans="3:27" ht="14.4" customHeight="1">
      <c r="C141" s="58" t="s">
        <v>119</v>
      </c>
      <c r="D141" s="157"/>
      <c r="E141" s="157"/>
      <c r="F141" s="183"/>
      <c r="G141" s="193"/>
      <c r="H141" s="193"/>
      <c r="I141" s="193"/>
      <c r="J141" s="193"/>
      <c r="K141" s="193"/>
      <c r="L141" s="22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3:27" ht="14.4" customHeight="1">
      <c r="D142" s="160"/>
      <c r="E142" s="154"/>
      <c r="F142" s="182"/>
      <c r="G142" s="160"/>
      <c r="H142" s="160"/>
      <c r="I142" s="160"/>
      <c r="J142" s="160"/>
      <c r="K142" s="160"/>
      <c r="L142" s="2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3:27" ht="14.4" customHeight="1">
      <c r="C143" s="7" t="s">
        <v>137</v>
      </c>
      <c r="D143" s="160"/>
      <c r="E143" s="160"/>
      <c r="F143" s="182"/>
      <c r="G143" s="160"/>
      <c r="H143" s="160"/>
      <c r="I143" s="160"/>
      <c r="J143" s="160"/>
      <c r="K143" s="160"/>
      <c r="L143" s="22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3:27" ht="14.4" customHeight="1">
      <c r="C144" s="6" t="s">
        <v>117</v>
      </c>
      <c r="D144" s="227"/>
      <c r="E144" s="154"/>
      <c r="F144" s="182"/>
      <c r="G144" s="154"/>
      <c r="H144" s="154"/>
      <c r="I144" s="154"/>
      <c r="J144" s="154"/>
      <c r="K144" s="154"/>
      <c r="L144" s="22"/>
      <c r="O144" t="s">
        <v>133</v>
      </c>
      <c r="P144"/>
      <c r="Q144"/>
      <c r="R144"/>
      <c r="S144"/>
      <c r="T144"/>
      <c r="U144"/>
      <c r="V144"/>
      <c r="W144"/>
      <c r="X144"/>
      <c r="Y144"/>
      <c r="Z144"/>
      <c r="AA144"/>
    </row>
    <row r="145" spans="3:27" ht="14.4" customHeight="1">
      <c r="C145" s="6" t="s">
        <v>138</v>
      </c>
      <c r="D145" s="154"/>
      <c r="E145" s="154"/>
      <c r="F145" s="182"/>
      <c r="G145" s="279"/>
      <c r="H145" s="279"/>
      <c r="I145" s="279"/>
      <c r="J145" s="279"/>
      <c r="K145" s="279"/>
      <c r="L145" s="22"/>
      <c r="O145" t="s">
        <v>139</v>
      </c>
      <c r="P145"/>
      <c r="Q145"/>
      <c r="R145"/>
      <c r="S145"/>
      <c r="T145"/>
      <c r="U145"/>
      <c r="V145"/>
      <c r="W145"/>
      <c r="X145"/>
      <c r="Y145"/>
      <c r="Z145"/>
      <c r="AA145"/>
    </row>
    <row r="146" spans="3:27" ht="14.4" customHeight="1">
      <c r="C146" s="6" t="s">
        <v>140</v>
      </c>
      <c r="D146" s="227"/>
      <c r="E146" s="227"/>
      <c r="F146" s="228"/>
      <c r="G146" s="227"/>
      <c r="H146" s="227"/>
      <c r="I146" s="227"/>
      <c r="J146" s="227"/>
      <c r="K146" s="227"/>
      <c r="L146" s="22"/>
      <c r="O146" t="s">
        <v>141</v>
      </c>
      <c r="P146"/>
      <c r="Q146"/>
      <c r="R146"/>
      <c r="S146"/>
      <c r="T146"/>
      <c r="U146"/>
      <c r="V146"/>
      <c r="W146"/>
      <c r="X146"/>
      <c r="Y146"/>
      <c r="Z146"/>
      <c r="AA146"/>
    </row>
    <row r="147" spans="3:27" ht="14.4" customHeight="1">
      <c r="C147" s="64" t="s">
        <v>119</v>
      </c>
      <c r="D147" s="179"/>
      <c r="E147" s="179"/>
      <c r="F147" s="194"/>
      <c r="G147" s="195"/>
      <c r="H147" s="195"/>
      <c r="I147" s="195"/>
      <c r="J147" s="195"/>
      <c r="K147" s="195"/>
      <c r="L147" s="22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3:27" ht="14.4" customHeight="1">
      <c r="E148" s="14"/>
      <c r="F148" s="160"/>
      <c r="L148" s="22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3:27" ht="14.4" customHeight="1">
      <c r="C149" s="55" t="s">
        <v>142</v>
      </c>
      <c r="D149" s="337" t="s">
        <v>9</v>
      </c>
      <c r="E149" s="338"/>
      <c r="F149" s="339"/>
      <c r="G149" s="337" t="s">
        <v>10</v>
      </c>
      <c r="H149" s="338"/>
      <c r="I149" s="338"/>
      <c r="J149" s="338"/>
      <c r="K149" s="338"/>
      <c r="L149" s="22"/>
      <c r="M149" s="52" t="s">
        <v>36</v>
      </c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3:27" ht="14.4" customHeight="1">
      <c r="C150" s="55"/>
      <c r="D150" s="10">
        <f>+D$12</f>
        <v>44500</v>
      </c>
      <c r="E150" s="10">
        <f t="shared" ref="E150:K150" si="7">+E$12</f>
        <v>44865</v>
      </c>
      <c r="F150" s="11">
        <f t="shared" si="7"/>
        <v>45230</v>
      </c>
      <c r="G150" s="10">
        <f t="shared" si="7"/>
        <v>45596</v>
      </c>
      <c r="H150" s="10">
        <f t="shared" si="7"/>
        <v>45961</v>
      </c>
      <c r="I150" s="10">
        <f t="shared" si="7"/>
        <v>46326</v>
      </c>
      <c r="J150" s="10">
        <f t="shared" si="7"/>
        <v>46691</v>
      </c>
      <c r="K150" s="10">
        <f t="shared" si="7"/>
        <v>47057</v>
      </c>
      <c r="L150" s="22"/>
      <c r="M150" s="10" t="s">
        <v>37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3:27" ht="14.4" customHeight="1">
      <c r="L151" s="22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3:27" ht="14.4" customHeight="1">
      <c r="C152" s="7" t="s">
        <v>143</v>
      </c>
      <c r="E152" s="20"/>
      <c r="F152" s="56"/>
      <c r="L152" s="22"/>
      <c r="M152" s="2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3:27" ht="14.4" customHeight="1">
      <c r="C153" s="6" t="s">
        <v>117</v>
      </c>
      <c r="D153" s="196"/>
      <c r="E153" s="181"/>
      <c r="F153" s="197"/>
      <c r="G153" s="154"/>
      <c r="H153" s="154"/>
      <c r="I153" s="154"/>
      <c r="J153" s="154"/>
      <c r="K153" s="154"/>
      <c r="L153" s="22"/>
      <c r="M153" s="22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3:27" ht="14.4" customHeight="1">
      <c r="C154" s="6" t="s">
        <v>144</v>
      </c>
      <c r="D154" s="227"/>
      <c r="E154" s="227"/>
      <c r="F154" s="228"/>
      <c r="G154" s="154"/>
      <c r="H154" s="154"/>
      <c r="I154" s="154"/>
      <c r="J154" s="154"/>
      <c r="K154" s="154"/>
      <c r="L154" s="22"/>
      <c r="O154" t="s">
        <v>145</v>
      </c>
      <c r="P154"/>
      <c r="Q154"/>
      <c r="R154"/>
      <c r="S154"/>
      <c r="T154"/>
      <c r="U154"/>
      <c r="V154"/>
      <c r="W154"/>
      <c r="X154"/>
      <c r="Y154"/>
      <c r="Z154"/>
      <c r="AA154"/>
    </row>
    <row r="155" spans="3:27" ht="14.4" customHeight="1">
      <c r="C155" s="6" t="s">
        <v>146</v>
      </c>
      <c r="D155" s="227"/>
      <c r="E155" s="227"/>
      <c r="F155" s="228"/>
      <c r="G155" s="154"/>
      <c r="H155" s="154"/>
      <c r="I155" s="154"/>
      <c r="J155" s="154"/>
      <c r="K155" s="154"/>
      <c r="L155" s="22"/>
      <c r="O155" t="s">
        <v>147</v>
      </c>
      <c r="P155"/>
      <c r="Q155"/>
      <c r="R155"/>
      <c r="S155"/>
      <c r="T155"/>
      <c r="U155"/>
      <c r="V155"/>
      <c r="W155"/>
      <c r="X155"/>
      <c r="Y155"/>
      <c r="Z155"/>
      <c r="AA155"/>
    </row>
    <row r="156" spans="3:27" ht="14.4" customHeight="1">
      <c r="C156" s="58" t="s">
        <v>119</v>
      </c>
      <c r="D156" s="229"/>
      <c r="E156" s="229"/>
      <c r="F156" s="230"/>
      <c r="G156" s="193"/>
      <c r="H156" s="193"/>
      <c r="I156" s="193"/>
      <c r="J156" s="193"/>
      <c r="K156" s="193"/>
      <c r="L156" s="22"/>
      <c r="M156" s="53"/>
      <c r="O156" t="s">
        <v>147</v>
      </c>
      <c r="P156"/>
      <c r="Q156"/>
      <c r="R156"/>
      <c r="S156"/>
      <c r="T156"/>
      <c r="U156"/>
      <c r="V156"/>
      <c r="W156"/>
      <c r="X156"/>
      <c r="Y156"/>
      <c r="Z156"/>
      <c r="AA156"/>
    </row>
    <row r="157" spans="3:27" ht="14.4" customHeight="1">
      <c r="D157" s="20"/>
      <c r="E157" s="20"/>
      <c r="F157" s="57"/>
      <c r="G157" s="20"/>
      <c r="H157" s="20"/>
      <c r="L157" s="22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3:27" ht="14.4" customHeight="1">
      <c r="C158" s="324" t="s">
        <v>148</v>
      </c>
      <c r="D158" s="198"/>
      <c r="E158" s="199"/>
      <c r="F158" s="200"/>
      <c r="G158" s="199"/>
      <c r="H158" s="199"/>
      <c r="I158" s="199"/>
      <c r="J158" s="199"/>
      <c r="K158" s="199"/>
      <c r="L158" s="22"/>
      <c r="O158" t="s">
        <v>149</v>
      </c>
      <c r="P158"/>
      <c r="Q158"/>
      <c r="R158"/>
      <c r="S158"/>
      <c r="T158"/>
      <c r="U158"/>
      <c r="V158"/>
      <c r="W158"/>
      <c r="X158"/>
      <c r="Y158"/>
      <c r="Z158"/>
      <c r="AA158"/>
    </row>
    <row r="159" spans="3:27" ht="14.4" customHeight="1">
      <c r="C159" s="23"/>
      <c r="D159" s="24"/>
      <c r="E159" s="24"/>
      <c r="F159" s="24"/>
      <c r="G159" s="24"/>
      <c r="H159" s="24"/>
      <c r="I159" s="24"/>
      <c r="J159" s="24"/>
      <c r="K159" s="24"/>
      <c r="L159" s="22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3:27" ht="14.4" customHeight="1">
      <c r="C160" s="55" t="s">
        <v>150</v>
      </c>
      <c r="D160" s="337" t="s">
        <v>9</v>
      </c>
      <c r="E160" s="338"/>
      <c r="F160" s="339"/>
      <c r="G160" s="337" t="s">
        <v>10</v>
      </c>
      <c r="H160" s="338"/>
      <c r="I160" s="338"/>
      <c r="J160" s="338"/>
      <c r="K160" s="338"/>
      <c r="L160" s="22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3:27" ht="14.4" customHeight="1">
      <c r="C161" s="55"/>
      <c r="D161" s="10">
        <f>+D$12</f>
        <v>44500</v>
      </c>
      <c r="E161" s="10">
        <f t="shared" ref="E161:K161" si="8">+E$12</f>
        <v>44865</v>
      </c>
      <c r="F161" s="11">
        <f t="shared" si="8"/>
        <v>45230</v>
      </c>
      <c r="G161" s="10">
        <f t="shared" si="8"/>
        <v>45596</v>
      </c>
      <c r="H161" s="10">
        <f t="shared" si="8"/>
        <v>45961</v>
      </c>
      <c r="I161" s="10">
        <f t="shared" si="8"/>
        <v>46326</v>
      </c>
      <c r="J161" s="10">
        <f t="shared" si="8"/>
        <v>46691</v>
      </c>
      <c r="K161" s="10">
        <f t="shared" si="8"/>
        <v>47057</v>
      </c>
      <c r="L161" s="22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3:27" ht="14.4" customHeight="1">
      <c r="L162" s="2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3:27" ht="14.4" customHeight="1">
      <c r="C163" s="320" t="s">
        <v>117</v>
      </c>
      <c r="D163" s="227"/>
      <c r="E163" s="154"/>
      <c r="F163" s="182"/>
      <c r="G163" s="154"/>
      <c r="H163" s="154"/>
      <c r="I163" s="154"/>
      <c r="J163" s="154"/>
      <c r="K163" s="154"/>
      <c r="L163" s="22"/>
      <c r="O163" t="s">
        <v>133</v>
      </c>
      <c r="P163"/>
      <c r="Q163"/>
      <c r="R163"/>
      <c r="S163"/>
      <c r="T163"/>
      <c r="U163"/>
      <c r="V163"/>
      <c r="W163"/>
      <c r="X163"/>
      <c r="Y163"/>
      <c r="Z163"/>
      <c r="AA163"/>
    </row>
    <row r="164" spans="3:27" ht="14.4" customHeight="1">
      <c r="C164" s="6" t="s">
        <v>151</v>
      </c>
      <c r="D164" s="154"/>
      <c r="E164" s="154"/>
      <c r="F164" s="182"/>
      <c r="G164" s="154"/>
      <c r="H164" s="154"/>
      <c r="I164" s="154"/>
      <c r="J164" s="154"/>
      <c r="K164" s="154"/>
      <c r="L164" s="22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3:27" ht="14.4" customHeight="1">
      <c r="C165" s="6" t="s">
        <v>152</v>
      </c>
      <c r="D165" s="227"/>
      <c r="E165" s="227"/>
      <c r="F165" s="228"/>
      <c r="G165" s="154"/>
      <c r="H165" s="154"/>
      <c r="I165" s="154"/>
      <c r="J165" s="154"/>
      <c r="K165" s="154"/>
      <c r="L165" s="22"/>
      <c r="O165" t="s">
        <v>147</v>
      </c>
      <c r="P165"/>
      <c r="Q165"/>
      <c r="R165"/>
      <c r="S165"/>
      <c r="T165"/>
      <c r="U165"/>
      <c r="V165"/>
      <c r="W165"/>
      <c r="X165"/>
      <c r="Y165"/>
      <c r="Z165"/>
      <c r="AA165"/>
    </row>
    <row r="166" spans="3:27" ht="14.4" customHeight="1">
      <c r="C166" s="6" t="s">
        <v>153</v>
      </c>
      <c r="D166" s="227"/>
      <c r="E166" s="227"/>
      <c r="F166" s="228"/>
      <c r="G166" s="279"/>
      <c r="H166" s="279"/>
      <c r="I166" s="279"/>
      <c r="J166" s="279"/>
      <c r="K166" s="279"/>
      <c r="L166" s="22"/>
      <c r="O166" t="s">
        <v>135</v>
      </c>
      <c r="P166"/>
      <c r="Q166"/>
      <c r="R166"/>
      <c r="S166"/>
      <c r="T166"/>
      <c r="U166"/>
      <c r="V166"/>
      <c r="W166"/>
      <c r="X166"/>
      <c r="Y166"/>
      <c r="Z166"/>
      <c r="AA166"/>
    </row>
    <row r="167" spans="3:27" ht="14.4" customHeight="1">
      <c r="C167" s="58" t="s">
        <v>119</v>
      </c>
      <c r="D167" s="157"/>
      <c r="E167" s="157"/>
      <c r="F167" s="183"/>
      <c r="G167" s="157"/>
      <c r="H167" s="157"/>
      <c r="I167" s="157"/>
      <c r="J167" s="157"/>
      <c r="K167" s="157"/>
      <c r="L167" s="22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3:27" ht="14.4" customHeight="1">
      <c r="D168" s="17"/>
      <c r="E168" s="17"/>
      <c r="F168" s="57"/>
      <c r="L168" s="22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3:27" ht="14.4" customHeight="1">
      <c r="C169" s="310" t="s">
        <v>154</v>
      </c>
      <c r="D169" s="311"/>
      <c r="E169" s="311"/>
      <c r="F169" s="188"/>
      <c r="G169" s="311"/>
      <c r="H169" s="311"/>
      <c r="I169" s="311"/>
      <c r="J169" s="311"/>
      <c r="K169" s="311"/>
      <c r="L169" s="22"/>
      <c r="O169" t="s">
        <v>55</v>
      </c>
      <c r="P169"/>
      <c r="Q169"/>
      <c r="R169"/>
      <c r="S169"/>
      <c r="T169"/>
      <c r="U169"/>
      <c r="V169"/>
      <c r="W169"/>
      <c r="X169"/>
      <c r="Y169"/>
      <c r="Z169"/>
      <c r="AA169"/>
    </row>
    <row r="170" spans="3:27" ht="14.4" customHeight="1">
      <c r="C170" s="310"/>
      <c r="D170" s="311"/>
      <c r="E170" s="311"/>
      <c r="F170" s="311"/>
      <c r="G170" s="311"/>
      <c r="H170" s="311"/>
      <c r="I170" s="311"/>
      <c r="J170" s="311"/>
      <c r="K170" s="311"/>
      <c r="L170" s="22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3:27" ht="14.4" customHeight="1">
      <c r="C171" s="55" t="s">
        <v>155</v>
      </c>
      <c r="D171" s="337" t="s">
        <v>9</v>
      </c>
      <c r="E171" s="338"/>
      <c r="F171" s="339"/>
      <c r="G171" s="337" t="s">
        <v>10</v>
      </c>
      <c r="H171" s="338"/>
      <c r="I171" s="338"/>
      <c r="J171" s="338"/>
      <c r="K171" s="338"/>
      <c r="L171" s="22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3:27" ht="14.4" customHeight="1">
      <c r="C172" s="55"/>
      <c r="D172" s="10">
        <f>+D$12</f>
        <v>44500</v>
      </c>
      <c r="E172" s="10">
        <f t="shared" ref="E172:K172" si="9">+E$12</f>
        <v>44865</v>
      </c>
      <c r="F172" s="11">
        <f t="shared" si="9"/>
        <v>45230</v>
      </c>
      <c r="G172" s="10">
        <f t="shared" si="9"/>
        <v>45596</v>
      </c>
      <c r="H172" s="10">
        <f t="shared" si="9"/>
        <v>45961</v>
      </c>
      <c r="I172" s="10">
        <f t="shared" si="9"/>
        <v>46326</v>
      </c>
      <c r="J172" s="10">
        <f t="shared" si="9"/>
        <v>46691</v>
      </c>
      <c r="K172" s="10">
        <f t="shared" si="9"/>
        <v>47057</v>
      </c>
      <c r="L172" s="2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3:27" ht="14.4" customHeight="1">
      <c r="L173" s="22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3:27" ht="14.4" customHeight="1">
      <c r="C174" s="320" t="s">
        <v>117</v>
      </c>
      <c r="D174" s="227"/>
      <c r="E174" s="154"/>
      <c r="F174" s="182"/>
      <c r="G174" s="154"/>
      <c r="H174" s="154"/>
      <c r="I174" s="154"/>
      <c r="J174" s="154"/>
      <c r="K174" s="154"/>
      <c r="L174" s="22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3:27" ht="14.4" customHeight="1">
      <c r="C175" s="6" t="s">
        <v>156</v>
      </c>
      <c r="D175" s="279"/>
      <c r="E175" s="279"/>
      <c r="F175" s="228"/>
      <c r="G175" s="154"/>
      <c r="H175" s="154"/>
      <c r="I175" s="154"/>
      <c r="J175" s="154"/>
      <c r="K175" s="154"/>
      <c r="L175" s="22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3:27" ht="14.4" customHeight="1">
      <c r="C176" s="6" t="s">
        <v>153</v>
      </c>
      <c r="D176" s="227"/>
      <c r="E176" s="227"/>
      <c r="F176" s="228"/>
      <c r="G176" s="279"/>
      <c r="H176" s="279"/>
      <c r="I176" s="279"/>
      <c r="J176" s="279"/>
      <c r="K176" s="279"/>
      <c r="L176" s="22"/>
      <c r="O176" t="s">
        <v>47</v>
      </c>
      <c r="P176"/>
      <c r="Q176"/>
      <c r="R176"/>
      <c r="S176"/>
      <c r="T176"/>
      <c r="U176"/>
      <c r="V176"/>
      <c r="W176"/>
      <c r="X176"/>
      <c r="Y176"/>
      <c r="Z176"/>
      <c r="AA176"/>
    </row>
    <row r="177" spans="3:27" ht="14.4" customHeight="1">
      <c r="C177" s="58" t="s">
        <v>119</v>
      </c>
      <c r="D177" s="157"/>
      <c r="E177" s="157"/>
      <c r="F177" s="183"/>
      <c r="G177" s="157"/>
      <c r="H177" s="157"/>
      <c r="I177" s="157"/>
      <c r="J177" s="157"/>
      <c r="K177" s="157"/>
      <c r="L177" s="22"/>
      <c r="N177" s="320"/>
      <c r="O177" s="320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3:27" ht="14.4" customHeight="1">
      <c r="D178" s="17"/>
      <c r="E178" s="17"/>
      <c r="F178" s="57"/>
      <c r="L178" s="22"/>
      <c r="N178" s="320"/>
      <c r="O178" s="320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3:27" ht="14.4" customHeight="1">
      <c r="C179" s="310" t="s">
        <v>157</v>
      </c>
      <c r="D179" s="311"/>
      <c r="E179" s="311"/>
      <c r="F179" s="188"/>
      <c r="G179" s="311"/>
      <c r="H179" s="311"/>
      <c r="I179" s="311"/>
      <c r="J179" s="311"/>
      <c r="K179" s="311"/>
      <c r="L179" s="22"/>
      <c r="N179" s="320"/>
      <c r="O179" s="320" t="s">
        <v>55</v>
      </c>
      <c r="P179"/>
      <c r="Q179"/>
      <c r="R179"/>
      <c r="S179"/>
      <c r="T179"/>
      <c r="U179"/>
      <c r="V179"/>
      <c r="W179"/>
      <c r="X179"/>
      <c r="Y179"/>
      <c r="Z179"/>
      <c r="AA179"/>
    </row>
    <row r="180" spans="3:27" ht="14.4" customHeight="1">
      <c r="L180" s="22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3:27" ht="14.4" customHeight="1">
      <c r="C181" s="55" t="s">
        <v>158</v>
      </c>
      <c r="D181" s="337" t="s">
        <v>9</v>
      </c>
      <c r="E181" s="338"/>
      <c r="F181" s="339"/>
      <c r="G181" s="337" t="s">
        <v>10</v>
      </c>
      <c r="H181" s="338"/>
      <c r="I181" s="338"/>
      <c r="J181" s="338"/>
      <c r="K181" s="338"/>
      <c r="L181" s="22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3:27" ht="14.4" customHeight="1">
      <c r="C182" s="55"/>
      <c r="D182" s="10">
        <f>+D$12</f>
        <v>44500</v>
      </c>
      <c r="E182" s="10">
        <f t="shared" ref="E182:K182" si="10">+E$12</f>
        <v>44865</v>
      </c>
      <c r="F182" s="11">
        <f t="shared" si="10"/>
        <v>45230</v>
      </c>
      <c r="G182" s="10">
        <f t="shared" si="10"/>
        <v>45596</v>
      </c>
      <c r="H182" s="10">
        <f t="shared" si="10"/>
        <v>45961</v>
      </c>
      <c r="I182" s="10">
        <f t="shared" si="10"/>
        <v>46326</v>
      </c>
      <c r="J182" s="10">
        <f t="shared" si="10"/>
        <v>46691</v>
      </c>
      <c r="K182" s="10">
        <f t="shared" si="10"/>
        <v>47057</v>
      </c>
      <c r="L182" s="2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3:27" ht="14.4" customHeight="1">
      <c r="D183" s="14"/>
      <c r="L183" s="22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3:27" ht="14.4" customHeight="1">
      <c r="C184" s="7" t="s">
        <v>159</v>
      </c>
      <c r="D184" s="14"/>
      <c r="G184" s="160"/>
      <c r="L184" s="22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3:27" ht="14.4" customHeight="1">
      <c r="C185" s="6" t="s">
        <v>160</v>
      </c>
      <c r="D185" s="196"/>
      <c r="E185" s="196"/>
      <c r="F185" s="197"/>
      <c r="G185" s="154"/>
      <c r="H185" s="154"/>
      <c r="I185" s="154"/>
      <c r="J185" s="154"/>
      <c r="K185" s="154"/>
      <c r="L185" s="22"/>
      <c r="O185" t="s">
        <v>161</v>
      </c>
      <c r="P185"/>
      <c r="Q185"/>
      <c r="R185"/>
      <c r="S185"/>
      <c r="T185"/>
      <c r="U185"/>
      <c r="V185"/>
      <c r="W185"/>
      <c r="X185"/>
      <c r="Y185"/>
      <c r="Z185"/>
      <c r="AA185"/>
    </row>
    <row r="186" spans="3:27" ht="14.4" customHeight="1">
      <c r="C186" s="6" t="s">
        <v>162</v>
      </c>
      <c r="D186" s="196"/>
      <c r="E186" s="196"/>
      <c r="F186" s="197"/>
      <c r="G186" s="154"/>
      <c r="H186" s="154"/>
      <c r="I186" s="154"/>
      <c r="J186" s="154"/>
      <c r="K186" s="154"/>
      <c r="L186" s="22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3:27" ht="14.4" customHeight="1">
      <c r="C187" s="5" t="s">
        <v>163</v>
      </c>
      <c r="D187" s="202"/>
      <c r="E187" s="202"/>
      <c r="F187" s="197"/>
      <c r="G187" s="276">
        <v>0.55000000000000004</v>
      </c>
      <c r="H187" s="276">
        <v>0.25</v>
      </c>
      <c r="I187" s="276">
        <v>0.25</v>
      </c>
      <c r="J187" s="276">
        <v>0.25</v>
      </c>
      <c r="K187" s="276">
        <v>0.25</v>
      </c>
      <c r="L187" s="22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3:27" ht="14.4" customHeight="1">
      <c r="C188" s="58"/>
      <c r="D188" s="160"/>
      <c r="E188" s="160"/>
      <c r="F188" s="182"/>
      <c r="G188" s="160"/>
      <c r="H188" s="160"/>
      <c r="I188" s="160"/>
      <c r="J188" s="160"/>
      <c r="K188" s="160"/>
      <c r="L188" s="22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3:27" ht="14.4" customHeight="1">
      <c r="C189" s="7" t="s">
        <v>164</v>
      </c>
      <c r="D189" s="160"/>
      <c r="E189" s="160"/>
      <c r="F189" s="182"/>
      <c r="G189" s="160"/>
      <c r="H189" s="160"/>
      <c r="I189" s="160"/>
      <c r="J189" s="160"/>
      <c r="K189" s="160"/>
      <c r="L189" s="22"/>
      <c r="M189" s="325"/>
      <c r="N189" s="325"/>
      <c r="O189" s="336" t="s">
        <v>165</v>
      </c>
      <c r="P189" s="336"/>
      <c r="Q189" s="336"/>
      <c r="R189" s="336"/>
      <c r="S189" s="336"/>
      <c r="T189" s="336"/>
      <c r="U189" s="336"/>
      <c r="V189" s="336"/>
      <c r="W189" s="336"/>
      <c r="X189" s="336"/>
      <c r="Y189"/>
      <c r="Z189"/>
      <c r="AA189"/>
    </row>
    <row r="190" spans="3:27" ht="14.4" customHeight="1">
      <c r="C190" s="6" t="s">
        <v>166</v>
      </c>
      <c r="D190" s="196"/>
      <c r="E190" s="196"/>
      <c r="F190" s="197"/>
      <c r="G190" s="154"/>
      <c r="H190" s="154"/>
      <c r="I190" s="154"/>
      <c r="J190" s="154"/>
      <c r="K190" s="154"/>
      <c r="L190" s="22"/>
      <c r="M190" s="325"/>
      <c r="N190" s="325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/>
      <c r="Z190"/>
      <c r="AA190"/>
    </row>
    <row r="191" spans="3:27" ht="14.4" customHeight="1">
      <c r="C191" s="6" t="s">
        <v>167</v>
      </c>
      <c r="D191" s="196"/>
      <c r="E191" s="196"/>
      <c r="F191" s="197"/>
      <c r="G191" s="154"/>
      <c r="H191" s="154"/>
      <c r="I191" s="154"/>
      <c r="J191" s="154"/>
      <c r="K191" s="154"/>
      <c r="L191" s="22"/>
      <c r="M191" s="325"/>
      <c r="N191" s="325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/>
      <c r="Z191"/>
      <c r="AA191"/>
    </row>
    <row r="192" spans="3:27" ht="14.4" customHeight="1">
      <c r="C192" s="58" t="s">
        <v>119</v>
      </c>
      <c r="D192" s="229"/>
      <c r="E192" s="229"/>
      <c r="F192" s="230"/>
      <c r="G192" s="157"/>
      <c r="H192" s="157"/>
      <c r="I192" s="157"/>
      <c r="J192" s="157"/>
      <c r="K192" s="157"/>
      <c r="L192" s="22"/>
      <c r="M192" s="325"/>
      <c r="N192" s="325"/>
      <c r="O192" s="320" t="s">
        <v>168</v>
      </c>
      <c r="P192" s="325"/>
      <c r="Q192" s="325"/>
      <c r="R192" s="325"/>
      <c r="S192"/>
      <c r="T192"/>
      <c r="U192"/>
      <c r="V192"/>
      <c r="W192"/>
      <c r="X192"/>
      <c r="Y192"/>
      <c r="Z192"/>
      <c r="AA192"/>
    </row>
    <row r="193" spans="3:27" ht="14.4" customHeight="1">
      <c r="F193" s="56"/>
      <c r="L193" s="22"/>
      <c r="M193" s="325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3:27" ht="14.4" customHeight="1">
      <c r="C194" s="6" t="s">
        <v>169</v>
      </c>
      <c r="D194" s="65"/>
      <c r="E194" s="277">
        <v>0.03</v>
      </c>
      <c r="F194" s="278">
        <v>0.03</v>
      </c>
      <c r="G194" s="187"/>
      <c r="H194" s="187"/>
      <c r="I194" s="187"/>
      <c r="J194" s="187"/>
      <c r="K194" s="187"/>
      <c r="L194" s="22"/>
      <c r="O194" s="320" t="s">
        <v>170</v>
      </c>
      <c r="P194"/>
      <c r="Q194"/>
      <c r="R194"/>
      <c r="S194"/>
      <c r="T194"/>
      <c r="U194"/>
      <c r="V194"/>
      <c r="W194"/>
      <c r="X194"/>
      <c r="Y194"/>
      <c r="Z194"/>
      <c r="AA194"/>
    </row>
    <row r="195" spans="3:27" ht="14.4" customHeight="1">
      <c r="C195" s="58" t="s">
        <v>45</v>
      </c>
      <c r="D195" s="66"/>
      <c r="E195" s="157"/>
      <c r="F195" s="183"/>
      <c r="G195" s="157"/>
      <c r="H195" s="157"/>
      <c r="I195" s="157"/>
      <c r="J195" s="157"/>
      <c r="K195" s="157"/>
      <c r="L195" s="22"/>
      <c r="O195" t="s">
        <v>171</v>
      </c>
      <c r="P195"/>
      <c r="Q195"/>
      <c r="R195"/>
      <c r="S195"/>
      <c r="T195"/>
      <c r="U195"/>
      <c r="V195"/>
      <c r="W195"/>
      <c r="X195"/>
      <c r="Y195"/>
      <c r="Z195"/>
      <c r="AA195"/>
    </row>
    <row r="196" spans="3:27" ht="14.4" customHeight="1">
      <c r="F196" s="56"/>
      <c r="L196" s="22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3:27" ht="14.4" customHeight="1">
      <c r="C197" s="7" t="s">
        <v>172</v>
      </c>
      <c r="F197" s="56"/>
      <c r="L197" s="22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3:27" ht="14.4" customHeight="1">
      <c r="C198" s="6" t="s">
        <v>169</v>
      </c>
      <c r="D198" s="65"/>
      <c r="E198" s="186"/>
      <c r="F198" s="185"/>
      <c r="G198" s="187"/>
      <c r="H198" s="187"/>
      <c r="I198" s="187"/>
      <c r="J198" s="187"/>
      <c r="K198" s="187"/>
      <c r="L198" s="22"/>
      <c r="O198" s="320" t="s">
        <v>170</v>
      </c>
      <c r="P198"/>
      <c r="Q198"/>
      <c r="R198"/>
      <c r="S198"/>
      <c r="T198"/>
      <c r="U198"/>
      <c r="V198"/>
      <c r="W198"/>
      <c r="X198"/>
      <c r="Y198"/>
      <c r="Z198"/>
      <c r="AA198"/>
    </row>
    <row r="199" spans="3:27" ht="14.4" customHeight="1">
      <c r="C199" s="6" t="s">
        <v>173</v>
      </c>
      <c r="D199" s="14"/>
      <c r="E199" s="14"/>
      <c r="F199" s="57"/>
      <c r="G199" s="14"/>
      <c r="H199" s="14"/>
      <c r="I199" s="14"/>
      <c r="J199" s="14"/>
      <c r="K199" s="14"/>
      <c r="L199" s="22"/>
      <c r="O199" s="336" t="s">
        <v>174</v>
      </c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  <c r="AA199" s="336"/>
    </row>
    <row r="200" spans="3:27" ht="14.4" customHeight="1">
      <c r="C200" s="67" t="s">
        <v>175</v>
      </c>
      <c r="D200" s="227"/>
      <c r="E200" s="227"/>
      <c r="F200" s="228"/>
      <c r="G200" s="279"/>
      <c r="H200" s="279"/>
      <c r="I200" s="279"/>
      <c r="J200" s="279"/>
      <c r="K200" s="279"/>
      <c r="L200" s="22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  <c r="AA200" s="336"/>
    </row>
    <row r="201" spans="3:27" ht="14.4" customHeight="1">
      <c r="C201" s="67" t="s">
        <v>176</v>
      </c>
      <c r="D201" s="227"/>
      <c r="E201" s="227"/>
      <c r="F201" s="228"/>
      <c r="G201" s="307"/>
      <c r="H201" s="307"/>
      <c r="I201" s="307"/>
      <c r="J201" s="307"/>
      <c r="K201" s="307"/>
      <c r="L201" s="22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  <c r="AA201" s="336"/>
    </row>
    <row r="202" spans="3:27" ht="14.4" customHeight="1">
      <c r="C202" s="58" t="s">
        <v>45</v>
      </c>
      <c r="D202" s="202"/>
      <c r="E202" s="157"/>
      <c r="F202" s="183"/>
      <c r="G202" s="157"/>
      <c r="H202" s="157"/>
      <c r="I202" s="157"/>
      <c r="J202" s="157"/>
      <c r="K202" s="157"/>
      <c r="L202" s="2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3:27" ht="14.4" customHeight="1">
      <c r="D203" s="160"/>
      <c r="E203" s="160"/>
      <c r="F203" s="182"/>
      <c r="G203" s="160"/>
      <c r="H203" s="160"/>
      <c r="I203" s="160"/>
      <c r="J203" s="160"/>
      <c r="K203" s="160"/>
      <c r="L203" s="22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3:27" ht="14.4" customHeight="1">
      <c r="C204" s="12" t="s">
        <v>177</v>
      </c>
      <c r="D204" s="202"/>
      <c r="E204" s="157"/>
      <c r="F204" s="183"/>
      <c r="G204" s="157"/>
      <c r="H204" s="157"/>
      <c r="I204" s="157"/>
      <c r="J204" s="157"/>
      <c r="K204" s="157"/>
      <c r="L204" s="22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3:27" ht="14.4" customHeight="1">
      <c r="F205" s="56"/>
      <c r="L205" s="22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3:27" ht="14.4" customHeight="1">
      <c r="C206" s="7" t="s">
        <v>178</v>
      </c>
      <c r="F206" s="56"/>
      <c r="L206" s="22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3:27" ht="14.4" customHeight="1">
      <c r="C207" s="6" t="s">
        <v>169</v>
      </c>
      <c r="D207" s="184"/>
      <c r="E207" s="186"/>
      <c r="F207" s="185"/>
      <c r="G207" s="187"/>
      <c r="H207" s="187"/>
      <c r="I207" s="187"/>
      <c r="J207" s="187"/>
      <c r="K207" s="187"/>
      <c r="L207" s="22"/>
      <c r="N207" s="68"/>
      <c r="O207" s="320" t="s">
        <v>170</v>
      </c>
      <c r="P207" s="68"/>
      <c r="Q207" s="68"/>
      <c r="R207" s="68"/>
      <c r="S207"/>
      <c r="T207"/>
      <c r="U207"/>
      <c r="V207"/>
      <c r="W207"/>
      <c r="X207"/>
      <c r="Y207"/>
      <c r="Z207"/>
      <c r="AA207"/>
    </row>
    <row r="208" spans="3:27" ht="14.4" customHeight="1">
      <c r="C208" s="6" t="s">
        <v>179</v>
      </c>
      <c r="D208" s="154"/>
      <c r="E208" s="154"/>
      <c r="F208" s="182"/>
      <c r="G208" s="154"/>
      <c r="H208" s="154"/>
      <c r="I208" s="154"/>
      <c r="J208" s="154"/>
      <c r="K208" s="154"/>
      <c r="L208" s="22"/>
      <c r="N208" s="68"/>
      <c r="O208" s="326"/>
      <c r="P208" s="68"/>
      <c r="Q208" s="68"/>
      <c r="R208" s="68"/>
      <c r="S208"/>
      <c r="T208"/>
      <c r="U208"/>
      <c r="V208"/>
      <c r="W208"/>
      <c r="X208"/>
      <c r="Y208"/>
      <c r="Z208"/>
      <c r="AA208"/>
    </row>
    <row r="209" spans="3:27" ht="14.4" customHeight="1">
      <c r="C209" s="63" t="s">
        <v>180</v>
      </c>
      <c r="D209" s="203"/>
      <c r="E209" s="280"/>
      <c r="F209" s="281"/>
      <c r="G209" s="168"/>
      <c r="H209" s="168"/>
      <c r="I209" s="168"/>
      <c r="J209" s="168"/>
      <c r="K209" s="168"/>
      <c r="L209" s="22"/>
      <c r="O209" t="s">
        <v>147</v>
      </c>
      <c r="P209"/>
      <c r="Q209"/>
      <c r="R209"/>
      <c r="S209"/>
      <c r="T209"/>
      <c r="U209"/>
      <c r="V209"/>
      <c r="W209"/>
      <c r="X209"/>
      <c r="Y209"/>
      <c r="Z209"/>
      <c r="AA209"/>
    </row>
    <row r="210" spans="3:27" ht="14.4" customHeight="1"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3:27" ht="14.4" customHeight="1">
      <c r="C211" s="55" t="s">
        <v>181</v>
      </c>
      <c r="D211" s="337" t="s">
        <v>9</v>
      </c>
      <c r="E211" s="338"/>
      <c r="F211" s="339"/>
      <c r="G211" s="337" t="s">
        <v>10</v>
      </c>
      <c r="H211" s="338"/>
      <c r="I211" s="338"/>
      <c r="J211" s="338"/>
      <c r="K211" s="338"/>
      <c r="L211" s="22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3:27" ht="14.4" customHeight="1">
      <c r="C212" s="55"/>
      <c r="D212" s="10">
        <f>+D$12</f>
        <v>44500</v>
      </c>
      <c r="E212" s="10">
        <f t="shared" ref="E212:K212" si="11">+E$12</f>
        <v>44865</v>
      </c>
      <c r="F212" s="11">
        <f t="shared" si="11"/>
        <v>45230</v>
      </c>
      <c r="G212" s="10">
        <f t="shared" si="11"/>
        <v>45596</v>
      </c>
      <c r="H212" s="10">
        <f t="shared" si="11"/>
        <v>45961</v>
      </c>
      <c r="I212" s="10">
        <f t="shared" si="11"/>
        <v>46326</v>
      </c>
      <c r="J212" s="10">
        <f t="shared" si="11"/>
        <v>46691</v>
      </c>
      <c r="K212" s="10">
        <f t="shared" si="11"/>
        <v>47057</v>
      </c>
      <c r="L212" s="2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3:27" ht="14.4" customHeight="1">
      <c r="D213" s="14"/>
      <c r="L213" s="22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3:27" ht="14.4" customHeight="1">
      <c r="C214" s="6" t="s">
        <v>182</v>
      </c>
      <c r="D214" s="279"/>
      <c r="E214" s="279"/>
      <c r="F214" s="316"/>
      <c r="G214" s="154"/>
      <c r="H214" s="154"/>
      <c r="I214" s="154"/>
      <c r="J214" s="154"/>
      <c r="K214" s="154"/>
      <c r="L214" s="22"/>
      <c r="O214" s="332" t="s">
        <v>296</v>
      </c>
      <c r="P214"/>
      <c r="Q214"/>
      <c r="R214"/>
      <c r="S214"/>
      <c r="T214"/>
      <c r="U214"/>
      <c r="V214"/>
      <c r="W214"/>
      <c r="X214"/>
      <c r="Y214"/>
      <c r="Z214"/>
      <c r="AA214"/>
    </row>
    <row r="215" spans="3:27" ht="14.4" customHeight="1">
      <c r="C215" s="6" t="s">
        <v>183</v>
      </c>
      <c r="D215" s="187"/>
      <c r="E215" s="187"/>
      <c r="F215" s="317"/>
      <c r="G215" s="186"/>
      <c r="H215" s="186"/>
      <c r="I215" s="186"/>
      <c r="J215" s="186"/>
      <c r="K215" s="186"/>
      <c r="L215" s="22"/>
      <c r="O215" t="s">
        <v>184</v>
      </c>
      <c r="P215"/>
      <c r="Q215"/>
      <c r="R215"/>
      <c r="S215"/>
      <c r="T215"/>
      <c r="U215"/>
      <c r="V215"/>
      <c r="W215"/>
      <c r="X215"/>
      <c r="Y215"/>
      <c r="Z215"/>
      <c r="AA215"/>
    </row>
    <row r="216" spans="3:27" ht="14.4" customHeight="1">
      <c r="C216" s="6"/>
      <c r="D216" s="279"/>
      <c r="E216" s="279"/>
      <c r="F216" s="316"/>
      <c r="G216" s="154"/>
      <c r="H216" s="154"/>
      <c r="I216" s="154"/>
      <c r="J216" s="154"/>
      <c r="K216" s="154"/>
      <c r="L216" s="22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3:27" ht="14.4" customHeight="1">
      <c r="C217" s="6" t="s">
        <v>185</v>
      </c>
      <c r="D217" s="279"/>
      <c r="E217" s="279"/>
      <c r="F217" s="316"/>
      <c r="G217" s="154"/>
      <c r="H217" s="154"/>
      <c r="I217" s="154"/>
      <c r="J217" s="154"/>
      <c r="K217" s="154"/>
      <c r="L217" s="22"/>
      <c r="O217" t="s">
        <v>186</v>
      </c>
      <c r="P217"/>
      <c r="Q217"/>
      <c r="R217"/>
      <c r="S217"/>
      <c r="T217"/>
      <c r="U217"/>
      <c r="V217"/>
      <c r="W217"/>
      <c r="X217"/>
      <c r="Y217"/>
      <c r="Z217"/>
      <c r="AA217"/>
    </row>
    <row r="218" spans="3:27" ht="14.4" customHeight="1">
      <c r="C218" s="6" t="s">
        <v>187</v>
      </c>
      <c r="D218" s="186"/>
      <c r="E218" s="186"/>
      <c r="F218" s="204"/>
      <c r="G218" s="187"/>
      <c r="H218" s="187"/>
      <c r="I218" s="187"/>
      <c r="J218" s="187"/>
      <c r="K218" s="187"/>
      <c r="L218" s="22"/>
      <c r="O218" t="s">
        <v>184</v>
      </c>
      <c r="P218"/>
      <c r="Q218"/>
      <c r="R218"/>
      <c r="S218"/>
      <c r="T218"/>
      <c r="U218"/>
      <c r="V218"/>
      <c r="W218"/>
      <c r="X218"/>
      <c r="Y218"/>
      <c r="Z218"/>
      <c r="AA218"/>
    </row>
    <row r="219" spans="3:27" ht="14.4" customHeight="1">
      <c r="C219" s="6"/>
      <c r="D219" s="186"/>
      <c r="E219" s="186"/>
      <c r="F219" s="204"/>
      <c r="G219" s="187"/>
      <c r="H219" s="187"/>
      <c r="I219" s="187"/>
      <c r="J219" s="187"/>
      <c r="K219" s="187"/>
      <c r="L219" s="22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3:27" ht="14.4" customHeight="1">
      <c r="C220" s="6" t="s">
        <v>188</v>
      </c>
      <c r="D220" s="318"/>
      <c r="E220" s="318"/>
      <c r="F220" s="319"/>
      <c r="G220" s="276">
        <v>0.03</v>
      </c>
      <c r="H220" s="276">
        <v>0.03</v>
      </c>
      <c r="I220" s="276">
        <v>0.03</v>
      </c>
      <c r="J220" s="276">
        <v>0.03</v>
      </c>
      <c r="K220" s="276">
        <v>0.03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3:27" ht="14.4" customHeight="1">
      <c r="C221" s="6"/>
      <c r="D221" s="186"/>
      <c r="E221" s="186"/>
      <c r="F221" s="204"/>
      <c r="G221" s="187"/>
      <c r="H221" s="187"/>
      <c r="I221" s="187"/>
      <c r="J221" s="187"/>
      <c r="K221" s="187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3:27" ht="14.4" customHeight="1">
      <c r="C222" s="6" t="s">
        <v>189</v>
      </c>
      <c r="D222" s="318"/>
      <c r="E222" s="318"/>
      <c r="F222" s="319"/>
      <c r="G222" s="307"/>
      <c r="H222" s="307"/>
      <c r="I222" s="307"/>
      <c r="J222" s="307"/>
      <c r="K222" s="307"/>
      <c r="O222"/>
    </row>
    <row r="223" spans="3:27" ht="14.4" customHeight="1">
      <c r="C223" s="6" t="s">
        <v>190</v>
      </c>
      <c r="D223" s="318"/>
      <c r="E223" s="318"/>
      <c r="F223" s="319"/>
      <c r="G223" s="307"/>
      <c r="H223" s="307"/>
      <c r="I223" s="307"/>
      <c r="J223" s="307"/>
      <c r="K223" s="307"/>
      <c r="O223" s="314" t="s">
        <v>191</v>
      </c>
    </row>
    <row r="224" spans="3:27" ht="14.4" customHeight="1">
      <c r="C224" s="6" t="s">
        <v>192</v>
      </c>
      <c r="D224" s="318"/>
      <c r="E224" s="318"/>
      <c r="F224" s="319"/>
      <c r="G224" s="307"/>
      <c r="H224" s="307"/>
      <c r="I224" s="307"/>
      <c r="J224" s="307"/>
      <c r="K224" s="307"/>
    </row>
    <row r="225" spans="3:15" ht="14.4" customHeight="1">
      <c r="C225" s="6" t="s">
        <v>193</v>
      </c>
      <c r="D225" s="318"/>
      <c r="E225" s="318"/>
      <c r="F225" s="319"/>
      <c r="G225" s="307"/>
      <c r="H225" s="307"/>
      <c r="I225" s="307"/>
      <c r="J225" s="307"/>
      <c r="K225" s="307"/>
    </row>
    <row r="226" spans="3:15" ht="14.4" customHeight="1">
      <c r="C226" s="6" t="s">
        <v>194</v>
      </c>
      <c r="D226" s="154"/>
      <c r="E226" s="154"/>
      <c r="F226" s="167"/>
      <c r="G226" s="154"/>
      <c r="H226" s="154"/>
      <c r="I226" s="154"/>
      <c r="J226" s="154"/>
      <c r="K226" s="154"/>
    </row>
    <row r="227" spans="3:15" ht="14.4" customHeight="1">
      <c r="C227" s="6" t="s">
        <v>195</v>
      </c>
      <c r="D227" s="186"/>
      <c r="E227" s="186"/>
      <c r="F227" s="204"/>
      <c r="G227" s="186"/>
      <c r="H227" s="186"/>
      <c r="I227" s="186"/>
      <c r="J227" s="186"/>
      <c r="K227" s="186"/>
      <c r="O227" t="s">
        <v>184</v>
      </c>
    </row>
    <row r="228" spans="3:15" ht="14.4" customHeight="1">
      <c r="C228" s="6"/>
      <c r="D228" s="154"/>
      <c r="E228" s="154"/>
      <c r="F228" s="167"/>
      <c r="G228" s="154"/>
      <c r="H228" s="154"/>
      <c r="I228" s="154"/>
      <c r="J228" s="154"/>
      <c r="K228" s="154"/>
    </row>
    <row r="229" spans="3:15" ht="14.4" customHeight="1">
      <c r="C229" s="6" t="s">
        <v>196</v>
      </c>
      <c r="D229" s="154"/>
      <c r="E229" s="154"/>
      <c r="F229" s="167"/>
      <c r="G229" s="154"/>
      <c r="H229" s="154"/>
      <c r="I229" s="154"/>
      <c r="J229" s="154"/>
      <c r="K229" s="154"/>
    </row>
    <row r="230" spans="3:15" ht="14.4" customHeight="1">
      <c r="C230" s="6" t="s">
        <v>197</v>
      </c>
      <c r="D230" s="15"/>
      <c r="E230" s="15"/>
      <c r="F230" s="151"/>
      <c r="G230" s="62"/>
      <c r="H230" s="62"/>
      <c r="I230" s="62"/>
      <c r="J230" s="62"/>
      <c r="K230" s="62"/>
      <c r="O230" t="s">
        <v>184</v>
      </c>
    </row>
    <row r="231" spans="3:15" ht="14.4" customHeight="1">
      <c r="C231" s="6"/>
      <c r="D231" s="15"/>
      <c r="E231" s="15"/>
      <c r="F231" s="151"/>
      <c r="G231" s="62"/>
      <c r="H231" s="62"/>
      <c r="I231" s="62"/>
      <c r="J231" s="62"/>
      <c r="K231" s="62"/>
    </row>
    <row r="232" spans="3:15" ht="14.4" customHeight="1">
      <c r="C232" s="6" t="s">
        <v>198</v>
      </c>
      <c r="D232" s="154"/>
      <c r="E232" s="154"/>
      <c r="F232" s="167"/>
      <c r="G232" s="154"/>
      <c r="H232" s="154"/>
      <c r="I232" s="154"/>
      <c r="J232" s="154"/>
      <c r="K232" s="154"/>
    </row>
    <row r="233" spans="3:15" ht="14.4" customHeight="1">
      <c r="C233" s="6"/>
      <c r="D233" s="186"/>
      <c r="E233" s="186"/>
      <c r="F233" s="204"/>
      <c r="G233" s="187"/>
      <c r="H233" s="187"/>
      <c r="I233" s="187"/>
      <c r="J233" s="187"/>
      <c r="K233" s="187"/>
    </row>
    <row r="234" spans="3:15" ht="14.4" customHeight="1">
      <c r="C234" s="320" t="s">
        <v>199</v>
      </c>
      <c r="D234" s="181"/>
      <c r="E234" s="181"/>
      <c r="F234" s="321"/>
      <c r="G234" s="154"/>
      <c r="H234" s="154"/>
      <c r="I234" s="154"/>
      <c r="J234" s="154"/>
      <c r="K234" s="154"/>
    </row>
    <row r="235" spans="3:15" ht="14.4" customHeight="1">
      <c r="C235" s="320" t="s">
        <v>190</v>
      </c>
      <c r="D235" s="181"/>
      <c r="E235" s="181"/>
      <c r="F235" s="321"/>
      <c r="G235" s="154"/>
      <c r="H235" s="154"/>
      <c r="I235" s="154"/>
      <c r="J235" s="154"/>
      <c r="K235" s="154"/>
      <c r="O235" s="314" t="s">
        <v>200</v>
      </c>
    </row>
    <row r="236" spans="3:15" ht="14.4" customHeight="1">
      <c r="C236" s="320" t="s">
        <v>201</v>
      </c>
      <c r="D236" s="181"/>
      <c r="E236" s="181"/>
      <c r="F236" s="321"/>
      <c r="G236" s="154"/>
      <c r="H236" s="154"/>
      <c r="I236" s="154"/>
      <c r="J236" s="154"/>
      <c r="K236" s="154"/>
    </row>
    <row r="237" spans="3:15" ht="14.4" customHeight="1">
      <c r="C237" s="324" t="s">
        <v>202</v>
      </c>
      <c r="D237" s="330"/>
      <c r="E237" s="330"/>
      <c r="F237" s="331"/>
      <c r="G237" s="330"/>
      <c r="H237" s="330"/>
      <c r="I237" s="330"/>
      <c r="J237" s="330"/>
      <c r="K237" s="330"/>
    </row>
  </sheetData>
  <mergeCells count="23">
    <mergeCell ref="G171:K171"/>
    <mergeCell ref="D11:F11"/>
    <mergeCell ref="D43:F43"/>
    <mergeCell ref="G43:K43"/>
    <mergeCell ref="D77:F77"/>
    <mergeCell ref="G77:K77"/>
    <mergeCell ref="G11:K11"/>
    <mergeCell ref="O189:X191"/>
    <mergeCell ref="D211:F211"/>
    <mergeCell ref="G211:K211"/>
    <mergeCell ref="O5:W6"/>
    <mergeCell ref="O199:AA201"/>
    <mergeCell ref="G107:K107"/>
    <mergeCell ref="D181:F181"/>
    <mergeCell ref="G181:K181"/>
    <mergeCell ref="D107:F107"/>
    <mergeCell ref="D149:F149"/>
    <mergeCell ref="G149:K149"/>
    <mergeCell ref="D160:F160"/>
    <mergeCell ref="G160:K160"/>
    <mergeCell ref="D134:F134"/>
    <mergeCell ref="G134:K134"/>
    <mergeCell ref="D171:F171"/>
  </mergeCells>
  <dataValidations disablePrompts="1" count="2">
    <dataValidation type="list" allowBlank="1" showErrorMessage="1" sqref="E115 E126" xr:uid="{B8A8E992-5B10-4181-8A1D-D41BDC9054AC}">
      <formula1>"1,2"</formula1>
    </dataValidation>
    <dataValidation type="list" allowBlank="1" showErrorMessage="1" sqref="J5" xr:uid="{00000000-0002-0000-0200-000001000000}">
      <formula1>"0,1"</formula1>
    </dataValidation>
  </dataValidations>
  <printOptions horizontalCentered="1" verticalCentered="1"/>
  <pageMargins left="0.7" right="0.7" top="0.75" bottom="0.75" header="0" footer="0"/>
  <pageSetup orientation="landscape"/>
  <rowBreaks count="3" manualBreakCount="3">
    <brk id="42" man="1"/>
    <brk id="180" man="1"/>
    <brk id="10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8468-1F86-43C8-8DBC-1093473FD6B0}">
  <dimension ref="C1:T124"/>
  <sheetViews>
    <sheetView showGridLines="0" zoomScale="85" zoomScaleNormal="85" workbookViewId="0"/>
  </sheetViews>
  <sheetFormatPr defaultColWidth="14.44140625" defaultRowHeight="14.4" customHeight="1"/>
  <cols>
    <col min="1" max="1" width="1.6640625" style="83" customWidth="1"/>
    <col min="2" max="2" width="2.6640625" style="83" customWidth="1"/>
    <col min="3" max="3" width="45.6640625" style="83" customWidth="1"/>
    <col min="4" max="12" width="12.5546875" style="83" bestFit="1" customWidth="1"/>
    <col min="13" max="13" width="2.6640625" style="83" customWidth="1"/>
    <col min="14" max="14" width="12.5546875" style="83" bestFit="1" customWidth="1"/>
    <col min="15" max="15" width="2.6640625" style="83" customWidth="1"/>
    <col min="16" max="19" width="11.33203125" style="83" customWidth="1"/>
    <col min="20" max="26" width="8.6640625" style="83" customWidth="1"/>
    <col min="27" max="16384" width="14.44140625" style="83"/>
  </cols>
  <sheetData>
    <row r="1" spans="3:14" ht="14.4" customHeight="1" thickBot="1"/>
    <row r="2" spans="3:14" ht="18" customHeight="1">
      <c r="C2" s="88" t="str">
        <f>"Discounted Cash Flow Model For "&amp;D5</f>
        <v>Discounted Cash Flow Model For Keysight Technologies, Inc.</v>
      </c>
      <c r="D2" s="88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3:14" ht="14.4" customHeight="1" thickBot="1">
      <c r="C3" s="90" t="s">
        <v>31</v>
      </c>
      <c r="D3" s="90"/>
      <c r="E3" s="91"/>
      <c r="F3" s="91"/>
      <c r="G3" s="91"/>
      <c r="H3" s="91"/>
      <c r="I3" s="91"/>
      <c r="J3" s="86" t="s">
        <v>203</v>
      </c>
      <c r="K3" s="91"/>
      <c r="L3" s="91"/>
      <c r="M3" s="91"/>
      <c r="N3" s="91"/>
    </row>
    <row r="4" spans="3:14" ht="14.4" customHeight="1">
      <c r="C4" s="92"/>
      <c r="D4" s="92"/>
    </row>
    <row r="5" spans="3:14" ht="14.4" customHeight="1">
      <c r="C5" s="93" t="s">
        <v>1</v>
      </c>
      <c r="D5" s="94" t="str">
        <f>'Revenue Build &amp; Growth Drivers'!D5</f>
        <v>Keysight Technologies, Inc.</v>
      </c>
      <c r="G5" s="93" t="s">
        <v>204</v>
      </c>
      <c r="J5" s="295">
        <f>+D66</f>
        <v>175044.60399999999</v>
      </c>
    </row>
    <row r="6" spans="3:14" ht="14.4" customHeight="1">
      <c r="C6" s="93" t="s">
        <v>3</v>
      </c>
      <c r="D6" s="327" t="str">
        <f>'Revenue Build &amp; Growth Drivers'!D6</f>
        <v>KEYS</v>
      </c>
      <c r="G6" s="93" t="s">
        <v>205</v>
      </c>
      <c r="J6" s="295">
        <f>+D71</f>
        <v>178193.60399999999</v>
      </c>
    </row>
    <row r="7" spans="3:14" ht="14.4" customHeight="1">
      <c r="C7" s="93" t="s">
        <v>5</v>
      </c>
      <c r="D7" s="82">
        <f>'Revenue Build &amp; Growth Drivers'!D7</f>
        <v>45394</v>
      </c>
      <c r="G7" s="93" t="s">
        <v>206</v>
      </c>
      <c r="J7" s="296">
        <f>+'WACC Build'!D45</f>
        <v>0</v>
      </c>
    </row>
    <row r="8" spans="3:14" ht="14.4" customHeight="1">
      <c r="C8" s="93" t="s">
        <v>6</v>
      </c>
      <c r="D8" s="82">
        <f>'Revenue Build &amp; Growth Drivers'!D8</f>
        <v>45393</v>
      </c>
      <c r="G8" s="93" t="s">
        <v>207</v>
      </c>
      <c r="H8" s="93"/>
      <c r="I8" s="93"/>
      <c r="J8" s="95">
        <v>0</v>
      </c>
    </row>
    <row r="9" spans="3:14" ht="14.4" customHeight="1">
      <c r="C9" s="93" t="s">
        <v>7</v>
      </c>
      <c r="D9" s="259">
        <f>'Revenue Build &amp; Growth Drivers'!D9</f>
        <v>160.13999999999999</v>
      </c>
    </row>
    <row r="10" spans="3:14" ht="14.4" customHeight="1">
      <c r="H10" s="96"/>
    </row>
    <row r="11" spans="3:14" ht="14.4" customHeight="1">
      <c r="C11" s="97" t="s">
        <v>208</v>
      </c>
      <c r="D11" s="97"/>
      <c r="E11" s="344" t="s">
        <v>9</v>
      </c>
      <c r="F11" s="342"/>
      <c r="G11" s="345"/>
      <c r="H11" s="344" t="s">
        <v>10</v>
      </c>
      <c r="I11" s="342"/>
      <c r="J11" s="342"/>
      <c r="K11" s="342"/>
      <c r="L11" s="342"/>
      <c r="N11" s="98" t="s">
        <v>36</v>
      </c>
    </row>
    <row r="12" spans="3:14" ht="14.4" customHeight="1">
      <c r="C12" s="97"/>
      <c r="D12" s="97"/>
      <c r="E12" s="99">
        <f>'Financial Statement Model'!D12</f>
        <v>44500</v>
      </c>
      <c r="F12" s="99">
        <f>'Financial Statement Model'!E12</f>
        <v>44865</v>
      </c>
      <c r="G12" s="100">
        <f>'Financial Statement Model'!F12</f>
        <v>45230</v>
      </c>
      <c r="H12" s="99">
        <f>'Financial Statement Model'!G12</f>
        <v>45596</v>
      </c>
      <c r="I12" s="99">
        <f>'Financial Statement Model'!H12</f>
        <v>45961</v>
      </c>
      <c r="J12" s="99">
        <f>'Financial Statement Model'!I12</f>
        <v>46326</v>
      </c>
      <c r="K12" s="99">
        <f>'Financial Statement Model'!J12</f>
        <v>46691</v>
      </c>
      <c r="L12" s="99">
        <f>'Financial Statement Model'!K12</f>
        <v>47057</v>
      </c>
      <c r="N12" s="99" t="s">
        <v>37</v>
      </c>
    </row>
    <row r="14" spans="3:14" ht="14.4" customHeight="1">
      <c r="C14" s="83" t="s">
        <v>11</v>
      </c>
      <c r="E14" s="256"/>
      <c r="F14" s="256"/>
      <c r="G14" s="257"/>
      <c r="H14" s="256"/>
      <c r="I14" s="256"/>
      <c r="J14" s="256"/>
      <c r="K14" s="256"/>
      <c r="L14" s="256"/>
    </row>
    <row r="15" spans="3:14" ht="14.4" customHeight="1">
      <c r="C15" s="92" t="s">
        <v>209</v>
      </c>
      <c r="D15" s="92"/>
      <c r="E15" s="233"/>
      <c r="F15" s="234"/>
      <c r="G15" s="235"/>
      <c r="H15" s="234"/>
      <c r="I15" s="234"/>
      <c r="J15" s="234"/>
      <c r="K15" s="234"/>
      <c r="L15" s="234"/>
      <c r="M15" s="101"/>
    </row>
    <row r="16" spans="3:14" ht="14.4" customHeight="1">
      <c r="C16" s="92"/>
      <c r="D16" s="92"/>
      <c r="G16" s="102"/>
    </row>
    <row r="17" spans="3:14" ht="14.4" customHeight="1">
      <c r="C17" s="83" t="s">
        <v>39</v>
      </c>
      <c r="E17" s="256"/>
      <c r="F17" s="256"/>
      <c r="G17" s="257"/>
      <c r="H17" s="256"/>
      <c r="I17" s="256"/>
      <c r="J17" s="256"/>
      <c r="K17" s="256"/>
      <c r="L17" s="256"/>
    </row>
    <row r="18" spans="3:14" ht="14.4" customHeight="1">
      <c r="C18" s="92" t="s">
        <v>210</v>
      </c>
      <c r="D18" s="92"/>
      <c r="E18" s="234"/>
      <c r="F18" s="234"/>
      <c r="G18" s="235"/>
      <c r="H18" s="234"/>
      <c r="I18" s="234"/>
      <c r="J18" s="234"/>
      <c r="K18" s="234"/>
      <c r="L18" s="234"/>
    </row>
    <row r="19" spans="3:14" ht="14.4" customHeight="1">
      <c r="C19" s="92"/>
      <c r="D19" s="92"/>
      <c r="G19" s="102"/>
    </row>
    <row r="20" spans="3:14" ht="14.4" customHeight="1">
      <c r="C20" s="83" t="s">
        <v>53</v>
      </c>
      <c r="E20" s="256"/>
      <c r="F20" s="256"/>
      <c r="G20" s="257"/>
      <c r="H20" s="256"/>
      <c r="I20" s="256"/>
      <c r="J20" s="256"/>
      <c r="K20" s="256"/>
      <c r="L20" s="256"/>
      <c r="N20" s="258"/>
    </row>
    <row r="21" spans="3:14" ht="14.4" customHeight="1">
      <c r="C21" s="92" t="s">
        <v>211</v>
      </c>
      <c r="D21" s="92"/>
      <c r="E21" s="234"/>
      <c r="F21" s="234"/>
      <c r="G21" s="235"/>
      <c r="H21" s="234"/>
      <c r="I21" s="234"/>
      <c r="J21" s="234"/>
      <c r="K21" s="234"/>
      <c r="L21" s="234"/>
    </row>
    <row r="22" spans="3:14" ht="14.4" customHeight="1">
      <c r="C22" s="92"/>
      <c r="D22" s="92"/>
      <c r="G22" s="102"/>
    </row>
    <row r="23" spans="3:14" ht="14.4" customHeight="1">
      <c r="C23" s="83" t="s">
        <v>42</v>
      </c>
      <c r="E23" s="256"/>
      <c r="F23" s="256"/>
      <c r="G23" s="257"/>
      <c r="H23" s="256"/>
      <c r="I23" s="256"/>
      <c r="J23" s="256"/>
      <c r="K23" s="256"/>
      <c r="L23" s="256"/>
    </row>
    <row r="24" spans="3:14" ht="14.4" customHeight="1">
      <c r="C24" s="92" t="s">
        <v>212</v>
      </c>
      <c r="D24" s="92"/>
      <c r="E24" s="234"/>
      <c r="F24" s="234"/>
      <c r="G24" s="235"/>
      <c r="H24" s="234"/>
      <c r="I24" s="234"/>
      <c r="J24" s="234"/>
      <c r="K24" s="234"/>
      <c r="L24" s="234"/>
    </row>
    <row r="25" spans="3:14" ht="14.4" customHeight="1">
      <c r="C25" s="92"/>
      <c r="D25" s="92"/>
      <c r="G25" s="102"/>
    </row>
    <row r="26" spans="3:14" ht="14.4" customHeight="1">
      <c r="C26" s="328" t="s">
        <v>213</v>
      </c>
      <c r="E26" s="245"/>
      <c r="F26" s="245"/>
      <c r="G26" s="315"/>
      <c r="H26" s="245"/>
      <c r="I26" s="245"/>
      <c r="J26" s="245"/>
      <c r="K26" s="245"/>
      <c r="L26" s="245"/>
    </row>
    <row r="27" spans="3:14" ht="14.4" customHeight="1">
      <c r="C27" s="92" t="s">
        <v>214</v>
      </c>
      <c r="D27" s="92"/>
      <c r="E27" s="261"/>
      <c r="F27" s="261"/>
      <c r="G27" s="262"/>
      <c r="H27" s="261"/>
      <c r="I27" s="261"/>
      <c r="J27" s="261"/>
      <c r="K27" s="261"/>
      <c r="L27" s="261"/>
    </row>
    <row r="28" spans="3:14" ht="14.4" customHeight="1">
      <c r="G28" s="102"/>
    </row>
    <row r="29" spans="3:14" ht="14.4" customHeight="1">
      <c r="C29" s="103" t="s">
        <v>215</v>
      </c>
      <c r="D29" s="103"/>
      <c r="E29" s="236"/>
      <c r="F29" s="236"/>
      <c r="G29" s="237"/>
      <c r="H29" s="236"/>
      <c r="I29" s="236"/>
      <c r="J29" s="236"/>
      <c r="K29" s="236"/>
      <c r="L29" s="236"/>
    </row>
    <row r="30" spans="3:14" ht="14.4" customHeight="1">
      <c r="G30" s="102"/>
    </row>
    <row r="31" spans="3:14" ht="14.4" customHeight="1">
      <c r="C31" s="83" t="s">
        <v>216</v>
      </c>
      <c r="E31" s="238"/>
      <c r="F31" s="256"/>
      <c r="G31" s="257"/>
      <c r="H31" s="256"/>
      <c r="I31" s="256"/>
      <c r="J31" s="256"/>
      <c r="K31" s="256"/>
      <c r="L31" s="256"/>
    </row>
    <row r="32" spans="3:14" ht="14.4" customHeight="1">
      <c r="C32" s="83" t="s">
        <v>217</v>
      </c>
      <c r="E32" s="238"/>
      <c r="F32" s="256"/>
      <c r="G32" s="257"/>
      <c r="H32" s="256"/>
      <c r="I32" s="256"/>
      <c r="J32" s="256"/>
      <c r="K32" s="256"/>
      <c r="L32" s="256"/>
    </row>
    <row r="33" spans="3:14" ht="14.4" customHeight="1">
      <c r="C33" s="83" t="s">
        <v>218</v>
      </c>
      <c r="E33" s="238"/>
      <c r="F33" s="231"/>
      <c r="G33" s="232"/>
      <c r="H33" s="231"/>
      <c r="I33" s="231"/>
      <c r="J33" s="231"/>
      <c r="K33" s="231"/>
      <c r="L33" s="231"/>
    </row>
    <row r="34" spans="3:14" ht="14.4" customHeight="1">
      <c r="C34" s="83" t="s">
        <v>219</v>
      </c>
      <c r="E34" s="238"/>
      <c r="F34" s="256"/>
      <c r="G34" s="257"/>
      <c r="H34" s="256"/>
      <c r="I34" s="256"/>
      <c r="J34" s="256"/>
      <c r="K34" s="256"/>
      <c r="L34" s="256"/>
    </row>
    <row r="35" spans="3:14" ht="14.4" customHeight="1">
      <c r="E35" s="239"/>
      <c r="F35" s="239"/>
      <c r="G35" s="232"/>
      <c r="H35" s="239"/>
      <c r="I35" s="239"/>
      <c r="J35" s="239"/>
      <c r="K35" s="239"/>
      <c r="L35" s="239"/>
    </row>
    <row r="36" spans="3:14" ht="14.4" customHeight="1">
      <c r="C36" s="105" t="s">
        <v>220</v>
      </c>
      <c r="D36" s="105"/>
      <c r="E36" s="240"/>
      <c r="F36" s="241"/>
      <c r="G36" s="242"/>
      <c r="H36" s="241"/>
      <c r="I36" s="241"/>
      <c r="J36" s="241"/>
      <c r="K36" s="241"/>
      <c r="L36" s="241"/>
      <c r="N36" s="258"/>
    </row>
    <row r="37" spans="3:14" ht="14.4" customHeight="1">
      <c r="G37" s="106"/>
    </row>
    <row r="38" spans="3:14" ht="14.4" customHeight="1">
      <c r="C38" s="97" t="s">
        <v>221</v>
      </c>
      <c r="D38" s="97"/>
      <c r="E38" s="344" t="s">
        <v>9</v>
      </c>
      <c r="F38" s="342"/>
      <c r="G38" s="345"/>
      <c r="H38" s="344" t="s">
        <v>10</v>
      </c>
      <c r="I38" s="342"/>
      <c r="J38" s="342"/>
      <c r="K38" s="342"/>
      <c r="L38" s="342"/>
    </row>
    <row r="39" spans="3:14" ht="14.4" customHeight="1">
      <c r="C39" s="97"/>
      <c r="D39" s="97"/>
      <c r="E39" s="99">
        <f>'Financial Statement Model'!D12</f>
        <v>44500</v>
      </c>
      <c r="F39" s="99">
        <f>'Financial Statement Model'!E12</f>
        <v>44865</v>
      </c>
      <c r="G39" s="100">
        <f>'Financial Statement Model'!F12</f>
        <v>45230</v>
      </c>
      <c r="H39" s="99">
        <f>'Financial Statement Model'!G12</f>
        <v>45596</v>
      </c>
      <c r="I39" s="99">
        <f>'Financial Statement Model'!H12</f>
        <v>45961</v>
      </c>
      <c r="J39" s="99">
        <f>'Financial Statement Model'!I12</f>
        <v>46326</v>
      </c>
      <c r="K39" s="99">
        <f>'Financial Statement Model'!J12</f>
        <v>46691</v>
      </c>
      <c r="L39" s="99">
        <f>'Financial Statement Model'!K12</f>
        <v>47057</v>
      </c>
    </row>
    <row r="41" spans="3:14" ht="14.4" customHeight="1">
      <c r="C41" s="83" t="s">
        <v>66</v>
      </c>
      <c r="E41" s="256"/>
      <c r="F41" s="256"/>
      <c r="G41" s="257"/>
      <c r="H41" s="256"/>
      <c r="I41" s="256"/>
      <c r="J41" s="256"/>
      <c r="K41" s="256"/>
      <c r="L41" s="256"/>
    </row>
    <row r="42" spans="3:14" ht="14.4" customHeight="1">
      <c r="C42" s="83" t="s">
        <v>67</v>
      </c>
      <c r="E42" s="256"/>
      <c r="F42" s="256"/>
      <c r="G42" s="257"/>
      <c r="H42" s="256"/>
      <c r="I42" s="256"/>
      <c r="J42" s="256"/>
      <c r="K42" s="256"/>
      <c r="L42" s="256"/>
    </row>
    <row r="43" spans="3:14" ht="14.4" customHeight="1">
      <c r="C43" s="83" t="s">
        <v>68</v>
      </c>
      <c r="E43" s="256"/>
      <c r="F43" s="256"/>
      <c r="G43" s="257"/>
      <c r="H43" s="256"/>
      <c r="I43" s="256"/>
      <c r="J43" s="256"/>
      <c r="K43" s="256"/>
      <c r="L43" s="256"/>
    </row>
    <row r="44" spans="3:14" ht="14.4" customHeight="1">
      <c r="C44" s="103" t="s">
        <v>222</v>
      </c>
      <c r="D44" s="103"/>
      <c r="E44" s="236"/>
      <c r="F44" s="236"/>
      <c r="G44" s="237"/>
      <c r="H44" s="236"/>
      <c r="I44" s="236"/>
      <c r="J44" s="236"/>
      <c r="K44" s="236"/>
      <c r="L44" s="236"/>
    </row>
    <row r="45" spans="3:14" ht="14.4" customHeight="1">
      <c r="E45" s="231"/>
      <c r="F45" s="231"/>
      <c r="G45" s="232"/>
      <c r="H45" s="231"/>
      <c r="I45" s="231"/>
      <c r="J45" s="231"/>
      <c r="K45" s="231"/>
      <c r="L45" s="231"/>
    </row>
    <row r="46" spans="3:14" ht="14.4" customHeight="1">
      <c r="C46" s="83" t="s">
        <v>78</v>
      </c>
      <c r="E46" s="256"/>
      <c r="F46" s="256"/>
      <c r="G46" s="257"/>
      <c r="H46" s="256"/>
      <c r="I46" s="256"/>
      <c r="J46" s="256"/>
      <c r="K46" s="256"/>
      <c r="L46" s="256"/>
    </row>
    <row r="47" spans="3:14" ht="14.4" customHeight="1">
      <c r="C47" s="83" t="s">
        <v>81</v>
      </c>
      <c r="E47" s="256"/>
      <c r="F47" s="256"/>
      <c r="G47" s="257"/>
      <c r="H47" s="256"/>
      <c r="I47" s="256"/>
      <c r="J47" s="256"/>
      <c r="K47" s="256"/>
      <c r="L47" s="256"/>
    </row>
    <row r="48" spans="3:14" ht="14.4" customHeight="1">
      <c r="C48" s="103" t="s">
        <v>223</v>
      </c>
      <c r="D48" s="103"/>
      <c r="E48" s="236"/>
      <c r="F48" s="236"/>
      <c r="G48" s="237"/>
      <c r="H48" s="236"/>
      <c r="I48" s="236"/>
      <c r="J48" s="236"/>
      <c r="K48" s="236"/>
      <c r="L48" s="236"/>
    </row>
    <row r="49" spans="3:16" ht="14.4" customHeight="1">
      <c r="E49" s="231"/>
      <c r="F49" s="231"/>
      <c r="G49" s="232"/>
      <c r="H49" s="231"/>
      <c r="I49" s="231"/>
      <c r="J49" s="231"/>
      <c r="K49" s="231"/>
      <c r="L49" s="231"/>
    </row>
    <row r="50" spans="3:16" ht="14.4" customHeight="1">
      <c r="C50" s="103" t="s">
        <v>224</v>
      </c>
      <c r="D50" s="103"/>
      <c r="E50" s="236"/>
      <c r="F50" s="236"/>
      <c r="G50" s="237"/>
      <c r="H50" s="236"/>
      <c r="I50" s="236"/>
      <c r="J50" s="236"/>
      <c r="K50" s="236"/>
      <c r="L50" s="236"/>
    </row>
    <row r="51" spans="3:16" ht="14.4" customHeight="1">
      <c r="E51" s="231"/>
      <c r="F51" s="231"/>
      <c r="G51" s="232"/>
      <c r="H51" s="231"/>
      <c r="I51" s="231"/>
      <c r="J51" s="231"/>
      <c r="K51" s="231"/>
      <c r="L51" s="231"/>
    </row>
    <row r="52" spans="3:16" ht="14.4" customHeight="1">
      <c r="C52" s="105" t="s">
        <v>225</v>
      </c>
      <c r="D52" s="105"/>
      <c r="E52" s="240"/>
      <c r="F52" s="241"/>
      <c r="G52" s="242"/>
      <c r="H52" s="241"/>
      <c r="I52" s="241"/>
      <c r="J52" s="241"/>
      <c r="K52" s="241"/>
      <c r="L52" s="241"/>
    </row>
    <row r="53" spans="3:16" ht="14.4" customHeight="1">
      <c r="E53" s="239"/>
      <c r="F53" s="239"/>
      <c r="G53" s="239"/>
      <c r="H53" s="239"/>
      <c r="I53" s="239"/>
      <c r="J53" s="239"/>
      <c r="K53" s="239"/>
      <c r="L53" s="239"/>
    </row>
    <row r="54" spans="3:16" ht="14.4" customHeight="1">
      <c r="C54" s="97" t="str">
        <f>"Present Value of UFCFs as of "&amp;TEXT(D7,("mmm dd, yyyy"))</f>
        <v>Present Value of UFCFs as of Apr 12, 2024</v>
      </c>
      <c r="D54" s="97"/>
      <c r="E54" s="98"/>
      <c r="F54" s="98" t="s">
        <v>226</v>
      </c>
      <c r="G54" s="98"/>
      <c r="H54" s="98" t="s">
        <v>227</v>
      </c>
      <c r="I54" s="98" t="s">
        <v>228</v>
      </c>
      <c r="J54" s="98" t="s">
        <v>229</v>
      </c>
      <c r="K54" s="98" t="s">
        <v>230</v>
      </c>
      <c r="L54" s="98" t="s">
        <v>231</v>
      </c>
    </row>
    <row r="55" spans="3:16" ht="14.4" customHeight="1">
      <c r="C55" s="107" t="s">
        <v>232</v>
      </c>
      <c r="D55" s="107"/>
      <c r="E55" s="108"/>
      <c r="F55" s="109"/>
      <c r="G55" s="110"/>
      <c r="H55" s="111"/>
      <c r="I55" s="111"/>
      <c r="J55" s="111"/>
      <c r="K55" s="111"/>
      <c r="L55" s="111"/>
    </row>
    <row r="56" spans="3:16" ht="14.4" customHeight="1">
      <c r="G56" s="112"/>
    </row>
    <row r="57" spans="3:16" ht="14.4" customHeight="1">
      <c r="C57" s="93" t="s">
        <v>233</v>
      </c>
      <c r="D57" s="93"/>
      <c r="E57" s="143"/>
      <c r="F57" s="143"/>
      <c r="G57" s="144"/>
      <c r="H57" s="243"/>
      <c r="I57" s="243"/>
      <c r="J57" s="243"/>
      <c r="K57" s="243"/>
      <c r="L57" s="243"/>
      <c r="P57" s="328" t="s">
        <v>234</v>
      </c>
    </row>
    <row r="58" spans="3:16" ht="14.4" customHeight="1">
      <c r="E58" s="143"/>
      <c r="F58" s="143"/>
      <c r="G58" s="144"/>
      <c r="H58" s="113"/>
      <c r="I58" s="114"/>
      <c r="J58" s="114"/>
      <c r="K58" s="114"/>
      <c r="L58" s="114"/>
      <c r="M58" s="115"/>
    </row>
    <row r="59" spans="3:16" ht="14.4" customHeight="1">
      <c r="C59" s="83" t="s">
        <v>235</v>
      </c>
      <c r="E59" s="145"/>
      <c r="F59" s="145"/>
      <c r="G59" s="146"/>
      <c r="H59" s="236"/>
      <c r="I59" s="236"/>
      <c r="J59" s="236"/>
      <c r="K59" s="236"/>
      <c r="L59" s="236"/>
      <c r="P59" s="83" t="s">
        <v>236</v>
      </c>
    </row>
    <row r="60" spans="3:16" ht="14.4" customHeight="1">
      <c r="E60" s="143"/>
      <c r="F60" s="143"/>
      <c r="G60" s="144"/>
      <c r="H60" s="239"/>
      <c r="I60" s="239"/>
      <c r="J60" s="239"/>
      <c r="K60" s="239"/>
      <c r="L60" s="239"/>
    </row>
    <row r="61" spans="3:16" ht="14.4" customHeight="1">
      <c r="C61" s="105" t="s">
        <v>237</v>
      </c>
      <c r="D61" s="105"/>
      <c r="E61" s="142"/>
      <c r="F61" s="142"/>
      <c r="G61" s="147"/>
      <c r="H61" s="241"/>
      <c r="I61" s="241"/>
      <c r="J61" s="241"/>
      <c r="K61" s="241"/>
      <c r="L61" s="241"/>
    </row>
    <row r="62" spans="3:16" ht="14.4" customHeight="1">
      <c r="C62" s="103"/>
      <c r="D62" s="103"/>
      <c r="E62" s="104"/>
      <c r="F62" s="104"/>
      <c r="G62" s="104"/>
      <c r="H62" s="104"/>
      <c r="I62" s="104"/>
      <c r="J62" s="104"/>
      <c r="K62" s="104"/>
      <c r="L62" s="104"/>
    </row>
    <row r="63" spans="3:16" ht="14.4" customHeight="1">
      <c r="C63" s="97" t="s">
        <v>238</v>
      </c>
      <c r="D63" s="97"/>
    </row>
    <row r="64" spans="3:16" ht="14.4" customHeight="1">
      <c r="C64" s="107"/>
      <c r="D64" s="107"/>
    </row>
    <row r="66" spans="3:14" ht="14.4" customHeight="1">
      <c r="C66" s="328" t="s">
        <v>239</v>
      </c>
      <c r="D66" s="255">
        <v>175044.60399999999</v>
      </c>
    </row>
    <row r="67" spans="3:14" ht="14.4" customHeight="1">
      <c r="C67" s="83" t="s">
        <v>240</v>
      </c>
      <c r="D67" s="255">
        <v>2149</v>
      </c>
    </row>
    <row r="68" spans="3:14" ht="14.4" customHeight="1">
      <c r="C68" s="83" t="s">
        <v>241</v>
      </c>
      <c r="D68" s="255">
        <v>1000</v>
      </c>
    </row>
    <row r="69" spans="3:14" ht="14.4" customHeight="1">
      <c r="C69" s="83" t="s">
        <v>242</v>
      </c>
      <c r="D69" s="255">
        <v>0</v>
      </c>
    </row>
    <row r="70" spans="3:14" ht="14.4" customHeight="1">
      <c r="C70" s="83" t="s">
        <v>243</v>
      </c>
      <c r="D70" s="255">
        <v>0</v>
      </c>
    </row>
    <row r="71" spans="3:14" ht="14.4" customHeight="1">
      <c r="C71" s="105" t="s">
        <v>205</v>
      </c>
      <c r="D71" s="241">
        <f>SUM(D66:D70)</f>
        <v>178193.60399999999</v>
      </c>
      <c r="F71" s="116"/>
    </row>
    <row r="72" spans="3:14" ht="14.4" customHeight="1">
      <c r="C72" s="103"/>
      <c r="D72" s="103"/>
      <c r="E72" s="104"/>
      <c r="F72" s="104"/>
      <c r="G72" s="104"/>
      <c r="H72" s="104"/>
      <c r="I72" s="104"/>
      <c r="J72" s="104"/>
      <c r="K72" s="104"/>
      <c r="L72" s="104"/>
    </row>
    <row r="73" spans="3:14" ht="14.4" customHeight="1">
      <c r="C73" s="97" t="s">
        <v>244</v>
      </c>
      <c r="D73" s="97"/>
      <c r="E73" s="98"/>
      <c r="F73" s="98"/>
      <c r="G73" s="98"/>
      <c r="H73" s="98"/>
      <c r="I73" s="98"/>
      <c r="J73" s="98"/>
      <c r="K73" s="98"/>
      <c r="L73" s="98"/>
    </row>
    <row r="74" spans="3:14" ht="14.4" customHeight="1">
      <c r="C74" s="107"/>
      <c r="D74" s="107"/>
      <c r="E74" s="108"/>
      <c r="F74" s="108"/>
      <c r="G74" s="108"/>
      <c r="H74" s="108"/>
      <c r="I74" s="108"/>
      <c r="J74" s="108"/>
      <c r="K74" s="108"/>
      <c r="L74" s="108"/>
    </row>
    <row r="76" spans="3:14" ht="14.4" customHeight="1">
      <c r="C76" s="117" t="s">
        <v>245</v>
      </c>
      <c r="D76" s="118"/>
      <c r="E76" s="118"/>
      <c r="G76" s="119"/>
      <c r="H76" s="117" t="s">
        <v>246</v>
      </c>
      <c r="I76" s="118"/>
      <c r="J76" s="118"/>
      <c r="K76" s="118"/>
      <c r="L76" s="118"/>
    </row>
    <row r="77" spans="3:14" ht="14.4" customHeight="1">
      <c r="C77" s="119"/>
      <c r="D77" s="119"/>
      <c r="E77" s="119"/>
      <c r="G77" s="119"/>
      <c r="H77" s="119"/>
      <c r="I77" s="119"/>
      <c r="J77" s="119"/>
      <c r="K77" s="119"/>
      <c r="L77" s="119"/>
    </row>
    <row r="78" spans="3:14" ht="14.4" customHeight="1">
      <c r="C78" s="120" t="s">
        <v>247</v>
      </c>
      <c r="D78" s="121"/>
      <c r="E78" s="263">
        <v>22</v>
      </c>
      <c r="G78" s="119"/>
      <c r="H78" s="120" t="s">
        <v>248</v>
      </c>
      <c r="I78" s="119"/>
      <c r="J78" s="119"/>
      <c r="K78" s="119"/>
      <c r="L78" s="264">
        <v>0.06</v>
      </c>
    </row>
    <row r="79" spans="3:14" ht="14.4" customHeight="1">
      <c r="C79" s="101"/>
      <c r="G79" s="119"/>
      <c r="N79" s="122"/>
    </row>
    <row r="80" spans="3:14" ht="14.4" customHeight="1">
      <c r="C80" s="120" t="s">
        <v>249</v>
      </c>
      <c r="D80" s="121"/>
      <c r="E80" s="231"/>
      <c r="G80" s="119"/>
      <c r="H80" s="120" t="s">
        <v>249</v>
      </c>
      <c r="I80" s="119"/>
      <c r="J80" s="119"/>
      <c r="K80" s="119"/>
      <c r="L80" s="231"/>
    </row>
    <row r="81" spans="3:14" ht="14.4" customHeight="1">
      <c r="C81" s="120" t="s">
        <v>250</v>
      </c>
      <c r="D81" s="121"/>
      <c r="E81" s="244"/>
      <c r="G81" s="74"/>
      <c r="H81" s="120" t="s">
        <v>251</v>
      </c>
      <c r="I81" s="119"/>
      <c r="J81" s="119"/>
      <c r="K81" s="119"/>
      <c r="L81" s="250"/>
    </row>
    <row r="82" spans="3:14" ht="14.4" customHeight="1">
      <c r="C82" s="121"/>
      <c r="D82" s="121"/>
      <c r="E82" s="121"/>
      <c r="G82" s="119"/>
      <c r="H82" s="119"/>
      <c r="I82" s="119"/>
      <c r="J82" s="119"/>
      <c r="K82" s="119"/>
      <c r="L82" s="121"/>
    </row>
    <row r="83" spans="3:14" ht="14.4" customHeight="1">
      <c r="C83" s="123" t="s">
        <v>252</v>
      </c>
      <c r="D83" s="121"/>
      <c r="E83" s="245"/>
      <c r="G83" s="119"/>
      <c r="H83" s="123" t="s">
        <v>252</v>
      </c>
      <c r="I83" s="119"/>
      <c r="J83" s="119"/>
      <c r="K83" s="119"/>
      <c r="L83" s="245"/>
    </row>
    <row r="84" spans="3:14" ht="14.4" customHeight="1">
      <c r="C84" s="124" t="s">
        <v>253</v>
      </c>
      <c r="D84" s="125"/>
      <c r="E84" s="246"/>
      <c r="G84" s="119"/>
      <c r="H84" s="124" t="s">
        <v>253</v>
      </c>
      <c r="I84" s="126"/>
      <c r="J84" s="126"/>
      <c r="K84" s="126"/>
      <c r="L84" s="246"/>
    </row>
    <row r="85" spans="3:14" ht="14.4" customHeight="1">
      <c r="C85" s="127" t="s">
        <v>254</v>
      </c>
      <c r="D85" s="128"/>
      <c r="E85" s="247"/>
      <c r="F85" s="129"/>
      <c r="G85" s="119"/>
      <c r="H85" s="127" t="s">
        <v>254</v>
      </c>
      <c r="I85" s="130"/>
      <c r="J85" s="130"/>
      <c r="K85" s="130"/>
      <c r="L85" s="247"/>
      <c r="N85" s="103"/>
    </row>
    <row r="86" spans="3:14" ht="14.4" customHeight="1">
      <c r="C86" s="121"/>
      <c r="D86" s="121"/>
      <c r="E86" s="121"/>
      <c r="G86" s="119"/>
      <c r="H86" s="119"/>
      <c r="I86" s="119"/>
      <c r="J86" s="119"/>
      <c r="K86" s="119"/>
      <c r="L86" s="119"/>
    </row>
    <row r="87" spans="3:14" ht="14.4" customHeight="1">
      <c r="C87" s="131" t="s">
        <v>255</v>
      </c>
      <c r="D87" s="121"/>
      <c r="E87" s="244"/>
      <c r="G87" s="119"/>
      <c r="H87" s="131" t="s">
        <v>255</v>
      </c>
      <c r="I87" s="119"/>
      <c r="J87" s="119"/>
      <c r="K87" s="119"/>
      <c r="L87" s="244"/>
    </row>
    <row r="88" spans="3:14" ht="14.4" customHeight="1">
      <c r="C88" s="121"/>
      <c r="D88" s="121"/>
      <c r="E88" s="121"/>
      <c r="G88" s="119"/>
      <c r="H88" s="119"/>
      <c r="I88" s="119"/>
      <c r="J88" s="119"/>
      <c r="K88" s="119"/>
      <c r="L88" s="119"/>
    </row>
    <row r="89" spans="3:14" ht="14.4" customHeight="1">
      <c r="C89" s="123" t="s">
        <v>256</v>
      </c>
      <c r="D89" s="121"/>
      <c r="E89" s="256"/>
      <c r="G89" s="119"/>
      <c r="H89" s="123" t="s">
        <v>256</v>
      </c>
      <c r="I89" s="119"/>
      <c r="J89" s="119"/>
      <c r="K89" s="119"/>
      <c r="L89" s="231"/>
    </row>
    <row r="90" spans="3:14" ht="14.4" customHeight="1">
      <c r="C90" s="123" t="s">
        <v>257</v>
      </c>
      <c r="D90" s="121"/>
      <c r="E90" s="256"/>
      <c r="G90" s="119"/>
      <c r="H90" s="123" t="s">
        <v>257</v>
      </c>
      <c r="L90" s="245"/>
    </row>
    <row r="91" spans="3:14" ht="14.4" customHeight="1">
      <c r="C91" s="123" t="s">
        <v>258</v>
      </c>
      <c r="D91" s="121"/>
      <c r="E91" s="255"/>
      <c r="G91" s="119"/>
      <c r="H91" s="123" t="s">
        <v>258</v>
      </c>
      <c r="L91" s="231"/>
    </row>
    <row r="92" spans="3:14" ht="14.4" customHeight="1">
      <c r="C92" s="123" t="s">
        <v>259</v>
      </c>
      <c r="D92" s="121"/>
      <c r="E92" s="256"/>
      <c r="G92" s="119"/>
      <c r="H92" s="123" t="s">
        <v>259</v>
      </c>
      <c r="L92" s="245"/>
    </row>
    <row r="93" spans="3:14" ht="14.4" customHeight="1">
      <c r="C93" s="132" t="s">
        <v>260</v>
      </c>
      <c r="D93" s="133"/>
      <c r="E93" s="248"/>
      <c r="F93" s="103"/>
      <c r="G93" s="119"/>
      <c r="H93" s="132" t="s">
        <v>260</v>
      </c>
      <c r="I93" s="134"/>
      <c r="J93" s="134"/>
      <c r="K93" s="134"/>
      <c r="L93" s="248"/>
      <c r="N93" s="103"/>
    </row>
    <row r="94" spans="3:14" ht="14.4" customHeight="1">
      <c r="C94" s="121"/>
      <c r="D94" s="121"/>
      <c r="E94" s="121"/>
      <c r="G94" s="119"/>
      <c r="H94" s="119"/>
      <c r="I94" s="119"/>
      <c r="J94" s="119"/>
      <c r="K94" s="119"/>
      <c r="L94" s="119"/>
    </row>
    <row r="95" spans="3:14" ht="14.4" customHeight="1">
      <c r="C95" s="135" t="s">
        <v>261</v>
      </c>
      <c r="D95" s="136"/>
      <c r="E95" s="137"/>
      <c r="H95" s="135" t="s">
        <v>261</v>
      </c>
      <c r="I95" s="136"/>
      <c r="J95" s="136"/>
      <c r="K95" s="136"/>
      <c r="L95" s="137"/>
    </row>
    <row r="96" spans="3:14" ht="14.4" customHeight="1">
      <c r="C96" s="138" t="s">
        <v>262</v>
      </c>
      <c r="D96" s="139"/>
      <c r="E96" s="249"/>
      <c r="F96" s="116"/>
      <c r="H96" s="138" t="s">
        <v>262</v>
      </c>
      <c r="I96" s="139"/>
      <c r="J96" s="139"/>
      <c r="K96" s="139"/>
      <c r="L96" s="249"/>
      <c r="M96" s="116"/>
    </row>
    <row r="98" spans="3:20" ht="14.4" customHeight="1">
      <c r="C98" s="117" t="s">
        <v>263</v>
      </c>
      <c r="D98" s="118"/>
      <c r="E98" s="118"/>
      <c r="H98" s="117" t="s">
        <v>263</v>
      </c>
      <c r="I98" s="118"/>
      <c r="J98" s="118"/>
      <c r="K98" s="117"/>
      <c r="L98" s="118"/>
    </row>
    <row r="99" spans="3:20" ht="14.4" customHeight="1">
      <c r="C99" s="93" t="s">
        <v>264</v>
      </c>
      <c r="E99" s="250"/>
      <c r="H99" s="93" t="s">
        <v>264</v>
      </c>
      <c r="L99" s="250"/>
    </row>
    <row r="100" spans="3:20" ht="14.4" customHeight="1">
      <c r="C100" s="93" t="s">
        <v>265</v>
      </c>
      <c r="E100" s="250"/>
      <c r="H100" s="93" t="s">
        <v>265</v>
      </c>
      <c r="L100" s="250"/>
    </row>
    <row r="101" spans="3:20" ht="14.4" customHeight="1">
      <c r="C101" s="93" t="s">
        <v>266</v>
      </c>
      <c r="E101" s="250"/>
      <c r="H101" s="93" t="s">
        <v>266</v>
      </c>
      <c r="L101" s="250"/>
    </row>
    <row r="103" spans="3:20" ht="14.4" customHeight="1">
      <c r="C103" s="97" t="s">
        <v>267</v>
      </c>
      <c r="D103" s="97"/>
      <c r="E103" s="98"/>
      <c r="F103" s="98"/>
      <c r="G103" s="98"/>
      <c r="H103" s="98"/>
      <c r="I103" s="98"/>
      <c r="J103" s="98"/>
      <c r="K103" s="98"/>
      <c r="L103" s="98"/>
    </row>
    <row r="104" spans="3:20" ht="14.4" customHeight="1">
      <c r="C104" s="107"/>
      <c r="D104" s="107"/>
      <c r="E104" s="108"/>
      <c r="F104" s="108"/>
      <c r="G104" s="108"/>
      <c r="H104" s="108"/>
      <c r="I104" s="108"/>
      <c r="J104" s="108"/>
      <c r="K104" s="108"/>
      <c r="L104" s="108"/>
    </row>
    <row r="106" spans="3:20" ht="14.4" customHeight="1">
      <c r="C106" s="103"/>
      <c r="D106" s="140"/>
      <c r="E106" s="341" t="s">
        <v>295</v>
      </c>
      <c r="F106" s="342"/>
      <c r="G106" s="342"/>
      <c r="H106" s="342"/>
      <c r="I106" s="342"/>
      <c r="J106" s="342"/>
      <c r="K106" s="342"/>
      <c r="L106" s="342"/>
    </row>
    <row r="107" spans="3:20" ht="14.4" customHeight="1">
      <c r="C107" s="103"/>
      <c r="D107" s="343" t="s">
        <v>206</v>
      </c>
      <c r="E107" s="141"/>
      <c r="F107" s="253"/>
      <c r="G107" s="253"/>
      <c r="H107" s="253"/>
      <c r="I107" s="253"/>
      <c r="J107" s="253"/>
      <c r="K107" s="253"/>
      <c r="L107" s="253"/>
      <c r="N107" s="148"/>
      <c r="O107" s="148"/>
      <c r="P107" s="340" t="s">
        <v>268</v>
      </c>
      <c r="Q107" s="340"/>
      <c r="R107" s="340"/>
      <c r="S107" s="340"/>
      <c r="T107" s="340"/>
    </row>
    <row r="108" spans="3:20" ht="14.4" customHeight="1">
      <c r="D108" s="342"/>
      <c r="E108" s="251"/>
      <c r="F108" s="254"/>
      <c r="G108" s="254"/>
      <c r="H108" s="254"/>
      <c r="I108" s="254"/>
      <c r="J108" s="254"/>
      <c r="K108" s="254"/>
      <c r="L108" s="254"/>
      <c r="N108" s="148"/>
      <c r="O108" s="148"/>
      <c r="P108" s="340"/>
      <c r="Q108" s="340"/>
      <c r="R108" s="340"/>
      <c r="S108" s="340"/>
      <c r="T108" s="340"/>
    </row>
    <row r="109" spans="3:20" ht="14.4" customHeight="1">
      <c r="D109" s="342"/>
      <c r="E109" s="251"/>
      <c r="F109" s="254"/>
      <c r="G109" s="254"/>
      <c r="H109" s="254"/>
      <c r="I109" s="254"/>
      <c r="J109" s="254"/>
      <c r="K109" s="254"/>
      <c r="L109" s="254"/>
      <c r="N109" s="148"/>
      <c r="O109" s="148"/>
      <c r="P109" s="340"/>
      <c r="Q109" s="340"/>
      <c r="R109" s="340"/>
      <c r="S109" s="340"/>
      <c r="T109" s="340"/>
    </row>
    <row r="110" spans="3:20" ht="14.4" customHeight="1">
      <c r="D110" s="342"/>
      <c r="E110" s="251"/>
      <c r="F110" s="254"/>
      <c r="G110" s="254"/>
      <c r="H110" s="254"/>
      <c r="I110" s="254"/>
      <c r="J110" s="254"/>
      <c r="K110" s="254"/>
      <c r="L110" s="254"/>
      <c r="N110" s="148"/>
      <c r="O110" s="148"/>
      <c r="P110" s="340"/>
      <c r="Q110" s="340"/>
      <c r="R110" s="340"/>
      <c r="S110" s="340"/>
      <c r="T110" s="340"/>
    </row>
    <row r="111" spans="3:20" ht="14.4" customHeight="1">
      <c r="D111" s="342"/>
      <c r="E111" s="251"/>
      <c r="F111" s="254"/>
      <c r="G111" s="254"/>
      <c r="H111" s="254"/>
      <c r="I111" s="254"/>
      <c r="J111" s="254"/>
      <c r="K111" s="254"/>
      <c r="L111" s="254"/>
      <c r="N111" s="148"/>
      <c r="O111" s="148"/>
      <c r="P111" s="340"/>
      <c r="Q111" s="340"/>
      <c r="R111" s="340"/>
      <c r="S111" s="340"/>
      <c r="T111" s="340"/>
    </row>
    <row r="112" spans="3:20" ht="14.4" customHeight="1">
      <c r="D112" s="342"/>
      <c r="E112" s="251"/>
      <c r="F112" s="254"/>
      <c r="G112" s="254"/>
      <c r="H112" s="254"/>
      <c r="I112" s="254"/>
      <c r="J112" s="254"/>
      <c r="K112" s="254"/>
      <c r="L112" s="254"/>
      <c r="N112" s="148"/>
      <c r="O112" s="148"/>
      <c r="P112" s="340"/>
      <c r="Q112" s="340"/>
      <c r="R112" s="340"/>
      <c r="S112" s="340"/>
      <c r="T112" s="340"/>
    </row>
    <row r="113" spans="4:20" ht="14.4" customHeight="1">
      <c r="D113" s="342"/>
      <c r="E113" s="251"/>
      <c r="F113" s="254"/>
      <c r="G113" s="254"/>
      <c r="H113" s="254"/>
      <c r="I113" s="254"/>
      <c r="J113" s="254"/>
      <c r="K113" s="254"/>
      <c r="L113" s="254"/>
      <c r="N113" s="148"/>
      <c r="O113" s="148"/>
      <c r="P113" s="340"/>
      <c r="Q113" s="340"/>
      <c r="R113" s="340"/>
      <c r="S113" s="340"/>
      <c r="T113" s="340"/>
    </row>
    <row r="114" spans="4:20" ht="14.4" customHeight="1">
      <c r="D114" s="342"/>
      <c r="E114" s="251"/>
      <c r="F114" s="254"/>
      <c r="G114" s="254"/>
      <c r="H114" s="254"/>
      <c r="I114" s="254"/>
      <c r="J114" s="254"/>
      <c r="K114" s="254"/>
      <c r="L114" s="254"/>
      <c r="N114" s="148"/>
      <c r="O114" s="148"/>
      <c r="P114" s="340"/>
      <c r="Q114" s="340"/>
      <c r="R114" s="340"/>
      <c r="S114" s="340"/>
      <c r="T114" s="340"/>
    </row>
    <row r="116" spans="4:20" ht="14.4" customHeight="1">
      <c r="D116" s="140"/>
      <c r="E116" s="341" t="s">
        <v>248</v>
      </c>
      <c r="F116" s="342"/>
      <c r="G116" s="342"/>
      <c r="H116" s="342"/>
      <c r="I116" s="342"/>
      <c r="J116" s="342"/>
      <c r="K116" s="342"/>
      <c r="L116" s="342"/>
    </row>
    <row r="117" spans="4:20" ht="14.4" customHeight="1">
      <c r="D117" s="343" t="s">
        <v>206</v>
      </c>
      <c r="E117" s="141"/>
      <c r="F117" s="252"/>
      <c r="G117" s="252"/>
      <c r="H117" s="252"/>
      <c r="I117" s="252"/>
      <c r="J117" s="252"/>
      <c r="K117" s="252"/>
      <c r="L117" s="252"/>
    </row>
    <row r="118" spans="4:20" ht="14.4" customHeight="1">
      <c r="D118" s="342"/>
      <c r="E118" s="251"/>
      <c r="F118" s="254"/>
      <c r="G118" s="254"/>
      <c r="H118" s="254"/>
      <c r="I118" s="254"/>
      <c r="J118" s="254"/>
      <c r="K118" s="254"/>
      <c r="L118" s="254"/>
    </row>
    <row r="119" spans="4:20" ht="14.4" customHeight="1">
      <c r="D119" s="342"/>
      <c r="E119" s="251"/>
      <c r="F119" s="254"/>
      <c r="G119" s="254"/>
      <c r="H119" s="254"/>
      <c r="I119" s="254"/>
      <c r="J119" s="254"/>
      <c r="K119" s="254"/>
      <c r="L119" s="254"/>
    </row>
    <row r="120" spans="4:20" ht="14.4" customHeight="1">
      <c r="D120" s="342"/>
      <c r="E120" s="251"/>
      <c r="F120" s="254"/>
      <c r="G120" s="254"/>
      <c r="H120" s="254"/>
      <c r="I120" s="254"/>
      <c r="J120" s="254"/>
      <c r="K120" s="254"/>
      <c r="L120" s="254"/>
    </row>
    <row r="121" spans="4:20" ht="14.4" customHeight="1">
      <c r="D121" s="342"/>
      <c r="E121" s="251"/>
      <c r="F121" s="254"/>
      <c r="G121" s="254"/>
      <c r="H121" s="254"/>
      <c r="I121" s="254"/>
      <c r="J121" s="254"/>
      <c r="K121" s="254"/>
      <c r="L121" s="254"/>
    </row>
    <row r="122" spans="4:20" ht="14.4" customHeight="1">
      <c r="D122" s="342"/>
      <c r="E122" s="251"/>
      <c r="F122" s="254"/>
      <c r="G122" s="254"/>
      <c r="H122" s="254"/>
      <c r="I122" s="254"/>
      <c r="J122" s="254"/>
      <c r="K122" s="254"/>
      <c r="L122" s="254"/>
    </row>
    <row r="123" spans="4:20" ht="14.4" customHeight="1">
      <c r="D123" s="342"/>
      <c r="E123" s="251"/>
      <c r="F123" s="254"/>
      <c r="G123" s="254"/>
      <c r="H123" s="254"/>
      <c r="I123" s="254"/>
      <c r="J123" s="254"/>
      <c r="K123" s="254"/>
      <c r="L123" s="254"/>
    </row>
    <row r="124" spans="4:20" ht="14.4" customHeight="1">
      <c r="D124" s="342"/>
      <c r="E124" s="251"/>
      <c r="F124" s="254"/>
      <c r="G124" s="254"/>
      <c r="H124" s="254"/>
      <c r="I124" s="254"/>
      <c r="J124" s="254"/>
      <c r="K124" s="254"/>
      <c r="L124" s="254"/>
    </row>
  </sheetData>
  <mergeCells count="9">
    <mergeCell ref="P107:T114"/>
    <mergeCell ref="E116:L116"/>
    <mergeCell ref="D117:D124"/>
    <mergeCell ref="E11:G11"/>
    <mergeCell ref="H11:L11"/>
    <mergeCell ref="E38:G38"/>
    <mergeCell ref="H38:L38"/>
    <mergeCell ref="E106:L106"/>
    <mergeCell ref="D107:D114"/>
  </mergeCells>
  <conditionalFormatting sqref="F108:L1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" priority="3" operator="equal">
      <formula>$E$107</formula>
    </cfRule>
  </conditionalFormatting>
  <conditionalFormatting sqref="F118:L1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4" operator="equal">
      <formula>$E$117</formula>
    </cfRule>
  </conditionalFormatting>
  <dataValidations count="1">
    <dataValidation type="list" allowBlank="1" showErrorMessage="1" sqref="J8" xr:uid="{AA91FED2-0F85-4A64-A39A-0D783D54CB62}">
      <formula1>"0,1"</formula1>
    </dataValidation>
  </dataValidations>
  <pageMargins left="0.7" right="0.7" top="0.75" bottom="0.75" header="0" footer="0"/>
  <pageSetup orientation="portrait"/>
  <rowBreaks count="2" manualBreakCount="2">
    <brk id="62" man="1"/>
    <brk id="10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2779-9C84-4E18-B6EF-05F0BEDA1CD8}">
  <sheetPr>
    <pageSetUpPr fitToPage="1"/>
  </sheetPr>
  <dimension ref="C2:N52"/>
  <sheetViews>
    <sheetView showGridLines="0" zoomScale="85" zoomScaleNormal="85" workbookViewId="0"/>
  </sheetViews>
  <sheetFormatPr defaultColWidth="14.44140625" defaultRowHeight="14.4" customHeight="1"/>
  <cols>
    <col min="1" max="1" width="1.6640625" style="30" customWidth="1"/>
    <col min="2" max="2" width="2.6640625" style="30" customWidth="1"/>
    <col min="3" max="3" width="45.6640625" style="30" customWidth="1"/>
    <col min="4" max="12" width="12.5546875" style="30" bestFit="1" customWidth="1"/>
    <col min="13" max="13" width="2.6640625" style="30" customWidth="1"/>
    <col min="14" max="26" width="8.6640625" style="30" customWidth="1"/>
    <col min="27" max="16384" width="14.44140625" style="30"/>
  </cols>
  <sheetData>
    <row r="2" spans="3:14" ht="18" customHeight="1">
      <c r="C2" s="31" t="str">
        <f>"WACC Build For "&amp;D5</f>
        <v>WACC Build For Keysight Technologies, Inc.</v>
      </c>
      <c r="D2" s="31"/>
      <c r="E2" s="32"/>
      <c r="F2" s="32"/>
      <c r="G2" s="32"/>
      <c r="H2" s="32"/>
      <c r="I2" s="32"/>
      <c r="J2" s="32"/>
      <c r="K2" s="32"/>
      <c r="L2" s="32"/>
    </row>
    <row r="3" spans="3:14" ht="14.4" customHeight="1" thickBot="1">
      <c r="C3" s="33" t="s">
        <v>31</v>
      </c>
      <c r="D3" s="33"/>
      <c r="E3" s="34"/>
      <c r="F3" s="34"/>
      <c r="G3" s="34"/>
      <c r="H3" s="34"/>
      <c r="I3" s="34"/>
      <c r="J3" s="86" t="s">
        <v>203</v>
      </c>
      <c r="K3" s="34"/>
      <c r="L3" s="34"/>
    </row>
    <row r="4" spans="3:14" ht="14.4" customHeight="1">
      <c r="C4" s="35"/>
      <c r="D4" s="35"/>
      <c r="J4" s="87"/>
    </row>
    <row r="5" spans="3:14" ht="14.4" customHeight="1">
      <c r="C5" s="36" t="s">
        <v>1</v>
      </c>
      <c r="D5" s="80" t="str">
        <f>'Revenue Build &amp; Growth Drivers'!D5</f>
        <v>Keysight Technologies, Inc.</v>
      </c>
      <c r="G5" s="36" t="s">
        <v>204</v>
      </c>
      <c r="J5" s="297">
        <f>+'Integrated DCF Model'!D66</f>
        <v>175044.60399999999</v>
      </c>
    </row>
    <row r="6" spans="3:14" ht="14.4" customHeight="1">
      <c r="C6" s="36" t="s">
        <v>3</v>
      </c>
      <c r="D6" s="81" t="str">
        <f>'Revenue Build &amp; Growth Drivers'!D6</f>
        <v>KEYS</v>
      </c>
      <c r="G6" s="36" t="s">
        <v>205</v>
      </c>
      <c r="J6" s="297">
        <f>+'Integrated DCF Model'!D71</f>
        <v>178193.60399999999</v>
      </c>
    </row>
    <row r="7" spans="3:14" ht="14.4" customHeight="1">
      <c r="C7" s="36" t="s">
        <v>5</v>
      </c>
      <c r="D7" s="82">
        <f>'Revenue Build &amp; Growth Drivers'!D7</f>
        <v>45394</v>
      </c>
      <c r="G7" s="36"/>
      <c r="J7" s="51"/>
    </row>
    <row r="8" spans="3:14" ht="14.4" customHeight="1">
      <c r="C8" s="36" t="s">
        <v>6</v>
      </c>
      <c r="D8" s="82">
        <f>'Revenue Build &amp; Growth Drivers'!D8</f>
        <v>45393</v>
      </c>
      <c r="G8" s="36"/>
      <c r="H8" s="36"/>
      <c r="I8" s="36"/>
    </row>
    <row r="9" spans="3:14" ht="14.4" customHeight="1">
      <c r="C9" s="36" t="s">
        <v>7</v>
      </c>
      <c r="D9" s="260">
        <f>'Revenue Build &amp; Growth Drivers'!D9</f>
        <v>160.13999999999999</v>
      </c>
    </row>
    <row r="11" spans="3:14" ht="14.4" customHeight="1">
      <c r="C11" s="40" t="s">
        <v>269</v>
      </c>
      <c r="D11" s="40"/>
      <c r="F11" s="40" t="s">
        <v>270</v>
      </c>
      <c r="G11" s="71"/>
      <c r="H11" s="71"/>
      <c r="I11" s="71"/>
      <c r="J11" s="71"/>
      <c r="K11" s="71"/>
      <c r="L11" s="71"/>
    </row>
    <row r="12" spans="3:14" ht="14.4" customHeight="1">
      <c r="C12" s="71"/>
      <c r="D12" s="71"/>
      <c r="F12" s="71"/>
      <c r="G12" s="71"/>
      <c r="H12" s="71"/>
      <c r="I12" s="71"/>
      <c r="J12" s="71"/>
      <c r="K12" s="71"/>
      <c r="L12" s="71"/>
    </row>
    <row r="14" spans="3:14" ht="14.4" customHeight="1">
      <c r="C14" s="30" t="s">
        <v>271</v>
      </c>
      <c r="D14" s="269"/>
      <c r="F14" s="72" t="str">
        <f>D5&amp;" ("&amp;D6&amp;")"</f>
        <v>Keysight Technologies, Inc. (KEYS)</v>
      </c>
      <c r="G14" s="73"/>
      <c r="H14" s="73"/>
      <c r="J14" s="72" t="s">
        <v>272</v>
      </c>
      <c r="K14" s="73"/>
      <c r="L14" s="73"/>
      <c r="N14" s="329" t="s">
        <v>273</v>
      </c>
    </row>
    <row r="15" spans="3:14" ht="14.4" customHeight="1">
      <c r="C15" s="329" t="s">
        <v>274</v>
      </c>
      <c r="D15" s="269"/>
      <c r="F15" s="78" t="s">
        <v>275</v>
      </c>
      <c r="G15" s="78" t="s">
        <v>276</v>
      </c>
      <c r="H15" s="78" t="s">
        <v>277</v>
      </c>
      <c r="J15" s="78" t="s">
        <v>275</v>
      </c>
      <c r="K15" s="78" t="s">
        <v>276</v>
      </c>
      <c r="L15" s="78" t="s">
        <v>277</v>
      </c>
      <c r="N15" s="329"/>
    </row>
    <row r="16" spans="3:14" ht="14.4" customHeight="1">
      <c r="C16" s="43" t="s">
        <v>278</v>
      </c>
      <c r="D16" s="211"/>
      <c r="F16" s="265">
        <v>44317</v>
      </c>
      <c r="G16" s="266">
        <v>142.38000500000001</v>
      </c>
      <c r="H16" s="275"/>
      <c r="J16" s="265">
        <v>44317</v>
      </c>
      <c r="K16" s="266">
        <v>4204.1098629999997</v>
      </c>
      <c r="L16" s="275"/>
    </row>
    <row r="17" spans="3:14" ht="14.4" customHeight="1">
      <c r="D17" s="270"/>
      <c r="F17" s="265">
        <v>44348</v>
      </c>
      <c r="G17" s="266">
        <v>154.41000399999999</v>
      </c>
      <c r="H17" s="267">
        <f>+G17/G16-1</f>
        <v>8.4492193970634899E-2</v>
      </c>
      <c r="J17" s="265">
        <v>44348</v>
      </c>
      <c r="K17" s="266">
        <v>4297.5</v>
      </c>
      <c r="L17" s="267">
        <f>+K17/K16-1</f>
        <v>2.2214009634219822E-2</v>
      </c>
    </row>
    <row r="18" spans="3:14" ht="14.4" customHeight="1">
      <c r="C18" s="36" t="s">
        <v>164</v>
      </c>
      <c r="D18" s="269"/>
      <c r="F18" s="265">
        <v>44378</v>
      </c>
      <c r="G18" s="266">
        <v>164.550003</v>
      </c>
      <c r="H18" s="267">
        <f t="shared" ref="H18:H51" si="0">+G18/G17-1</f>
        <v>6.566931375767604E-2</v>
      </c>
      <c r="J18" s="265">
        <v>44378</v>
      </c>
      <c r="K18" s="266">
        <v>4395.2597660000001</v>
      </c>
      <c r="L18" s="267">
        <f t="shared" ref="L18:L51" si="1">+K18/K17-1</f>
        <v>2.2748054915648686E-2</v>
      </c>
      <c r="N18" s="329"/>
    </row>
    <row r="19" spans="3:14" ht="14.4" customHeight="1">
      <c r="C19" s="30" t="s">
        <v>279</v>
      </c>
      <c r="D19" s="269"/>
      <c r="F19" s="265">
        <v>44409</v>
      </c>
      <c r="G19" s="266">
        <v>179.38000500000001</v>
      </c>
      <c r="H19" s="267">
        <f t="shared" si="0"/>
        <v>9.0124592705112194E-2</v>
      </c>
      <c r="J19" s="265">
        <v>44409</v>
      </c>
      <c r="K19" s="266">
        <v>4522.6801759999998</v>
      </c>
      <c r="L19" s="267">
        <f t="shared" si="1"/>
        <v>2.8990416217415271E-2</v>
      </c>
      <c r="N19" s="329"/>
    </row>
    <row r="20" spans="3:14" ht="14.4" customHeight="1">
      <c r="C20" s="30" t="s">
        <v>280</v>
      </c>
      <c r="D20" s="269"/>
      <c r="F20" s="265">
        <v>44440</v>
      </c>
      <c r="G20" s="266">
        <v>164.28999300000001</v>
      </c>
      <c r="H20" s="267">
        <f t="shared" si="0"/>
        <v>-8.4123155197815991E-2</v>
      </c>
      <c r="J20" s="265">
        <v>44440</v>
      </c>
      <c r="K20" s="266">
        <v>4307.5400390000004</v>
      </c>
      <c r="L20" s="267">
        <f t="shared" si="1"/>
        <v>-4.7569168861786748E-2</v>
      </c>
      <c r="N20" s="329"/>
    </row>
    <row r="21" spans="3:14" ht="14.4" customHeight="1">
      <c r="C21" s="43" t="s">
        <v>281</v>
      </c>
      <c r="D21" s="211"/>
      <c r="F21" s="265">
        <v>44470</v>
      </c>
      <c r="G21" s="266">
        <v>180.020004</v>
      </c>
      <c r="H21" s="267">
        <f t="shared" si="0"/>
        <v>9.5745399416993004E-2</v>
      </c>
      <c r="J21" s="265">
        <v>44470</v>
      </c>
      <c r="K21" s="266">
        <v>4605.3798829999996</v>
      </c>
      <c r="L21" s="267">
        <f t="shared" si="1"/>
        <v>6.9143836459647501E-2</v>
      </c>
    </row>
    <row r="22" spans="3:14" ht="14.4" customHeight="1">
      <c r="F22" s="265">
        <v>44501</v>
      </c>
      <c r="G22" s="266">
        <v>194.479996</v>
      </c>
      <c r="H22" s="267">
        <f t="shared" si="0"/>
        <v>8.0324362174772457E-2</v>
      </c>
      <c r="J22" s="265">
        <v>44501</v>
      </c>
      <c r="K22" s="266">
        <v>4567</v>
      </c>
      <c r="L22" s="267">
        <f t="shared" si="1"/>
        <v>-8.3337062251199745E-3</v>
      </c>
    </row>
    <row r="23" spans="3:14" ht="14.4" customHeight="1">
      <c r="C23" s="36" t="s">
        <v>282</v>
      </c>
      <c r="D23" s="271"/>
      <c r="F23" s="265">
        <v>44531</v>
      </c>
      <c r="G23" s="266">
        <v>206.509995</v>
      </c>
      <c r="H23" s="267">
        <f t="shared" si="0"/>
        <v>6.1857256517014791E-2</v>
      </c>
      <c r="J23" s="265">
        <v>44531</v>
      </c>
      <c r="K23" s="266">
        <v>4766.1801759999998</v>
      </c>
      <c r="L23" s="267">
        <f t="shared" si="1"/>
        <v>4.361291350996277E-2</v>
      </c>
    </row>
    <row r="24" spans="3:14" ht="14.4" customHeight="1">
      <c r="C24" s="36" t="s">
        <v>62</v>
      </c>
      <c r="D24" s="272"/>
      <c r="F24" s="265">
        <v>44562</v>
      </c>
      <c r="G24" s="266">
        <v>168.820007</v>
      </c>
      <c r="H24" s="267">
        <f t="shared" si="0"/>
        <v>-0.1825092678928204</v>
      </c>
      <c r="J24" s="265">
        <v>44562</v>
      </c>
      <c r="K24" s="266">
        <v>4515.5498049999997</v>
      </c>
      <c r="L24" s="267">
        <f t="shared" si="1"/>
        <v>-5.258516500531063E-2</v>
      </c>
      <c r="N24" s="329" t="s">
        <v>283</v>
      </c>
    </row>
    <row r="25" spans="3:14" ht="14.4" customHeight="1">
      <c r="F25" s="265">
        <v>44593</v>
      </c>
      <c r="G25" s="266">
        <v>157.36999499999999</v>
      </c>
      <c r="H25" s="267">
        <f t="shared" si="0"/>
        <v>-6.7823785838369344E-2</v>
      </c>
      <c r="J25" s="265">
        <v>44593</v>
      </c>
      <c r="K25" s="266">
        <v>4373.9399409999996</v>
      </c>
      <c r="L25" s="267">
        <f t="shared" si="1"/>
        <v>-3.1360492102910142E-2</v>
      </c>
    </row>
    <row r="26" spans="3:14" ht="14.4" customHeight="1">
      <c r="C26" s="79" t="s">
        <v>284</v>
      </c>
      <c r="D26" s="273"/>
      <c r="F26" s="265">
        <v>44621</v>
      </c>
      <c r="G26" s="266">
        <v>157.970001</v>
      </c>
      <c r="H26" s="267">
        <f t="shared" si="0"/>
        <v>3.8127090237247696E-3</v>
      </c>
      <c r="J26" s="265">
        <v>44621</v>
      </c>
      <c r="K26" s="266">
        <v>4530.4101559999999</v>
      </c>
      <c r="L26" s="267">
        <f t="shared" si="1"/>
        <v>3.5773288410591908E-2</v>
      </c>
    </row>
    <row r="27" spans="3:14" ht="14.4" customHeight="1">
      <c r="F27" s="265">
        <v>44652</v>
      </c>
      <c r="G27" s="266">
        <v>140.270004</v>
      </c>
      <c r="H27" s="267">
        <f t="shared" si="0"/>
        <v>-0.11204657142465924</v>
      </c>
      <c r="J27" s="265">
        <v>44652</v>
      </c>
      <c r="K27" s="266">
        <v>4131.9301759999998</v>
      </c>
      <c r="L27" s="267">
        <f t="shared" si="1"/>
        <v>-8.7956711705729274E-2</v>
      </c>
    </row>
    <row r="28" spans="3:14" ht="14.4" customHeight="1">
      <c r="C28" s="40" t="s">
        <v>285</v>
      </c>
      <c r="D28" s="40"/>
      <c r="F28" s="265">
        <v>44682</v>
      </c>
      <c r="G28" s="266">
        <v>145.60000600000001</v>
      </c>
      <c r="H28" s="267">
        <f t="shared" si="0"/>
        <v>3.799815960652575E-2</v>
      </c>
      <c r="J28" s="265">
        <v>44682</v>
      </c>
      <c r="K28" s="266">
        <v>4132.1499020000001</v>
      </c>
      <c r="L28" s="267">
        <f t="shared" si="1"/>
        <v>5.3177568506868056E-5</v>
      </c>
    </row>
    <row r="29" spans="3:14" ht="14.4" customHeight="1">
      <c r="C29" s="71"/>
      <c r="D29" s="71"/>
      <c r="F29" s="265">
        <v>44713</v>
      </c>
      <c r="G29" s="266">
        <v>137.85000600000001</v>
      </c>
      <c r="H29" s="267">
        <f t="shared" si="0"/>
        <v>-5.3228019784559599E-2</v>
      </c>
      <c r="J29" s="265">
        <v>44713</v>
      </c>
      <c r="K29" s="266">
        <v>3785.3798830000001</v>
      </c>
      <c r="L29" s="267">
        <f t="shared" si="1"/>
        <v>-8.3919999812243073E-2</v>
      </c>
    </row>
    <row r="30" spans="3:14" ht="14.4" customHeight="1">
      <c r="F30" s="265">
        <v>44743</v>
      </c>
      <c r="G30" s="266">
        <v>162.60000600000001</v>
      </c>
      <c r="H30" s="267">
        <f t="shared" si="0"/>
        <v>0.17954297368692163</v>
      </c>
      <c r="J30" s="265">
        <v>44743</v>
      </c>
      <c r="K30" s="266">
        <v>4130.2900390000004</v>
      </c>
      <c r="L30" s="267">
        <f t="shared" si="1"/>
        <v>9.1116391659653351E-2</v>
      </c>
    </row>
    <row r="31" spans="3:14" ht="14.4" customHeight="1">
      <c r="C31" s="36" t="s">
        <v>286</v>
      </c>
      <c r="D31" s="294">
        <v>5.5E-2</v>
      </c>
      <c r="F31" s="265">
        <v>44774</v>
      </c>
      <c r="G31" s="266">
        <v>163.88999899999999</v>
      </c>
      <c r="H31" s="267">
        <f t="shared" si="0"/>
        <v>7.9335359926122617E-3</v>
      </c>
      <c r="J31" s="265">
        <v>44774</v>
      </c>
      <c r="K31" s="266">
        <v>3955</v>
      </c>
      <c r="L31" s="267">
        <f t="shared" si="1"/>
        <v>-4.2440128258508625E-2</v>
      </c>
    </row>
    <row r="32" spans="3:14" ht="14.4" customHeight="1">
      <c r="C32" s="36" t="s">
        <v>287</v>
      </c>
      <c r="D32" s="294">
        <v>4.5600000000000002E-2</v>
      </c>
      <c r="F32" s="265">
        <v>44805</v>
      </c>
      <c r="G32" s="266">
        <v>157.36000100000001</v>
      </c>
      <c r="H32" s="267">
        <f t="shared" si="0"/>
        <v>-3.9843785708974067E-2</v>
      </c>
      <c r="J32" s="265">
        <v>44805</v>
      </c>
      <c r="K32" s="266">
        <v>3585.6201169999999</v>
      </c>
      <c r="L32" s="267">
        <f t="shared" si="1"/>
        <v>-9.3395672060682666E-2</v>
      </c>
    </row>
    <row r="33" spans="3:14" ht="14.4" customHeight="1">
      <c r="C33" s="36" t="s">
        <v>288</v>
      </c>
      <c r="D33" s="274">
        <f>+L52</f>
        <v>1.1969956037075207</v>
      </c>
      <c r="F33" s="265">
        <v>44835</v>
      </c>
      <c r="G33" s="266">
        <v>174.14999399999999</v>
      </c>
      <c r="H33" s="267">
        <f t="shared" si="0"/>
        <v>0.10669797212316978</v>
      </c>
      <c r="J33" s="265">
        <v>44835</v>
      </c>
      <c r="K33" s="266">
        <v>3871.9799800000001</v>
      </c>
      <c r="L33" s="267">
        <f t="shared" si="1"/>
        <v>7.9863413762746971E-2</v>
      </c>
    </row>
    <row r="34" spans="3:14" ht="14.4" customHeight="1">
      <c r="F34" s="265">
        <v>44866</v>
      </c>
      <c r="G34" s="266">
        <v>180.88999899999999</v>
      </c>
      <c r="H34" s="267">
        <f t="shared" si="0"/>
        <v>3.8702298203926455E-2</v>
      </c>
      <c r="J34" s="265">
        <v>44866</v>
      </c>
      <c r="K34" s="266">
        <v>4080.110107</v>
      </c>
      <c r="L34" s="267">
        <f t="shared" si="1"/>
        <v>5.3752893371106669E-2</v>
      </c>
    </row>
    <row r="35" spans="3:14" ht="14.4" customHeight="1">
      <c r="C35" s="79" t="s">
        <v>289</v>
      </c>
      <c r="D35" s="273">
        <f>+D32+D33*D31</f>
        <v>0.11143475820391364</v>
      </c>
      <c r="F35" s="265">
        <v>44896</v>
      </c>
      <c r="G35" s="266">
        <v>171.070007</v>
      </c>
      <c r="H35" s="267">
        <f t="shared" si="0"/>
        <v>-5.428709190274239E-2</v>
      </c>
      <c r="J35" s="265">
        <v>44896</v>
      </c>
      <c r="K35" s="266">
        <v>3839.5</v>
      </c>
      <c r="L35" s="267">
        <f t="shared" si="1"/>
        <v>-5.8971473977430078E-2</v>
      </c>
    </row>
    <row r="36" spans="3:14" ht="14.4" customHeight="1">
      <c r="F36" s="265">
        <v>44927</v>
      </c>
      <c r="G36" s="266">
        <v>179.35000600000001</v>
      </c>
      <c r="H36" s="267">
        <f t="shared" si="0"/>
        <v>4.8401231432696479E-2</v>
      </c>
      <c r="J36" s="265">
        <v>44927</v>
      </c>
      <c r="K36" s="266">
        <v>4076.6000979999999</v>
      </c>
      <c r="L36" s="267">
        <f t="shared" si="1"/>
        <v>6.1752857924208815E-2</v>
      </c>
    </row>
    <row r="37" spans="3:14" ht="14.4" customHeight="1">
      <c r="C37" s="40" t="s">
        <v>290</v>
      </c>
      <c r="D37" s="40"/>
      <c r="F37" s="265">
        <v>44958</v>
      </c>
      <c r="G37" s="266">
        <v>159.96000699999999</v>
      </c>
      <c r="H37" s="267">
        <f t="shared" si="0"/>
        <v>-0.10811261974532649</v>
      </c>
      <c r="J37" s="265">
        <v>44958</v>
      </c>
      <c r="K37" s="266">
        <v>3970.1499020000001</v>
      </c>
      <c r="L37" s="267">
        <f t="shared" si="1"/>
        <v>-2.6112494098262107E-2</v>
      </c>
    </row>
    <row r="38" spans="3:14" ht="14.4" customHeight="1">
      <c r="C38" s="71"/>
      <c r="D38" s="71"/>
      <c r="F38" s="265">
        <v>44986</v>
      </c>
      <c r="G38" s="266">
        <v>161.479996</v>
      </c>
      <c r="H38" s="267">
        <f t="shared" si="0"/>
        <v>9.502306410876793E-3</v>
      </c>
      <c r="J38" s="265">
        <v>44986</v>
      </c>
      <c r="K38" s="266">
        <v>4109.3100590000004</v>
      </c>
      <c r="L38" s="267">
        <f t="shared" si="1"/>
        <v>3.5051612769053664E-2</v>
      </c>
    </row>
    <row r="39" spans="3:14" ht="14.4" customHeight="1">
      <c r="F39" s="265">
        <v>45017</v>
      </c>
      <c r="G39" s="266">
        <v>144.63999899999999</v>
      </c>
      <c r="H39" s="267">
        <f t="shared" si="0"/>
        <v>-0.10428534442123727</v>
      </c>
      <c r="J39" s="265">
        <v>45017</v>
      </c>
      <c r="K39" s="266">
        <v>4169.4799800000001</v>
      </c>
      <c r="L39" s="267">
        <f t="shared" si="1"/>
        <v>1.4642341448102281E-2</v>
      </c>
    </row>
    <row r="40" spans="3:14" ht="14.4" customHeight="1">
      <c r="C40" s="30" t="s">
        <v>281</v>
      </c>
      <c r="D40" s="269"/>
      <c r="F40" s="265">
        <v>45047</v>
      </c>
      <c r="G40" s="266">
        <v>161.800003</v>
      </c>
      <c r="H40" s="267">
        <f t="shared" si="0"/>
        <v>0.11863940900608005</v>
      </c>
      <c r="J40" s="265">
        <v>45047</v>
      </c>
      <c r="K40" s="266">
        <v>4179.830078</v>
      </c>
      <c r="L40" s="267">
        <f t="shared" si="1"/>
        <v>2.4823474509163557E-3</v>
      </c>
      <c r="N40" s="329"/>
    </row>
    <row r="41" spans="3:14" ht="14.4" customHeight="1">
      <c r="C41" s="36" t="s">
        <v>291</v>
      </c>
      <c r="D41" s="271"/>
      <c r="F41" s="265">
        <v>45078</v>
      </c>
      <c r="G41" s="266">
        <v>167.449997</v>
      </c>
      <c r="H41" s="267">
        <f t="shared" si="0"/>
        <v>3.4919616163418654E-2</v>
      </c>
      <c r="J41" s="265">
        <v>45078</v>
      </c>
      <c r="K41" s="266">
        <v>4450.3798829999996</v>
      </c>
      <c r="L41" s="267">
        <f t="shared" si="1"/>
        <v>6.4727464980933958E-2</v>
      </c>
    </row>
    <row r="42" spans="3:14" ht="14.4" customHeight="1">
      <c r="C42" s="30" t="s">
        <v>292</v>
      </c>
      <c r="D42" s="210"/>
      <c r="F42" s="265">
        <v>45108</v>
      </c>
      <c r="G42" s="266">
        <v>161.08000200000001</v>
      </c>
      <c r="H42" s="267">
        <f t="shared" si="0"/>
        <v>-3.8041177152126182E-2</v>
      </c>
      <c r="J42" s="265">
        <v>45108</v>
      </c>
      <c r="K42" s="266">
        <v>4588.9599609999996</v>
      </c>
      <c r="L42" s="267">
        <f t="shared" si="1"/>
        <v>3.113893232561149E-2</v>
      </c>
    </row>
    <row r="43" spans="3:14" ht="14.4" customHeight="1">
      <c r="C43" s="36" t="s">
        <v>291</v>
      </c>
      <c r="D43" s="271"/>
      <c r="F43" s="265">
        <v>45139</v>
      </c>
      <c r="G43" s="266">
        <v>133.300003</v>
      </c>
      <c r="H43" s="267">
        <f t="shared" si="0"/>
        <v>-0.17246088064985254</v>
      </c>
      <c r="J43" s="265">
        <v>45139</v>
      </c>
      <c r="K43" s="266">
        <v>4507.6601559999999</v>
      </c>
      <c r="L43" s="267">
        <f t="shared" si="1"/>
        <v>-1.7716390138710958E-2</v>
      </c>
    </row>
    <row r="44" spans="3:14" ht="14.4" customHeight="1">
      <c r="D44" s="70"/>
      <c r="F44" s="265">
        <v>45170</v>
      </c>
      <c r="G44" s="266">
        <v>132.30999800000001</v>
      </c>
      <c r="H44" s="267">
        <f t="shared" si="0"/>
        <v>-7.4268940564089503E-3</v>
      </c>
      <c r="J44" s="265">
        <v>45170</v>
      </c>
      <c r="K44" s="266">
        <v>4288.0498049999997</v>
      </c>
      <c r="L44" s="267">
        <f t="shared" si="1"/>
        <v>-4.8719367343539433E-2</v>
      </c>
    </row>
    <row r="45" spans="3:14" ht="14.4" customHeight="1">
      <c r="C45" s="79" t="s">
        <v>293</v>
      </c>
      <c r="D45" s="273"/>
      <c r="F45" s="265">
        <v>45200</v>
      </c>
      <c r="G45" s="266">
        <v>122.050003</v>
      </c>
      <c r="H45" s="267">
        <f t="shared" si="0"/>
        <v>-7.7545122478197004E-2</v>
      </c>
      <c r="J45" s="265">
        <v>45200</v>
      </c>
      <c r="K45" s="266">
        <v>4193.7998049999997</v>
      </c>
      <c r="L45" s="267">
        <f t="shared" si="1"/>
        <v>-2.1979688736381231E-2</v>
      </c>
    </row>
    <row r="46" spans="3:14" ht="14.4" customHeight="1">
      <c r="F46" s="265">
        <v>45231</v>
      </c>
      <c r="G46" s="266">
        <v>135.88999899999999</v>
      </c>
      <c r="H46" s="267">
        <f t="shared" si="0"/>
        <v>0.11339611355847312</v>
      </c>
      <c r="J46" s="265">
        <v>45231</v>
      </c>
      <c r="K46" s="266">
        <v>4567.7998049999997</v>
      </c>
      <c r="L46" s="267">
        <f t="shared" si="1"/>
        <v>8.9179268775324783E-2</v>
      </c>
    </row>
    <row r="47" spans="3:14" ht="14.4" customHeight="1">
      <c r="F47" s="265">
        <v>45261</v>
      </c>
      <c r="G47" s="266">
        <v>159.08999600000001</v>
      </c>
      <c r="H47" s="267">
        <f t="shared" si="0"/>
        <v>0.1707263019407339</v>
      </c>
      <c r="J47" s="265">
        <v>45261</v>
      </c>
      <c r="K47" s="266">
        <v>4769.830078</v>
      </c>
      <c r="L47" s="267">
        <f t="shared" si="1"/>
        <v>4.4229231057555163E-2</v>
      </c>
    </row>
    <row r="48" spans="3:14" ht="14.4" customHeight="1">
      <c r="F48" s="265">
        <v>45292</v>
      </c>
      <c r="G48" s="266">
        <v>153.259995</v>
      </c>
      <c r="H48" s="267">
        <f t="shared" si="0"/>
        <v>-3.6645930898131507E-2</v>
      </c>
      <c r="J48" s="265">
        <v>45292</v>
      </c>
      <c r="K48" s="266">
        <v>4845.6499020000001</v>
      </c>
      <c r="L48" s="267">
        <f t="shared" si="1"/>
        <v>1.5895707553547078E-2</v>
      </c>
    </row>
    <row r="49" spans="6:12" ht="14.4" customHeight="1">
      <c r="F49" s="265">
        <v>45323</v>
      </c>
      <c r="G49" s="266">
        <v>154.300003</v>
      </c>
      <c r="H49" s="267">
        <f t="shared" si="0"/>
        <v>6.7859065244000316E-3</v>
      </c>
      <c r="J49" s="265">
        <v>45323</v>
      </c>
      <c r="K49" s="266">
        <v>5096.2700199999999</v>
      </c>
      <c r="L49" s="267">
        <f t="shared" si="1"/>
        <v>5.1720640795068329E-2</v>
      </c>
    </row>
    <row r="50" spans="6:12" ht="14.4" customHeight="1">
      <c r="F50" s="265">
        <v>45352</v>
      </c>
      <c r="G50" s="266">
        <v>156.38000500000001</v>
      </c>
      <c r="H50" s="267">
        <f t="shared" si="0"/>
        <v>1.3480246011401631E-2</v>
      </c>
      <c r="J50" s="265">
        <v>45352</v>
      </c>
      <c r="K50" s="266">
        <v>5254.3500979999999</v>
      </c>
      <c r="L50" s="267">
        <f t="shared" si="1"/>
        <v>3.1018779887961978E-2</v>
      </c>
    </row>
    <row r="51" spans="6:12" ht="14.4" customHeight="1">
      <c r="F51" s="265">
        <v>45383</v>
      </c>
      <c r="G51" s="266">
        <v>147.94000199999999</v>
      </c>
      <c r="H51" s="267">
        <f t="shared" si="0"/>
        <v>-5.3971113506487089E-2</v>
      </c>
      <c r="J51" s="265">
        <v>45383</v>
      </c>
      <c r="K51" s="266">
        <v>5035.6899409999996</v>
      </c>
      <c r="L51" s="267">
        <f t="shared" si="1"/>
        <v>-4.1615071877915133E-2</v>
      </c>
    </row>
    <row r="52" spans="6:12" ht="14.4" customHeight="1">
      <c r="F52" s="84"/>
      <c r="G52" s="84"/>
      <c r="H52" s="84"/>
      <c r="I52" s="84"/>
      <c r="J52" s="84"/>
      <c r="K52" s="85" t="s">
        <v>294</v>
      </c>
      <c r="L52" s="268">
        <f>+SLOPE(H17:H51,L17:L51)</f>
        <v>1.1969956037075207</v>
      </c>
    </row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AF14EF786EB4E802C5062DBE61414" ma:contentTypeVersion="3" ma:contentTypeDescription="Create a new document." ma:contentTypeScope="" ma:versionID="0dda64a207fdb4b7736dfdf5870d1692">
  <xsd:schema xmlns:xsd="http://www.w3.org/2001/XMLSchema" xmlns:xs="http://www.w3.org/2001/XMLSchema" xmlns:p="http://schemas.microsoft.com/office/2006/metadata/properties" xmlns:ns2="41c67050-7972-4591-ac00-42caa329804c" targetNamespace="http://schemas.microsoft.com/office/2006/metadata/properties" ma:root="true" ma:fieldsID="bfb5b47c9361e9c88839163a693bef6e" ns2:_="">
    <xsd:import namespace="41c67050-7972-4591-ac00-42caa32980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67050-7972-4591-ac00-42caa3298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FdsFormulaCache xmlns="urn:fdsformulacache" version="1" timestamp="1774985313092"><![CDATA[{"CDNS^FF_SALES(ANN_R,12/31/2021,,,,,T)":[[2988244]],"CDNS^FF_SALES(ANN_R,12/31/2022,,,,,T)":[[3561718]],"CDNS^FF_SALES(ANN_R,12/31/2023,,,,,T)":[[4089986]],"CDNS-US^FF_COGS(ANN_R,12/31/2021,,,,,T)":[[326646]],"CDNS-US^FF_COGS(ANN_R,12/31/2022,,,,,T)":[[390093]],"CDNS-US^FF_COGS(ANN_R,12/31/2023,,,,,T)":[[453203]],"CDNS-US^FF_GROSS_INC(ANN_R,12/31/2021,,,,,T)":[[2661598]],"CDNS-US^FF_GROSS_INC(ANN_R,12/31/2022,,,,,T)":[[3171625]],"CDNS-US^FF_GROSS_INC(ANN_R,12/31/2023,,,,,T)":[[3636783]],"CDNS-US^FF_RD_EXP(ANN_R,12/31/2021,,,,,T)":[[1134277]],"CDNS-US^FF_RD_EXP(ANN_R,12/31/2022,,,,,T)":[[1251544]],"CDNS-US^FF_RD_EXP(ANN_R,12/31/2023,,,,,T)":[[1441796]],"CDNS-US^FF_SGA(ANN_R,12/31/2021,,,,,T)":[[1883557]],"CDNS-US^FF_SGA(ANN_R,12/31/2022,,,,,T)":[[2097884]],"CDNS-US^FF_SGA(ANN_R,12/31/2023,,,,,T)":[[2362445]],"CDNS-US^FF_ARPT_SERIES(\"RV\",ANN,12/31/2021,,M,\"IS\")":[[2988.244]],"CDNS-US^FF_OPER_EXP_OTH(ANN_R,12/31/2021,,,,,T)":[[0]],"CDNS-US^FF_OPER_EXP_OTH(ANN_R,12/31/2022,,,,,T)":[[0]],"CDNS-US^FF_OPER_EXP_OTH(ANN_R,12/31/2023,,,,,T)":[[0]],"CDNS-US^FF_EBIT_OPER(ANN_R,12/31/2021,,,,,T)":[[778041]],"CDNS-US^FF_EBIT_OPER(ANN_R,12/31/2022,,,,,T)":[[1073741]],"CDNS-US^FF_EBIT_OPER(ANN_R,12/31/2023,,,,,T)":[[1274338]],"CDNS-US^FF_INT_EXP_NET(ANN_R,12/31/2021,,,,,T)":[[16980]],"CDNS-US^FF_INT_EXP_NET(ANN_R,12/31/2022,,,,,T)":[[22934]],"CDNS-US^FF_INT_EXP_NET(ANN_R,12/31/2023,,,,,T)":[[36185]],"CDNS-US^FF_NON_OPER_INC(ANN_R,12/31/2021,,,,,T)":[[6326]],"CDNS-US^FF_NON_OPER_INC(ANN_R,12/31/2022,,,,,T)":[[-5389]],"CDNS-US^FF_NON_OPER_INC(ANN_R,12/31/2023,,,,,T)":[[56035]],"CDNS-US^FF_UNUSUAL_EXP(ANN_R,12/31/2021,,,,,T)":[[-1048]],"CDNS-US^FF_UNUSUAL_EXP(ANN_R,12/31/2022,,,,,T)":[[55]],"CDNS-US^FF_UNUSUAL_EXP(ANN_R,12/31/2023,,,,,T)":[[12262]],"CDNS-US^FF_PTX_INC(ANN_R,12/31/2021,,,,,T)":[[768435]],"CDNS-US^FF_PTX_INC(ANN_R,12/31/2022,,,,,T)":[[1045363]],"CDNS-US^FF_PTX_INC(ANN_R,12/31/2023,,,,,T)":[[1281926]],"CDNS-US^FF_INC_TAX(ANN_R,12/31/2021,,,,,T)":[[72480]],"CDNS-US^FF_INC_TAX(ANN_R,12/31/2022,,,,,T)":[[196411]],"CDNS-US^FF_INC_TAX(ANN_R,12/31/2023,,,,,T)":[[240782]],"CDNS-US^FF_EQ_AFF_INC(ANN_R,12/31/2021)":[["@NA"]],"CDNS-US^FF_EQ_AFF_INC(ANN_R,12/31/2022)":[["@NA"]],"CDNS-US^FF_EQ_AFF_INC(ANN_R,12/31/2023)":[["@NA"]],"CDNS-US^FF_NET_INC(ANN_R,12/31/2021,,,,,T)":[[695955]],"CDNS-US^FF_NET_INC(ANN_R,12/31/2022,,,,,T)":[[848952]],"CDNS-US^FF_NET_INC(ANN_R,12/31/2023,,,,,T)":[[1041144]],"CDNS-US^FF_NET_INC_BASIC(ANN_R,12/31/2021,,,,,T)":[[695955]],"CDNS-US^FF_NET_INC_BASIC(ANN_R,12/31/2022,,,,,T)":[[848952]],"CDNS-US^FF_NET_INC_BASIC(ANN_R,12/31/2023,,,,,T)":[[1041144]],"CDNS-US^FF_DEP_AMORT_EXP(ANN_R,12/31/2021,,,,,T)":[[142308]],"CDNS-US^FF_DEP_AMORT_EXP(ANN_R,12/31/2022,,,,,T)":[[132088]],"CDNS-US^FF_DEP_AMORT_EXP(ANN_R,12/31/2023,,,,,T)":[[140370]],"CDNS-US^FF_EBITDA_OPER(ANN_R,12/31/2021,,,,,T)":[[920349]],"CDNS-US^FF_EBITDA_OPER(ANN_R,12/31/2022,,,,,T)":[[1205829]],"CDNS-US^FF_EBITDA_OPER(ANN_R,12/31/2023,,,,,T)":[[1414708]],"CDNS-US^FF_STK_OPT_CF(ANN_R,12/31/2021,,,,,T,\"D=1\")":[[210090]],"CDNS-US^FF_STK_OPT_CF(ANN_R,12/31/2022,,,,,T,\"D=1\")":[[270439]],"CDNS-US^FF_STK_OPT_CF(ANN_R,12/31/2023,,,,,T,\"D=1\")":[[325611]],"CDNS-US^FF_CASH_ST(ANN_R,12/31/2021,,,,,T)":[[1088940]],"CDNS-US^FF_CASH_ST(ANN_R,12/31/2022,,,,,T)":[[882325]],"CDNS-US^FF_CASH_ST(ANN_R,12/31/2023,,,,,T)":[[1138511]],"CDNS-US^FF_ARPT_SERIES(\"RECEIVABLES NET\",ANN,12/31/2021,,T,\"BS\")":[[337596]],"CDNS-US^FF_ARPT_SERIES(\"RECEIVABLES NET\",ANN,12/31/2022,,T,\"BS\")":[[486710]],"CDNS-US^FF_ARPT_SERIES(\"RECEIVABLES NET\",ANN,12/31/2023,,T,\"BS\")":[[489224]],"CDNS-US^FF_ARPT_KEYS(\"BS\")":[["TA"],["TOTAL CURRENT ASSETS"],["CASH AND CASH EQUIVALENTS"],["RECEIVABLES NET"],["INVENTORIES"],["2015 NOTES HEDGES"],["PREPAID EXPENSES AND OTHER"],["SHORT-TERM INVESTMENTS"],["PREPAID EXPENSES AND OTHER EXCLUDING SHORT-TERM INVESTMENTS"],["PROPERTY PLANT AND EQUIPMENT NET OF ACCUMULATED DEPRECIATION"],["GOODWILL"],["ACQUIRED INTANGIBLES NET OF ACCUMULATED AMORTIZATION"],["LONG-TERM RECEIVABLES"],["DEFERRED TAXES"],["OTHER ASSETS"],["2015 NOTES HEDGES2"],["OTHER ASSETS EXCLUDING 2015 NOTES HEDGES"],["LE"],["TOTAL CURRENT LIABILITIES"],["REVOLVING CREDIT FACILITY"],["CONVERTIBLE NOTES"],["CURRENT PORTION OF LONG-TERM DEBT"],["2015 NOTES EMBEDDED CONVERSION DERIVATIVE"],["ACCOUNTS PAYABLE AND ACCRUED LIABILITIES"],["CURRENT PORTION OF DEFERRED REVENUE"],["TOTAL LONG-TERM LIABILITIES"],["LONG-TERM PORTION OF DEFERRED REVENUE"],["CONVERTIBLE NOTES2"],["LONG-TERM DEBT"],["OTHER LONG-TERM LIABILITIES"],["2015 NOTES EMBEDDED CONVERSION DERIVATIVE2"],["OTHER LONG-TERM LIABILITIES EXCLUDING 2015 NOTES EMBEDDED CONVERSION DERIVATIVE"],["TOTAL STOCKHOLDERS EQUITY"],["PREFERRED STOCK"],["COMMON STOCK"],["TREASURY STOCK AT COST"],["DEFERRED STOCK COMPENSATION"],["ACCUMULATED DEFICIT / RETAINED EARNINGS"],["ACCUMULATED OTHER COMPREHENSIVE LOSS / INCOME"]],"CDNS-US^FF_ARPT_SERIES(\"PREPAID EXPENSES AND OTHER\",ANN,12/31/2021,,T,\"BS\")":[[173512]],"CDNS-US^FF_ARPT_SERIES(\"PREPAID EXPENSES AND OTHER\",ANN,12/31/2022,,T,\"BS\")":[[209727]],"CDNS-US^FF_ARPT_SERIES(\"PREPAID EXPENSES AND OTHER\",ANN,12/31/2023,,T,\"BS\")":[[297180]],"CDNS-US^FF_INVEN(ANN_R,12/31/2021,,,,,T)":[[115721]],"CDNS-US^FF_INVEN(ANN_R,12/31/2022,,,,,T)":[[128005]],"CDNS-US^FF_INVEN(ANN_R,12/31/2023,,,,,T)":[[181661]],"CDNS-US^FF_GW(ANN_R,12/31/2021,,,,,T)":[[928358]],"CDNS-US^FF_GW(ANN_R,12/31/2022,,,,,T)":[[1374268]],"CDNS-US^FF_GW(ANN_R,12/31/2023,,,,,T)":[[1535845]],"CDNS-US^FF_ARPT_SERIES(\"PROPERTY PLANT AND EQUIPMENT NET OF ACCUMULATED DEPRECIATION\",ANN,12/31/2021,,T,\"BS\")":[[305911]],"CDNS-US^FF_ARPT_SERIES(\"PROPERTY PLANT AND EQUIPMENT NET OF ACCUMULATED DEPRECIATION\",ANN,12/31/2022,,T,\"BS\")":[[371451]],"CDNS-US^FF_ARPT_SERIES(\"PROPERTY PLANT AND EQUIPMENT NET OF ACCUMULATED DEPRECIATION\",ANN,12/31/2023,,T,\"BS\")":[[403213]],"CDNS-US^FF_ARPT_SERIES(\"OTHER ASSETS\",ANN,12/31/2021,,T,\"BS\")":[[439226]],"CDNS-US^FF_ASSETS(ANN_R,12/31/2021,,,,,T)":[[4386299]],"CDNS-US^FF_ARPT_SERIES(\"ACQUIRED INTANGIBLES NET OF ACCUMULATED AMORTIZATION\",ANN,12/31/2021,,T,\"BS\")":[[233265]],"CDNS-US^FF_ARPT_SERIES(\"DEFERRED TAXES\",ANN,12/31/2021,,T,\"BS\")":[[763770]],"CDNS-US^FF_ARPT_SERIES(\"OTHER ASSETS\",ANN,12/31/2022,,T,\"BS\")":[[476277]],"CDNS-US^FF_ARPT_SERIES(\"ACQUIRED INTANGIBLES NET OF ACCUMULATED AMORTIZATION\",ANN,12/31/2022,,T,\"BS\")":[[354617]],"CDNS-US^FF_ARPT_SERIES(\"DEFERRED TAXES\",ANN,12/31/2022,,T,\"BS\")":[[853691]],"CDNS-US^FF_ARPT_SERIES(\"OTHER ASSETS\",ANN,12/31/2023,,T,\"BS\")":[[537372]],"CDNS-US^FF_ARPT_SERIES(\"ACQUIRED INTANGIBLES NET OF ACCUMULATED AMORTIZATION\",ANN,12/31/2023,,T,\"BS\")":[[336843]],"CDNS-US^FF_ARPT_SERIES(\"DEFERRED TAXES\",ANN,12/31/2023,,T,\"BS\")":[[880001]],"CDNS-US^FF_ASSETS(ANN_R,12/31/2022,,,,,T)":[[5137071]],"CDNS-US^FF_ASSETS(ANN_R,12/31/2023,,,,,T)":[[5669491]],"CDNS-US^FF_DEBT_REVOLV_SECURE_CURR(ANN,12/31/2021)":[["@NA"]],"CDNS-US^SHORT-FF_DEBT_REVOLV_SECURE_CURR(ANN,12/31/2021)":[["@NA"]],"CDNS-US^FF_DEBT_REVOLV_SECURE_CURR(ANN,12/31/2022)":[["@NA"]],"CDNS-US^SHORT-FF_DEBT_REVOLV_SECURE_CURR(ANN,12/31/2022)":[["@NA"]],"CDNS-US^FF_ARPT_SERIES(\"REVOLVING CREDIT FACILITY\",ANN,12/31/2021,,T,\"BS\")":[["@NA"]],"CDNS-US^FF_ARPT_SERIES(\"REVOLVING CREDIT FACILITY\",ANN,12/31/2022,,T,\"BS\")":[[100000]],"CDNS-US^FF_ARPT_SERIES(\"REVOLVING CREDIT FACILITY\",ANN,12/31/2023,,T,\"BS\")":[[0]],"CDNS-US^FF_PAY_ACCT(ANN_R,12/31/2021,,,,,T)":[[0]],"CDNS-US^FF_ARPT_SERIES(\"ACCOUNTS PAYABLE AND ACCRUED LIABILITIES\",ANN,12/31/2021,,T,\"BS\")":[[417283]],"CDNS-US^FF_ARPT_SERIES(\"ACCOUNTS PAYABLE AND ACCRUED LIABILITIES\",ANN,12/31/2023,,T,\"BS\")":[[576558]],"CDNS-US^FF_ARPT_SERIES(\"ACCOUNTS PAYABLE AND ACCRUED LIABILITIES\",ANN,12/31/2022,,T,\"BS\")":[[557158]],"CDNS-US^FE_ACTUAL(ACTUAL,DEFREVENUE_ST,ANN_ROLL,2021,,,,'')":[[604.45]],"CDNS-US^FF_ARPT_SERIES(\"CURRENT PORTION OF DEFERRED REVENUE\",ANN,12/31/2021,,T,\"BS\")":[[553942]],"CDNS-US^FF_ARPT_SERIES(\"CURRENT PORTION OF DEFERRED REVENUE\",ANN,12/31/2022,,T,\"BS\")":[[690538]],"CDNS-US^FF_ARPT_SERIES(\"CURRENT PORTION OF DEFERRED REVENUE\",ANN,12/31/2023,,T,\"BS\")":[[665024]],"CDNS-US^FF_ARPT_SERIES(\"CURRENT PORTION OF LONG-TERM DEBT\",ANN,12/31/2021,,T,\"BS\")":[["@NA"]],"CDNS-US^FF_ARPT_SERIES(\"CURRENT PORTION OF LONG-TERM DEBT\",ANN,12/31/2022,,T,\"BS\")":[["@NA"]],"CDNS-US^FF_ARPT_SERIES(\"CURRENT PORTION OF LONG-TERM DEBT\",ANN,12/31/2023,,T,\"BS\")":[[349285]],"CDNS-US^FF_ARPT_SERIES(\"OTHER LONG-TERM LIABILITIES\",ANN,12/31/2021,,T,\"BS\")":[[225663]],"CDNS-US^FF_ARPT_SERIES(\"OTHER LONG-TERM LIABILITIES\",ANN,12/31/2022,,T,\"BS\")":[[304660]],"CDNS-US^FF_ARPT_SERIES(\"OTHER LONG-TERM LIABILITIES\",ANN,12/31/2023,,T,\"BS\")":[[275651]],"CDNS-US^FF_LIABS_CURR_OTH(ANN_R,12/31/2021)":[[945.954]],"CDNS-US^FF_LIABS_CURR_OTH(ANN_R,12/31/2021,,,,,T)":[[945954]],"CDNS-US^FF_ARPT_SERIES(\"LONG-TERM PORTION OF DEFERRED REVENUE\",ANN,12/31/2023,,T,\"BS\")":[[98931]],"CDNS-US^FF_ARPT_SERIES(\"LONG-TERM PORTION OF DEFERRED REVENUE\",ANN,12/31/2021,,T,\"BS\")":[[101148]],"CDNS-US^FF_ARPT_SERIES(\"LONG-TERM PORTION OF DEFERRED REVENUE\",ANN,12/31/2022,,T,\"BS\")":[[91524]],"CDNS-US^FF_ARPT_SERIES(\"LONG-TERM DEBT\",ANN,12/31/2021,,T,\"BS\")":[[347588]],"CDNS-US^FF_ARPT_SERIES(\"LONG-TERM DEBT\",ANN,12/31/2022,,T,\"BS\")":[[648078]],"CDNS-US^FF_ARPT_SERIES(\"LONG-TERM DEBT\",ANN,12/31/2023,,T,\"BS\")":[[299771]],"CDNS-US^FF_LIABS(ANN_R,12/31/2021,,,,,T)":[[1645624]],"CDNS-US^FF_LIABS(ANN_R,12/31/2022,,,,,T)":[[2391958]],"CDNS-US^FF_LIABS(ANN_R,12/31/2023,,,,,T)":[[2265220]],"CDNS-US^FF_ARPT_SERIES(\"COMMON STOCK\",ANN,12/31/2021,,T,\"BS\")":[[2467701]],"CDNS-US^FF_ARPT_SERIES(\"TREASURY STOCK AT COST\",ANN,12/31/2021,,T,\"BS\")":[[-2740003]],"CDNS-US^FF_ARPT_SERIES(\"COMMON STOCK\",ANN,12/31/2022,,T,\"BS\")":[["@NA"]],"CDNS-US^FF_ARPT_SERIES(\"COMMON STOCK\",ANN,12/31/2023,,T,\"BS\")":[[3166964]],"CDNS-US^FF_ARPT_SERIES(\"TREASURY STOCK AT COST\",ANN,12/31/2023,,T,\"BS\")":[[-4604323]],"CDNS-US^FF_ARPT_SERIES(\"TREASURY STOCK AT COST\",ANN,12/31/2022,,T,\"BS\")":[["@NA"]],"CDNS-US^FF_ARPT_SERIES(\"DEFERRED STOCK COMPENSATION\",ANN,12/31/2021,,T,\"BS\")":[["@NA"]],"CDNS-US^FF_ARPT_SERIES(\"DEFERRED STOCK COMPENSATION\",ANN,12/31/2023,,T,\"BS\")":[["@NA"]],"CDNS-US^FF_ARPT_SERIES(\"DEFERRED STOCK COMPENSATION\",ANN,12/31/2022,,T,\"BS\")":[["@NA"]],"CDNS-US^FF_TREAS_STK(ANN_R,12/31/2022,,,,,T)":[[3824163]],"CDNS-US^FF_COM_EQ_PAR(ANN_R,12/31/2021,,,,,T)":[[2467701]],"CDNS-US^FF_ARPT_SERIES(\"TREASURY STOCK AT COST\",ANN,12/31/2022,,T,\"BS\"":[["#NUM!"]],"CDNS-US^FF_COM_EQ_PAR(ANN_R,12/31/2022,,,,,T)":[[2765673]],"CDNS-US^FF_TREAS_STK(ANN_R,12/31/2021,,,,,T)":[[2740003]],"CDNS-US^FF_COM_EQ_PAR(ANN_R,12/31/2023,,,,,T)":[[3166964]],"CDNS-US^FF_TREAS_STK(ANN_R,12/31/2023,,,,,T)":[[4604323]],"CDNS-US^FF_COM_EQ_RETAIN_EARN(ANN_R,12/31/2021,,,,,T)":[[3046288]],"CDNS-US^FF_COM_EQ_RETAIN_EARN(ANN_R,12/31/2022,,,,,T)":[[3895240]],"CDNS-US^FF_COM_EQ_RETAIN_EARN(ANN_R,12/31/2023,,,,,T)":[[4936384]],"CDNS-US^FF_ARPT_SERIES(\"ACCUMULATED OTHER COMPREHENSIVE LOSS / INCOME\",ANN,12/31/2021,,T,\"BS\")":[[-33311]],"CDNS-US^FF_ARPT_SERIES(\"ACCUMULATED OTHER COMPREHENSIVE LOSS / INCOME\",ANN,12/31/2023,,T,\"BS\")":[[-94754]],"CDNS-US^FF_ARPT_SERIES(\"ACCUMULATED OTHER COMPREHENSIVE LOSS / INCOME\",ANN,12/31/2022,,T,\"BS\")":[["@NA"]],"CDNS-US^FF_ARPT_SERIES('ACCUMULATED OTHER COMPREHENSIVE LOSS / INCOME',ANN,12/31/2022,,T,\"BS\")":[["@NA"]],"CDNS-US^FF_ARPT_SERIES('ACCUMULATED OTHER COMPREHENSIVE LOSS / INCOME',ANN,2022,,T,\"BS\")":[["@NA"]],"CDNS-US^FF_ARPT_SERIES('ACCUMULATED OTHER COMPREHENSIVE LOSS / INCOME','ANN_R','0','-9','M','BS')@0":[[-1.805],[-190.448],[-94.754],[-91.637],[-33.311],[-17.425],[-36.926],[-24.78],[-3.63],[-25.16]],"CDNS^FF_ARPT_SERIES('ACCUMULATED OTHER COMPREHENSIVE LOSS / INCOME','ANN_R','0','-9','M','BS')@0":[[-1.805],[-190.448],[-94.754],[-91.637],[-33.311],[-17.425],[-36.926],[-24.78],[-3.63],[-25.16]],"CDNS^FF_ARPT_SERIES('ACCUMULATED OTHER COMPREHENSIVE LOSS / INCOME','ANN_R','0','-9','T','BS')@0":[[-1805],[-190448],[-94754],[-91637],[-33311],[-17425],[-36926],[-24780],[-3630],[-25160]],"CDNS^FF_ARPT('ACCUMULATED OTHER COMPREHENSIVE LOSS / INCOME','ANN_R','2022','','','BS')":[["#NUM!"]],"CDNS^FF_ARPT_SERIES('ACCUMULATED OTHER COMPREHENSIVE LOSS / INCOME','ANN_R','2022','2022','T','BS')@0":[[-91637]],"CDNS-US^FF_ARPT_SERIES(\"ACCUMULATED OTHER COMPREHENSIVE LOSS / INCOME\",ANN,12/31/2022,12/31/2022,T,\"BS\")":[["@NA"]],"CDNS-US^FF_ARPT_SERIES(\"ACCUMULATED OTHER COMPREHENSIVE LOSS / INCOME\",ANN,2022,,T,\"BS\")":[["@NA"]],"CDNS^FF_ARPT_SERIES('ACCUMULATED OTHER COMPREHENSIVE LOSS / INCOME','ANN_R','2021','2021','T','BS')@0":[[-33311]],"CDNS^FF_ARPT_SERIES('ACCUMULATED OTHER COMPREHENSIVE LOSS / INCOME','ANN_R','2023','2023','T','BS')@0":[[-94754]],"CDNS-US^FF_SHLDRS_EQ(ANN_R,12/31/2021,,,,,T)":[[2740675]],"CDNS-US^FF_SHLDRS_EQ(ANN_R,12/31/2022,,,,,T)":[[2745113]],"CDNS-US^FF_SHLDRS_EQ(ANN_R,12/31/2023,,,,,T)":[[3404271]],"CDNS-US^FF_EQ_TOT(ANN_R,12/31/2021,,,,,T)":[[2740675]],"CDNS-US^FF_EQ_TOT(ANN_R,12/31/2023,,,,,T)":[[3404271]],"CDNS-US^FF_EQ_TOT(ANN_R,12/31/2022,,,,,T)":[[2745113]],"CDNS-US^FF_LIABS_SHLDRS_EQ(ANN_R,12/31/2021,,,,,T)":[[4386299]],"CDNS-US^FF_LIABS_SHLDRS_EQ(ANN_R,12/31/2023,,,,,T)":[[5669491]],"CDNS-US^FF_LIABS_SHLDRS_EQ(ANN_R,12/31/2022,,,,,T)":[[5137071]],"CDNS-US^FF_ARPT_SERIES(\"CASH AND CASH EQUIVALENTS\",ANN,12/31/2023,,T,\"BS\")":[[1008152]],"CDNS-US^FF_ARPT_SERIES(\"CASH AND CASH EQUIVALENTS\",ANN,12/31/2021,,T,\"BS\")":[[1088940]],"CDNS-US^FF_ARPT_SERIES(\"CASH AND CASH EQUIVALENTS\",ANN,12/31/2022,,T,\"BS\")":[[882325]],"CDNS-US^FF_ARPT_SERIES(\"INVENTORIES\",ANN,12/31/2023,,T,\"BS\")":[[181661]],"CDNS-US^FF_ARPT_SERIES(\"INVENTORIES\",ANN,12/31/2021,,T,\"BS\")":[[115721]],"CDNS-US^FF_ARPT_SERIES(\"INVENTORIES\",ANN,12/31/2022,,T,\"BS\")":[[128005]],"CDNS-US^FF_ARPT_SERIES(\"GOODWILL\",ANN,12/31/2022,,T,\"BS\")":[[1374268]],"CDNS-US^FF_ARPT_SERIES(\"GOODWILL\",ANN,12/31/2023,,T,\"BS\")":[[1535845]],"CDNS-US^FF_ARPT_SERIES(\"GOODWILL\",ANN,12/31/2021,,T,\"BS\")":[[928358]],"CDNS^FF_ARPT_SERIES('ACCUMULATED DEFICIT / RETAINED EARNINGS','ANN_R','2021','2021','T','BS')@0":[[3046288]],"CDNS-US^FF_ARPT_SERIES(\"ACCUMULATED DEFICIT / RETAINED EARNINGS\",ANN,12/31/2022,,T,\"BS\")":[["@NA"]],"CDNS-US^FF_ARPT_SERIES(\"ACCUMULATED DEFICIT / RETAINED EARNINGS\",ANN,12/31/2023,,T,\"BS\")":[[4936384]],"CDNS-US^FF_ARPT_SERIES(\"ACCUMULATED DEFICIT / RETAINED EARNINGS\",ANN,12/31/2021,,T,\"BS\")":[[3046288]],"CDNS^FF_ARPT_SERIES('ACCUMULATED DEFICIT / RETAINED EARNINGS','ANN_R','2023','2023','T','BS')@0":[[4936384]],"CDNS^FF_ARPT_SERIES('ACCUMULATED DEFICIT / RETAINED EARNINGS','ANN_R','2022','2022','T','BS')@0":[[3895240]],"CDNS^FF_ARPT_SERIES('ACCUMULATED DEFICIT / RETAINED EARNINGS','ANN_R','&YEAR(D$12)&','&YEAR(D$12)&','T','BS')@0":[[7100756]],"CDNS^FF_ARPT_SERIES('ACCUMULATED DEFICIT / RETAINED EARNINGS','ANN_R','&YEAR(D$12)&'','T','BS')@0":[["#NUM!"]],"CDNS^FF_ARPT_SERIES('ACCUMULATED DEFICIT / RETAINED EARNINGS','ANN_R',2021,'2021','T','BS')@0":[[3046288]],"CDNS^FF_ARPT_SERIES('ACCUMULATED DEFICIT / RETAINED EARNINGS','ANN_R',2021,2021,'T','BS')@0":[[3046288]],"CDNS^FF_ARPT_SERIES('ACCUMULATED DEFICIT / RETAINED EARNINGS','ANN_R',2023,2023,'T','BS')@0":[[4936384]],"CDNS^FF_ARPT_SERIES('ACCUMULATED DEFICIT / RETAINED EARNINGS','ANN_R',2022,2022,'T','BS')@0":[[3895240]],"CDNS^FF_ARPT_SERIES('ACCUMULATED OTHER COMPREHENSIVE LOSS / INCOME','ANN_R',2021,2021,'T','BS')@0":[[-33311]],"CDNS^FF_ARPT_SERIES('ACCUMULATED OTHER COMPREHENSIVE LOSS / INCOME','ANN_R',2022,2022,'T','BS')@0":[[-91637]],"CDNS^FF_ARPT_SERIES('ACCUMULATED OTHER COMPREHENSIVE LOSS / INCOME','ANN_R',2023,2023,'T','BS')@0":[[-94754]],"CDNS^FF_ARPT_SERIES(\"INVENTORIES\",ANN,12/31/2021,,T,\"BS\")":[[115721]],"CDNS-US^FF_ARPT_KEYS(\"IS\")":[["RV"],["PRODUCT AND MAINTENANCE"],["PRODUCT"],["MAINTENANCE"],["SERVICES"],["TOTAL COSTS AND EXPENSES"],["COST OF PRODUCT AND MAINTENANCE"],["COST OF PRODUCT"],["COST OF MAINTENANCE"],["COST OF SERVICES"],["MARKETING AND SALES"],["RESEARCH AND DEVELOPMENT"],["GENERAL AND ADMINISTRATIVE"],["AMORTIZATION OF ACQUIRED INTANGIBLES"],["IMPAIRMENT OF GOODWILL"],["LOSS RELATED TO CONTINGENT LIABILITY"],["RESTRUCTURING AND OTHER CHARGES / CREDITS"],["LITIGATION CHARGES"],["WRITE-OFF OF ACQUIRED IN-PROCESS TECHNOLOGY"],["IMPAIRMENT OF INTANGIBLE AND TANGIBLE ASSETS"],["LOSS / INCOME FROM OPERATIONS"],["LOSS ON EXTINGUISHMENT OF DEBT"],["INTEREST EXPENSE"],["OTHER INCOME / EXPENSE NET"],["INCOME / LOSS BEFORE PROVISION / BENEFIT FOR INCOME TAXES"],["PROVISION / BENEFIT FOR INCOME TAXES"],["NET INCOME / LOSS BEFORE CUMULATIVE EFFECT OF CHANGE IN ACCOUNTING PRINCIPLE"],["CUMULATIVE EFFECT OF CHANGE IN ACCOUNTING PRINCIPLE NET OF TAX"],["NI"],["PER SHARE"],["BASIC"],["NET INCOME / LOSS PER SHARE BEFORE CUMULATIVE EFFECT OF CHANGE IN ACCOUNTING PRINCIPLE"],["DILUTED"],["NET INCOME / LOSS PER SHARE BEFORE CUMULATIVE EFFECT OF CHANGE IN ACCOUNTING PRINCIPLE2"],["WEIGHTED AVERAGE SHARES"],["BASIC2"],["DILUTED2"]],"CDNS-US^FF_ARPT_KEYS(\"CF\")":[["NET CASH PROVIDED BY / USED FOR OPERATING ACTIVITIES"],["NET INCOME / LOSS"],["ADJUSTMENTS TO RECONCILE NET INCOME / LOSS TO NET CASH PROVIDED BY / USED FOR OPERATING ACTIVITIES"],["IMPAIRMENT OF GOODWILL"],["IMPAIRMENT OF INTANGIBLE AND TANGIBLE ASSETS"],["CUMULATIVE EFFECT OF CHANGE IN ACCOUNTING PRINCIPLE"],["DEPRECIATION AND AMORTIZATION"],["LOSS ON EXTINGUISHMENT OF DEBT"],["STOCK-BASED COMPENSATION"],["LOSS / GAIN ON INVESTMENTS NET"],["LOSS FROM EQUITY METHOD INVESTMENTS"],["WRITE-DOWN OF INVESTMENT SECURITIES"],["GAIN / LOSS ON INVESTMENTS NET EXCLUDING LOSS FROM EQUITY METHOD INVESTMENTS AND WRITE-DOWN OF INVESTMENTS SECURITIES"],["WRITE-OFF OF ACQUIRED IN-PROCESS TECHNOLOGY"],["LOSS ON LIQUIDATION OF SUBSIDIARY"],["TAX BENEFITS FROM EMPLOYEE STOCK TRANSACTIONS"],["TAX BENEFIT / EXPENSE FROM CALL OPTIONS"],["TAX IMPACT OF CONVERTIBLE NOTES INTEREST"],["IMPAIRMENT OF PROPERTY PLANT AND EQUIPMENT"],["GAIN ON SALE OF PROPERTY PLANT AND EQUIPMENT"],["DEFERRED INCOME TAXES"],["PROVISIONS / RECOVERIES FOR LOSSES / GAINS ON TRADE ACCOUNTS RECEIVABLE AND SALES RETURNS"],["ROU ASSET AMORTIZATION AND CHANGE IN OPERATING LEASE LIABILITIES"],["OTHER NON-CASH ITEMS"],["AMORTIZATION OF DEBT DISCOUNT AND FEES"],["PROCEEDS FROM THE SALE OF RECEIVABLES NET"],["OTHER NON-CASH ITEMS2"],["PROVISIONS / RECOVERIES FOR LOSSES / GAINS ON RECEIVABLES NET"],["OTHER NON-CASH ITEMS EXCLUDING PROVISIONS / RECOVERIES FOR LOSSES / GAINS ON RECEIVABLES NET"],["GAIN / LOSS ON SALE OF PROPERTY PLANT AND EQUIPMENT"],["OTHER NON-CASH ITEMS EXCLUDING GAIN / LOSS ON SALE OF PROPERTY PLANT AND EQUIPMENT"],["NON-CASH RESTRUCTURING AND OTHER CHARGES / CREDITS"],["OTHER NON-CASH ITEMS EXCLUDING NON-CASH RESTRUCTURING AND OTHER CHARGES / CREDITS"],["CHANGES IN OPERATING ASSETS AND LIABILITIES NET OF EFFECT OF ACQUIRED BUSINESSES"],["RECEIVABLES"],["RECEIVABLES EXCLUDING INSTALLMENT CONTRACT RECEIVABLES"],["INSTALLMENT CONTRACT RECEIVABLES"],["INVENTORIES"],["PREPAID EXPENSES AND OTHER"],["OTHER ASSETS"],["ACCOUNTS PAYABLE AND ACCRUED LIABILITIES"],["DEFERRED REVENUE"],["OTHER LONG-TERM LIABILITIES"],["NET CASH USED FOR INVESTING ACTIVITIES"],["PURCHASES OF AVAILABLE-FOR-SALE SECURITIES"],["PROCEEDS FROM THE SALE AND MATURITY OF AVAILABLE-FOR-SALE SECURITIES"],["PROCEEDS FROM THE SALE OF AVAILABLE-FOR-SALE SECURITIES"],["PROCEEDS FROM THE SALE OF AVAILABLE-FOR-SALE SECURITIES EXCLUDING PROCEEDS FROM THE SALE OF SHORT-TERM INVESTMENTS"],["PROCEEDS FROM THE SALE OF SHORT-TERM INVESTMENTS"],["PROCEEDS FROM THE MATURITY OF AVAILABLE-FOR-SALE SECURITIES"],["PURCHASES OF NON-MARKETABLE INVESTMENTS"],["PROCEEDS FROM THE SALE OF PROPERTY PLANT AND EQUIPMENT"],["INVESTMENT IN VENTURE CAPITAL PARTNERSHIPS AND EQUITY INVESTMENTS"],["PROCEEDS FROM THE SALE OF NON-MARKETABLE INVESTMENTS"],["PROCEEDS FROM THE SALE OF IP AND OTHER ASSETS"],["PURCHASES OF PROPERTY PLANT AND EQUIPMENT"],["PURCHASES OF INTANGIBLE ASSETS"],["CASH PAID IN BUSINESS COMBINATIONS AND ASSET ACQUISITIONS NET OF CASH ACQUIRED"],["PURCHASES OF SOFTWARE LICENSES"],["CASH PAID IN BUSINESS COMBINATIONS AND ASSET ACQUISITIONS NET OF CASH ACQUIRED EXCLUDING PURCHASES OF SOFTWARE LICENSES"],["NET CASH PROVIDED BY / USED FOR FINANCING ACTIVITIES"],["PROCEEDS FROM REVOLVING CREDIT FACILITY"],["PAYMENT ON REVOLVING CREDIT FACILITY"],["PROCEEDS FROM TERM LOANS"],["PROCEEDS FROM RECEIVABLE SALE FINANCING"],["PRINCIPAL PAYMENTS ON TERM LOAN"],["PAYMENT OF CONVERTIBLE NOTES"],["PAYMENT OF CONVERTIBLE NOTES EMBEDDED CONVERSION DERIVATIVE LIABILITY"],["PROCEEDS FROM CONVERTIBLE NOTES HEDGES"],["PAYMENT OF TERM LOANS"],["PAYMENT OF DEBT ISSUANCE COSTS"],["PURCHASE OF 2015 NOTES HEDGES"],["PROCEEDS FROM TERMINATION OF 2011 AND 2013 NOTES HEDGES"],["PROCEEDS FROM SALE OF 2015 WARRANTS"],["PAYMENT OF ACQUISITION-RELATED CONTINGENT CONSIDERATION"],["PURCHASE OF CALL OPTIONS IN CONNECTION WITH CONVERTIBLE NOTES DUE 2011 AND 2013"],["PROCEEDS FROM SALE OF CALL OPTIONS IN CONNECTION WITH CONVERTIBLE NOTES DUE 2023"],["PROCEEDS FROM SALE OF COMMON STOCK WARRANTS IN CONNECTION WITH CONVERTIBLE NOTES DUE 2011 AND 2013"],["PURCHASE OF COMMON STOCK WARRANTS IN CONNECTION WITH CONVERTIBLE NOTES DUE 2023"],["PRINCIPAL PAYMENTS ON RECEIVABLE FINANCING"],["PRINCIPAL PAYMENTS ON TERM LOAN2"],["PROCEEDS FROM ISSUANCE OF 2015 NOTES"],["PAYMENT OF 2023 NOTES"],["EXCESS TAX BENEFITS FROM STOCK-BASED COMPENSATION"],["PROCEEDS FROM ISSUANCE OF COMMON STOCK"],["PURCHASES OF TREASURY STOCK"],["STOCK RECEIVED FOR PAYMENT OF EMPLOYEE TAXES ON VESTING OF RESTRICTED STOCK"],["PURCHASES OF TREASURY STOCK EXCLUDING STOCK RECEIVED FOR PAYMENT OF EMPLOYEE TAXES ON VESTING OF RESTRICTED STOCK"],["PAYMENTS FOR REPURCHASES OF COMMON STOCK"],["CHANGE IN BOOK OVERDRAFT"],["EFFECT OF EXCHANGE RATE CHANGES ON CASH AND CASH EQUIVALENTS"],["CC"],["CASH AND CASH EQUIVALENTS AT BEGINNING OF PERIOD"],["CASH AND CASH EQUIVALENTS AT END OF PERIOD"],["SUPPLEMENTAL DISCLOSURE"],["CASH PAID FOR INTEREST"],["CASH PAID / RECEIVED FOR TAXES NET"],["NON-CASH INVESTING AND FINANCING ACTIVITIES"],["STOCK OPTIONS ASSUMED IN ACQUISITIONS"],["AVAILABLE-FOR-SALE SECURITIES RECEIVED FROM CUSTOMER"],["RECEIVABLES RELATED TO SALES OF AVAILABLE-FOR-SALE SECURITIES"],["RECEIVABLES RELATED TO SALES OF COST-METHOD INVESTMENTS"]],"CDNS^FF_ARPT_SERIES(\"RECEIVABLES\",ANN,12/31/2021,,T,\"CF\")":[[2014]],"CDNS^FF_ARPT_SERIES(\"PREPAID EXPENSES AND OTHER\",ANN,12/31/2021,,T,\"CF\")":[[-34342]],"CDNS^FF_ARPT_SERIES(\"INVENTORIES\",ANN,12/31/2021,,T,\"CF\")":[[-39027]],"CDNS^FF_ARPT_SERIES(\"OTHER ASSETS\",ANN,12/31/2021,,T,\"CF\")":[[-7133]],"CDNS^FF_ARPT_SERIES(\"OTHER ASSETS\",ANN,12/31/2022,,T,\"CF\")":[[-933]],"CDNS^FF_ARPT_SERIES(\"OTHER ASSETS\",ANN,12/31/2023,,T,\"CF\")":[[-45784]],"CDNS^FF_ARPT_SERIES(\"PREPAID EXPENSES AND OTHER\",ANN,12/31/2022,,T,\"CF\")":[[-38927]],"CDNS^FF_ARPT_SERIES(\"PREPAID EXPENSES AND OTHER\",ANN,12/31/2023,,T,\"CF\")":[[39015]],"CDNS^FF_ARPT_SERIES(\"RECEIVABLES\",ANN,12/31/2022,,T,\"CF\")":[[-138471]],"CDNS^FF_ARPT_SERIES(\"RECEIVABLES\",ANN,12/31/2023,,T,\"CF\")":[[-11748]],"CDNS^FF_ARPT_SERIES(\"INVENTORIES\",ANN,12/31/2023,,T,\"CF\")":[[-65895]],"CDNS^FF_ARPT_SERIES(\"INVENTORIES\",ANN,12/31/2022,,T,\"CF\")":[[-23073]],"CDNS^FF_ARPT_SERIES(\"OTHER LONG-TERM LIABILITIES\",ANN,12/31/2021,,T,\"CF\")":[[16199]],"CDNS^FF_ARPT_SERIES(\"DEFERRED REVENUE\",ANN,12/31/2021,,T,\"CF\")":[[100731]],"CDNS^FF_ARPT_SERIES(\"ACCOUNTS PAYABLE AND ACCRUED LIABILITIES\",ANN,12/31/2021,,T,\"CF\")":[[67356]],"CDNS^FF_ARPT_SERIES(\"OTHER LONG-TERM LIABILITIES\",ANN,12/31/2022,,T,\"CF\")":[[43542]],"CDNS^FF_ARPT_SERIES(\"OTHER LONG-TERM LIABILITIES\",ANN,12/31/2023,,T,\"CF\")":[[1802]],"CDNS^FF_ARPT_SERIES(\"DEFERRED REVENUE\",ANN,12/31/2022,,T,\"CF\")":[[131462]],"CDNS^FF_ARPT_SERIES(\"DEFERRED REVENUE\",ANN,12/31/2023,,T,\"CF\")":[[-21583]],"CDNS^FF_ARPT_SERIES(\"ACCOUNTS PAYABLE AND ACCRUED LIABILITIES\",ANN,12/31/2022,,T,\"CF\")":[[113945]],"CDNS^FF_ARPT_SERIES(\"ACCOUNTS PAYABLE AND ACCRUED LIABILITIES\",ANN,12/31/2023,,T,\"CF\")":[[5415]],"CDNS^FF_ARPT_SERIES(\"LOSS / GAIN ON INVESTMENTS NET\",ANN,12/31/2021,,T,\"CF\")":[[-580]],"45393^FF_ARPT_SERIES(\"OTHER NON-CASH ITEMS\",ANN,12/31/2021,,T,\"CF\")":[["@NA"]],"45393^FF_ARPT_SERIES(\"ROU ASSET AMORTIZATION AND CHANGE IN OPERATING LEASE LIABILITIES\",ANN,12/31/2021,,T,\"CF\")":[["@NA"]],"45393^FF_ARPT_SERIES(\"LOSS / GAIN ON INVESTMENTS NET\",ANN,12/31/2021,,T,\"CF\")":[["@NA"]],"45393^FF_ARPT_SERIES(\"DEFERRED INCOME TAXES\",ANN,12/31/2021,,T,\"CF\")":[["@NA"]],"^FF_ARPT_SERIES(\"DEFERRED INCOME TAXES\",ANN,12/31/2021,,T,\"CF\")":[["@NA"]],"CDNS^FF_ARPT_SERIES('DEFERRED INCOME TAXES','ANN_R',2021,2021,'T','BS')@0":[[0]],"CDNS^FF_ARPT_SERIES(\"DEFERRED INCOME TAXES\",ANN,12/31/2021,,T,\"CF\")":[[-43178]],"CDNS^FF_ARPT_SERIES('ROU ASSET AMORTIZATION AND CHANGE IN OPERATING LEASE LIABILITIES','ANN_R',2021,2021,'T','BS')@0":[[0]],"CDNS^FF_ARPT_SERIES(\"ROU ASSET AMORTIZATION AND CHANGE IN OPERATING LEASE LIABILITIES\",ANN,12/31/2021,,T,\"CF\")":[[-11606]],"CDNS^FF_ARPT_SERIES(\"OTHER NON-CASH ITEMS\",ANN,12/31/2021,,T,\"CF\")":[[2171]],"CDNS^FF_ARPT_SERIES(\"OTHER NON-CASH ITEMS\",ANN,12/31/2023,,T,\"CF\")":[[6570]],"CDNS^FF_ARPT_SERIES(\"OTHER NON-CASH ITEMS\",ANN,12/31/2022,,T,\"CF\")":[[1709]],"CDNS^FF_ARPT_SERIES(\"ROU ASSET AMORTIZATION AND CHANGE IN OPERATING LEASE LIABILITIES\",ANN,12/31/2023,,T,\"CF\")":[[451]],"CDNS^FF_ARPT_SERIES(\"ROU ASSET AMORTIZATION AND CHANGE IN OPERATING LEASE LIABILITIES\",ANN,12/31/2022,,T,\"CF\")":[[3342]],"CDNS^FF_ARPT_SERIES(\"LOSS / GAIN ON INVESTMENTS NET\",ANN,12/31/2022,,T,\"CF\")":[[5425]],"CDNS^FF_ARPT_SERIES(\"LOSS / GAIN ON INVESTMENTS NET\",ANN,12/31/2023,,T,\"CF\")":[[-34602]],"CDNS^FF_ARPT_SERIES(\"DEFERRED INCOME TAXES\",ANN,12/31/2022,,T,\"CF\")":[[-107606]],"CDNS^FF_ARPT_SERIES(\"DEFERRED INCOME TAXES\",ANN,12/31/2023,,T,\"CF\")":[[-36512]],"CDNS^FF_ARPT_SERIES(\"DEPRECIATION AND AMORTIZATION\",ANN,12/31/2022,,T,\"CF\")":[[132088]],"CDNS^FF_ARPT_SERIES(\"DEPRECIATION AND AMORTIZATION\",ANN,12/31/2023,,T,\"CF\")":[[145292]],"CDNS^FF_ARPT_SERIES(\"STOCK-BASED COMPENSATION\",ANN,12/31/2022,,T,\"CF\")":[[270439]],"CDNS^FF_ARPT_SERIES(\"STOCK-BASED COMPENSATION\",ANN,12/31/2023,,T,\"CF\")":[[325611]],"CDNS^FF_ARPT_SERIES(\"NET INCOME / LOSS\",ANN,12/31/2022,,T,\"CF\")":[[848952]],"CDNS^FF_ARPT_SERIES(\"NET INCOME / LOSS\",ANN,12/31/2023,,T,\"CF\")":[[1041144]],"CDNS^FF_ARPT_SERIES(\"DEPRECIATION AND AMORTIZATION\",ANN,12/31/2021,,T,\"CF\")":[[142308]],"CDNS^FF_ARPT_SERIES(\"NET INCOME / LOSS\",ANN,12/31/2021,,T,\"CF\")":[[695955]],"CDNS^FF_ARPT_SERIES(\"STOCK-BASED COMPENSATION\",ANN,12/31/2021,,T,\"CF\")":[[210090]],"HISTORICAL^FF_ARPT_SERIES(\"NET CASH PROVIDED BY / USED FOR OPERATING ACTIVITIES\",ANN,12/31/2021,,T,\"CF\")":[["@NA"]],"CDNS-US^FF_OPER_CF(ANN_R,-2AY,,,,,T)":[[1349176]],"CDNS-US^FF_OPER_CF(ANN_R,2021,,,,,T)":[[1100958]],"CDNS-US^FF_OPER_CF(ANN_R,12/31/2022,,,,,T)":[[1241894]],"CDNS-US^FF_OPER_CF(ANN_R,12/31/2021,,,,,T)":[[1100958]],"CDNS-US^FF_OPER_CF(ANN_R,12/31/2023,,,,,T)":[[1349176]],"CDNS^FF_ARPT_SERIES(\"PURCHASES OF PROPERTY PLANT AND EQUIPMENT\",ANN,12/31/2022,,T,\"CF\")":[[-123215]],"CDNS^FF_ARPT_SERIES(\"PURCHASES OF PROPERTY PLANT AND EQUIPMENT\",ANN,12/31/2021,,T,\"CF\")":[[-65298]],"CDNS^FF_ARPT_SERIES(\"PURCHASES OF PROPERTY PLANT AND EQUIPMENT\",ANN,12/31/2023,,T,\"CF\")":[[-102337]],"^FF_ARPT_SERIES(\"CASH PAID IN BUSINESS COMBINATIONS AND ASSET ACQUISITIONS NET OF CASH ACQUIRED\",ANN,12/31/2021,,T,\"CF\")":[["@NA"]],"CDNS^FF_ARPT_SERIES('CASH PAID IN BUSINESS COMBINATIONS AND ASSET ACQUISITIONS NET OF CASH ACQUIRED','ANN_R',2021,2021,'T','BS')@0":[[0]],"^FF_ARPT_SERIES(\"CASH PAID IN BUSINESS COMBINATIONS AND ASSET ACQUISITIONS NET OF CASH ACQUIRED EXCLUDING PURCHASES OF SOFTWARE LICENSES\",ANN,12/31/2021,,T,\"CF\")":[["@NA"]],"CDNS-US^FF_ACQ_BUS_CF(ANN_R,12/31/2022,,,,,T)":[[613785]],"CDNS-US^FF_ACQ_BUS_CF(ANN_R,12/31/2023,,,,,T)":[[198351]],"CDNS-US^FF_ACQ_BUS_CF(ANN_R,12/31/2021,,,,,T)":[[226201]],"45393^FF_ARPT_SERIES(\"PURCHASES OF INTANGIBLE ASSETS\",ANN,12/31/2021,,T,\"CF\")":[["@NA"]],"45393^FF_ARPT_SERIES(\"PROCEEDS FROM THE SALE AND MATURITY OF AVAILABLE-FOR-SALE SECURITIES\",ANN,12/31/2021,,T,\"CF\")":[["@NA"]],"45393^FF_ARPT_SERIES(\"PROCEEDS FROM THE SALE OF NON-MARKETABLE INVESTMENTS\",ANN,12/31/2021,,T,\"CF\")":[["@NA"]],"CDNS^FF_ARPT_SERIES('PROCEEDS FROM THE SALE OF NON-MARKETABLE INVESTMENTS','ANN_R',1900,1900,'T','BS')@0":[[0]],"CDNS^FF_ARPT_SERIES('PROCEEDS FROM THE SALE AND MATURITY OF AVAILABLE-FOR-SALE SECURITIES','ANN_R',1900,1900,'T','BS')@0":[[0]],"CDNS^FF_ARPT_SERIES('PURCHASES OF INTANGIBLE ASSETS','ANN_R',1900,1900,'T','BS')@0":[[0]],"CDNS^FF_ARPT_SERIES('PROCEEDS FROM THE SALE AND MATURITY OF AVAILABLE-FOR-SALE SECURITIES','ANN_R',2021,2021,'T','BS')@0":[[0]],"CDNS^FF_ARPT_SERIES('PURCHASES OF INTANGIBLE ASSETS','ANN_R',2021,2021,'T','BS')@0":[[0]],"CDNS^FF_ARPT_SERIES('PROCEEDS FROM THE SALE OF NON-MARKETABLE INVESTMENTS','ANN_R',2021,2021,'T','BS')@0":[[0]],"CDNS^FF_ARPT_SERIES('PROCEEDS FROM THE SALE AND MATURITY OF AVAILABLE-FOR-SALE SECURITIES','ANN_R',2022,2022,'T','BS')@0":[[0]],"CDNS^FF_ARPT_SERIES('PROCEEDS FROM THE SALE AND MATURITY OF AVAILABLE-FOR-SALE SECURITIES','ANN_R',2023,2023,'T','BS')@0":[[0]],"CDNS^FF_ARPT_SERIES('PURCHASES OF INTANGIBLE ASSETS','ANN_R',2023,2023,'T','BS')@0":[[0]],"CDNS^FF_ARPT_SERIES('PURCHASES OF INTANGIBLE ASSETS','ANN_R',2022,2022,'T','BS')@0":[[0]],"CDNS^FF_ARPT_SERIES('PROCEEDS FROM THE SALE OF NON-MARKETABLE INVESTMENTS','ANN_R',2022,2022,'T','BS')@0":[[0]],"CDNS^FF_ARPT_SERIES('PROCEEDS FROM THE SALE OF NON-MARKETABLE INVESTMENTS','ANN_R',2023,2023,'T','BS')@0":[[0]],"CDNS^FF_ARPT_SERIES('PROCEEDS FROM THE SALE AND MATURITY OF AVAILABLE-FOR-SALE SECURITIES','ANN_R',2021,2021,'T','CF')@0":[[0]],"CDNS^FF_ARPT_SERIES('PROCEEDS FROM THE SALE OF NON-MARKETABLE INVESTMENTS','ANN_R',2021,2021,'T','CF')@0":[[128]],"CDNS^FF_ARPT_SERIES('PURCHASES OF INTANGIBLE ASSETS','ANN_R',2021,2021,'T','CF')@0":[[-1583]],"CDNS^FF_ARPT_SERIES('PROCEEDS FROM THE SALE AND MATURITY OF AVAILABLE-FOR-SALE SECURITIES','ANN_R',2023,2023,'T','CF')@0":[[-176170]],"CDNS^FF_ARPT_SERIES('PROCEEDS FROM THE SALE AND MATURITY OF AVAILABLE-FOR-SALE SECURITIES','ANN_R',2022,2022,'T','CF')@0":[[-1000]],"CDNS^FF_ARPT_SERIES('PURCHASES OF INTANGIBLE ASSETS','ANN_R',2023,2023,'T','CF')@0":[[-166]],"CDNS^FF_ARPT_SERIES('PURCHASES OF INTANGIBLE ASSETS','ANN_R',2022,2022,'T','CF')@0":[[-1000]],"CDNS^FF_ARPT_SERIES('PROCEEDS FROM THE SALE OF NON-MARKETABLE INVESTMENTS','ANN_R',2023,2023,'T','CF')@0":[[64775]],"CDNS^FF_ARPT_SERIES('PROCEEDS FROM THE SALE OF NON-MARKETABLE INVESTMENTS','ANN_R',2022,2022,'T','CF')@0":[[366]],"CDNS-US^FF_INVEST_CF(ANN_R,12/31/2022,,,,,T)":[[-738634]],"CDNS-US^FF_INVEST_CF(ANN_R,12/31/2023,,,,,T)":[[-412249]],"CDNS-US^FF_INVEST_CF(ANN_R,12/31/2021,,,,,T)":[[-292954]],"CDNS^FF_ARPT_SERIES('PAYMENT OF DEBT ISSUANCE COSTS','ANN_R',2021,2021,'T','CF')@0":[[-1285]],"CDNS^FF_ARPT_SERIES('PAYMENT OF DEBT ISSUANCE COSTS','ANN_R',2023,2023,'T','CF')@0":[[0]],"CDNS^FF_ARPT_SERIES('PAYMENT OF DEBT ISSUANCE COSTS','ANN_R',2022,2022,'T','CF')@0":[[-425]],"CDNS^FF_ARPT_SERIES('PAYMENT ON REVOLVING CREDIT FACILITY','ANN_R',2021,2021,'T','CF')@0":[[0]],"CDNS^FF_ARPT_SERIES('PAYMENT ON REVOLVING CREDIT FACILITY','ANN_R',2022,2022,'T','CF')@0":[[-485000]],"CDNS^FF_ARPT_SERIES('PAYMENT ON REVOLVING CREDIT FACILITY','ANN_R',2023,2023,'T','CF')@0":[[-150000]],"CDNS^FF_ARPT_SERIES('PAYMENTS FOR REPURCHASES OF COMMON STOCK','ANN_R',2023,2023,'T','CF')@0":[[-700134]],"CDNS^FF_ARPT_SERIES('PAYMENTS FOR REPURCHASES OF COMMON STOCK','ANN_R',2022,2022,'T','CF')@0":[[-1050091]],"CDNS^FF_ARPT_SERIES('PAYMENTS FOR REPURCHASES OF COMMON STOCK','ANN_R',2021,2021,'T','CF')@0":[[-612297]],"CDNS^FF_COGS(ANN_R,12/31/2021,,,,,T)":[[326646]],"CDNS^FF_GROSS_INC(ANN_R,12/31/2021,,,,,T)":[[2661598]],"CDNS^FF_EBIT_OPER(ANN_R,12/31/2021,,,,,T)":[[778041]],"CDNS^FF_PTX_INC(ANN_R,12/31/2021,,,,,T)":[[768435]],"CDNS^FF_SGA(ANN_R,12/31/2021,,,,,T)":[[1883557]],"CDNS^FF_NON_OPER_INC(ANN_R,12/31/2021,,,,,T)":[[6326]],"CDNS^FF_NET_INC(ANN_R,12/31/2021,,,,,T)":[[695955]],"CDNS^FF_UNUSUAL_EXP(ANN_R,12/31/2021,,,,,T)":[[-1048]],"CDNS^FF_INT_EXP_NET(ANN_R,12/31/2021,,,,,T)":[[16980]],"CDNS^FF_INC_TAX(ANN_R,12/31/2021,,,,,T)":[[72480]],"CDNS^FF_GROSS_INC(ANN_R,12/31/2023,,,,,T)":[[3636783]],"CDNS^FF_SGA(ANN_R,12/31/2022,,,,,T)":[[2097884]],"CDNS^FF_SGA(ANN_R,12/31/2023,,,,,T)":[[2362445]],"CDNS^FF_NON_OPER_INC(ANN_R,12/31/2022,,,,,T)":[[-5389]],"CDNS^FF_NON_OPER_INC(ANN_R,12/31/2023,,,,,T)":[[56035]],"CDNS^FF_COGS(ANN_R,12/31/2023,,,,,T)":[[453203]],"CDNS^FF_COGS(ANN_R,12/31/2022,,,,,T)":[[390093]],"CDNS^FF_EBIT_OPER(ANN_R,12/31/2023,,,,,T)":[[1274338]],"CDNS^FF_UNUSUAL_EXP(ANN_R,12/31/2023,,,,,T)":[[12262]],"CDNS^FF_UNUSUAL_EXP(ANN_R,12/31/2022,,,,,T)":[[55]],"CDNS^FF_INT_EXP_NET(ANN_R,12/31/2023,,,,,T)":[[36185]],"CDNS^FF_GROSS_INC(ANN_R,12/31/2022,,,,,T)":[[3171625]],"CDNS^FF_INT_EXP_NET(ANN_R,12/31/2022,,,,,T)":[[22934]],"CDNS^FF_PTX_INC(ANN_R,12/31/2023,,,,,T)":[[1281926]],"CDNS^FF_EBIT_OPER(ANN_R,12/31/2022,,,,,T)":[[1073741]],"CDNS^FF_INC_TAX(ANN_R,12/31/2022,,,,,T)":[[196411]],"CDNS^FF_PTX_INC(ANN_R,12/31/2022,,,,,T)":[[1045363]],"CDNS^FF_NET_INC(ANN_R,12/31/2023,,,,,T)":[[1041144]],"CDNS^FF_INC_TAX(ANN_R,12/31/2023,,,,,T)":[[240782]],"CDNS^FF_NET_INC(ANN_R,12/31/2022,,,,,T)":[[848952]],"CDNS^FF_EBITDA_OPER(ANN_R,12/31/2023,,,,,T)":[[1414708]],"^FF_DEP_AMORT_EXP(ANN_R,12/31/2022,,,,,T)":[["@NA"]],"^FF_DEP_AMORT_EXP(ANN_R,12/31/2023,,,,,T)":[["@NA"]],"CDNS^FF_EBITDA_OPER(ANN_R,12/31/2022,,,,,T)":[[1205829]],"CDNS^FF_DEP_AMORT_EXP(ANN_R,12/31/2021,,,,,T)":[[142308]],"CDNS^FF_EBITDA_OPER(ANN_R,12/31/2021,,,,,T)":[[920349]],"CDNS^FF_DEP_AMORT_EXP(ANN_R,12/31/2022,,,,,T)":[[132088]],"CDNS^FF_DEP_AMORT_EXP(ANN_R,12/31/2023,,,,,T)":[[140370]],"CDNS^FF_CASH_ST(ANN_R,12/31/2023,,,,,T)":[[1138511]],"CDNS^FF_RECEIV_ST(ANN_R,12/31/2022,,,,,T)":[[509476]],"CDNS^FF_RECEIV_ST(ANN_R,12/31/2023,,,,,T)":[[506778]],"CDNS^FF_INVEN(ANN_R,12/31/2022,,,,,T)":[[128005]],"CDNS^FF_CASH_ST(ANN_R,12/31/2022,,,,,T)":[[882325]],"CDNS^FF_INVEN(ANN_R,12/31/2023,,,,,T)":[[181661]],"CDNS^FF_ASSETS_CURR_OTH(ANN_R,12/31/2023,,,,,T)":[[149267]],"CDNS^FF_ASSETS_CURR_OTH(ANN_R,12/31/2022,,,,,T)":[[186961]],"CDNS^FF_DFD_TAX_DB(ANN_R,12/31/2021,,,,,T)":[[763770]],"CDNS^FF_ASSETS_CURR(ANN_R,12/31/2023,,,,,T)":[[1976217]],"CDNS^FF_PPE_NET(ANN_R,12/31/2023,,,,,T)":[[554010]],"CDNS^FF_INVEST_LT(ANN_R,12/31/2022,,,,,T)":[[122732]],"CDNS^FF_INVEST_LT(ANN_R,12/31/2023,,,,,T)":[[249421]],"CDNS^FF_DFD_TAX_DB(ANN_R,12/31/2022,,,,,T)":[[853691]],"CDNS^FF_PPE_NET(ANN_R,12/31/2022,,,,,T)":[[541830]],"CDNS^FF_INTANG(ANN_R,12/31/2022,,,,,T)":[[1728885]],"CDNS^FF_ASSETS_CURR(ANN_R,12/31/2022,,,,,T)":[[1706767]],"CDNS^FF_ASSETS_OTH(ANN_R,12/31/2022,,,,,T)":[[183166]],"CDNS^FF_DFD_TAX_DB(ANN_R,12/31/2023,,,,,T)":[[880001]],"CDNS^FF_ASSETS(ANN_R,12/31/2022,,,,,T)":[[5137071]],"CDNS^FF_INTANG(ANN_R,12/31/2023,,,,,T)":[[1872688]],"CDNS^FF_ASSETS(ANN_R,12/31/2023,,,,,T)":[[5669491]],"CDNS^FF_CASH_ST(ANN_R,12/31/2021,,,,,T)":[[1088940]],"CDNS^FF_ASSETS_OTH(ANN_R,12/31/2023,,,,,T)":[[137154]],"CDNS^FF_INVEN(ANN_R,12/31/2021,,,,,T)":[[115721]],"CDNS^FF_ASSETS_OTH(ANN_R,12/31/2021,,,,,T)":[[176503]],"CDNS^FF_PPE_NET(ANN_R,12/31/2021,,,,,T)":[[436035]],"CDNS^FF_RECEIV_ST(ANN_R,12/31/2021,,,,,T)":[[344407]],"CDNS^FF_ASSETS_CURR_OTH(ANN_R,12/31/2021,,,,,T)":[[166701]],"CDNS^FF_ASSETS(ANN_R,12/31/2021,,,,,T)":[[4386299]],"CDNS^FF_INTANG(ANN_R,12/31/2021,,,,,T)":[[1161623]],"CDNS^FF_ASSETS_CURR(ANN_R,12/31/2021,,,,,T)":[[1715769]],"CDNS^FF_INVEST_LT(ANN_R,12/31/2021,,,,,T)":[[132599]],"CDNS^FF_PAY_ACCT(ANN_R,12/31/2022,,,,,T)":[[0]],"CDNS^FF_PAY_TAX(ANN_R,12/31/2022,,,,,T)":[["@NA"]],"CDNS^FF_DEBT_ST(ANN_R,12/31/2022,,,,,T)":[[136737]],"CDNS^FF_DEBT_ST(ANN_R,12/31/2023,,,,,T)":[[390904]],"CDNS^FF_LIABS_CURR(ANN_R,12/31/2022,,,,,T)":[[1347696]],"CDNS^FF_PAY_ACCT(ANN_R,12/31/2023,,,,,T)":[[91194]],"CDNS^FF_LIABS_CURR_OTH(ANN_R,12/31/2023,,,,,T)":[[1108769]],"CDNS^FF_LIABS_CURR(ANN_R,12/31/2023,,,,,T)":[[1590867]],"CDNS^FF_PAY_TAX(ANN_R,12/31/2023,,,,,T)":[["@NA"]],"CDNS^FF_PAY_TAX(ANN_R,12/31/2021,,,,,T)":[["@NA"]],"CDNS^FF_DEBT_ST(ANN_R,12/31/2021,,,,,T)":[[25271]],"CDNS^FF_LIABS_CURR_OTH(ANN_R,12/31/2021,,,,,T)":[[945954]],"CDNS^FF_LIABS_CURR_OTH(ANN_R,12/31/2022,,,,,T)":[[1210959]],"CDNS^FF_PAY_ACCT(ANN_R,12/31/2021,,,,,T)":[[0]],"CDNS^FF_LIABS_CURR(ANN_R,12/31/2021,,,,,T)":[[971225]],"CDNS^FF_LIABS_OTH(ANN_R,12/31/2022,,,,,T)":[[256847]],"CDNS^FF_DEBT_LT(ANN_R,12/31/2023,,,,,T)":[[415129]],"CDNS^FF_LIABS_OTH(ANN_R,12/31/2023,,,,,T)":[[259224]],"CDNS^FF_DEBT_LT(ANN_R,12/31/2021,,,,,T)":[[454709]],"CDNS^FF_DEBT_LT(ANN_R,12/31/2022,,,,,T)":[[787415]],"CDNS^FF_LIABS_OTH(ANN_R,12/31/2021,,,,,T)":[[219690]],"CDNS^FF_LIABS(ANN_R,12/31/2021,,,,,T)":[[1645624]],"CDNS^FF_LIABS(ANN_R,12/31/2023,,,,,T)":[[2265220]],"CDNS^FF_LIABS(ANN_R,12/31/2022,,,,,T)":[[2391958]],"^FF_EQ_TOT(ANN_R,12/31/2023,,,,,T)":[["@NA"]],"^FF_EQ_TOT(ANN_R,12/31/2022,,,,,T)":[["@NA"]],"^FF_SHLDRS_EQ(ANN_R,12/31/2021,,,,,T)":[["@NA"]],"^FF_EQ_TOT(ANN_R,12/31/2021,,,,,T)":[["@NA"]],"^FF_SHLDRS_EQ(ANN_R,12/31/2023,,,,,T)":[["@NA"]],"^FF_SHLDRS_EQ(ANN_R,12/31/2022,,,,,T)":[["@NA"]],"CDNS^FF_SHLDRS_EQ(ANN_R,12/31/2021,,,,,T)":[[2740675]],"CDNS^FF_SHLDRS_EQ(ANN_R,12/31/2022,,,,,T)":[[2745113]],"CDNS^FF_SHLDRS_EQ(ANN_R,12/31/2023,,,,,T)":[[3404271]],"CDNS^FF_EQ_TOT(ANN_R,12/31/2023,,,,,T)":[[3404271]],"CDNS^FF_EQ_TOT(ANN_R,12/31/2022,,,,,T)":[[2745113]],"CDNS^FF_EQ_TOT(ANN_R,12/31/2021,,,,,T)":[[2740675]],"CDNS^FF_LIABS_SHLDRS_EQ(ANN_R,12/31/2023,,,,,T)":[[5669491]],"CDNS^FF_LIABS_SHLDRS_EQ(ANN_R,12/31/2021,,,,,T)":[[4386299]],"CDNS^FF_LIABS_SHLDRS_EQ(ANN_R,12/31/2022,,,,,T)":[[5137071]],"CDNS^FF_INVEST_CF(ANN_R,12/31/2022,,,,,T)":[[-738634]],"CDNS^FF_NON_CASH(ANN_R,12/31/2022,,,,,T)":[[280915]],"CDNS^FF_INVEST_CF(ANN_R,12/31/2023,,,,,T)":[[-412249]],"CDNS^FF_INVEST_PURCH_SALE_CF(ANN_R,12/31/2022,,,,,T)":[[-634]],"CDNS^FF_CAPEX(ANN_R,12/31/2023,,,,,T)":[[102503]],"CDNS^FF_INVEST_CF(ANN_R,12/31/2021,,,,,T)":[[-292954]],"CDNS^FF_ACQ_BUS_CF(ANN_R,12/31/2022,,,,,T)":[[613785]],"CDNS^FF_CAPEX(ANN_R,12/31/2021,,,,,T)":[[66881]],"CDNS^FF_CAPEX(ANN_R,12/31/2022,,,,,T)":[[124215]],"CDNS^FF_NON_CASH(ANN_R,12/31/2023,,,,,T)":[[298030]],"CDNS^FF_SALE_ASSETS_BUS_CF(ANN_R,12/31/2023,,,,,T)":[[0]],"CDNS^FF_DFD_TAX_CF(ANN_R,12/31/2021,,,,,T)":[[-43178]],"CDNS^FF_SALE_ASSETS_BUS_CF(ANN_R,12/31/2022,,,,,T)":[[0]],"CDNS^FF_ACQ_BUS_CF(ANN_R,12/31/2023,,,,,T)":[[198351]],"CDNS^FF_INVEST_PURCH_SALE_CF(ANN_R,12/31/2023,,,,,T)":[[-111395]],"CDNS^FF_FUNDS_OPER_GROSS(ANN_R,12/31/2022,,,,,T)":[[1154349]],"CDNS^FF_FUNDS_OPER_GROSS(ANN_R,12/31/2023,,,,,T)":[[1447954]],"CDNS^FF_SALE_ASSETS_BUS_CF(ANN_R,12/31/2021,,,,,T)":[[0]],"CDNS^FF_ACQ_BUS_CF(ANN_R,12/31/2021,,,,,T)":[[226201]],"CDNS^FF_DEP_EXP_CF(ANN_R,12/31/2022,,,,,T)":[[132088]],"CDNS^FF_INVEST_PURCH_SALE_CF(ANN_R,12/31/2021,,,,,T)":[[128]],"CDNS^FF_NET_INC_CF(ANN_R,12/31/2022,,,,,T)":[[848952]],"CDNS^FF_DEP_EXP_CF(ANN_R,12/31/2023,,,,,T)":[[145292]],"CDNS^FF_WKCAP_CHG(ANN_R,12/31/2023,,,,,T)":[[-98778]],"CDNS^FF_OPER_CF(ANN_R,12/31/2023,,,,,T)":[[1349176]],"CDNS^FF_NON_CASH(ANN_R,12/31/2021,,,,,T)":[[200075]],"CDNS^FF_NET_INC_CF(ANN_R,12/31/2021,,,,,T)":[[695955]],"CDNS^FF_DFD_TAX_CF(ANN_R,12/31/2023,,,,,T)":[[-36512]],"CDNS^FF_DEP_EXP_CF(ANN_R,12/31/2021,,,,,T)":[[142308]],"CDNS^FF_FUNDS_OPER_GROSS(ANN_R,12/31/2021,,,,,T)":[[995160]],"CDNS^FF_DFD_TAX_CF(ANN_R,12/31/2022,,,,,T)":[[-107606]],"CDNS^FF_NET_INC_CF(ANN_R,12/31/2023,,,,,T)":[[1041144]],"CDNS^FF_OPER_CF(ANN_R,12/31/2021,,,,,T)":[[1100958]],"CDNS^FF_OPER_CF(ANN_R,12/31/2022,,,,,T)":[[1241894]],"CDNS^FF_WKCAP_CHG(ANN_R,12/31/2022,,,,,T)":[[87545]],"CDNS^FF_WKCAP_CHG(ANN_R,12/31/2021,,,,,T)":[[105798]],"CDNS^SUMAV(FF_INVEST_USES_CF(ANN_R,12/31/2021,,,,,T),FF_INVEST_SOURCES_CF(ANN_R,12/31/2021,,,,,T))":[[0]],"CDNS^SUMAV(FF_INVEST_USES_CF(ANN_R,12/31/2022,,,,,T),FF_INVEST_SOURCES_CF(ANN_R,12/31/2022,,,,,T))":[[0]],"CDNS^SUMAV(FF_INVEST_USES_CF(ANN_R,12/31/2023,,,,,T),FF_INVEST_SOURCES_CF(ANN_R,12/31/2023,,,,,T))":[[0]],"CDNS^SUMAV(FF_INVEST_USES_CF(ANN_R,12/31/2024,,,,,T),FF_INVEST_SOURCES_CF(ANN_R,12/31/2024,,,,,T))":[[0]],"CDNS^SUMAV(FF_INVEST_USES_CF(ANN_R,12/31/2025,,,,,T),FF_INVEST_SOURCES_CF(ANN_R,12/31/2025,,,,,T))":[[11500]],"CDNS^FF_DEBT_CF(ANN_R,12/31/2021,,,,,T)":[[0]],"CDNS^FF_DEBT_CF(ANN_R,12/31/2022,,,,,T)":[[399575]],"CDNS^FF_FIN_ACTIV_OTH_CF(ANN_R,12/31/2022,,,,,T)":[[-111864]],"CDNS^FF_FIN_ACTIV_OTH_CF(ANN_R,12/31/2023,,,,,T)":[[-136396]],"CDNS^FF_DEBT_CF(ANN_R,12/31/2023,,,,,T)":[[-100000]],"CDNS^FF_STK_CHG_CF(ANN_R,12/31/2022,,,,,T)":[[-944760]],"CDNS^FF_STK_CHG_CF(ANN_R,12/31/2023,,,,,T)":[[-567177]],"CDNS^FF_FIN_CF(ANN_R,12/31/2023,,,,,T)":[[-803573]],"CDNS^FF_FIN_ACTIV_OTH_CF(ANN_R,12/31/2021,,,,,T)":[[-119267]],"CDNS^FF_STK_CHG_CF(ANN_R,12/31/2021,,,,,T)":[[-524525]],"CDNS^FF_FIN_CF(ANN_R,12/31/2021,,,,,T)":[[-643792]],"CDNS^FF_FIN_CF(ANN_R,12/31/2022,,,,,T)":[[-657049]],"CDNS^FF_FOR_EXCH_CF(ANN_R,12/31/2022,,,,,T)":[[-52826]],"CDNS^FF_FOR_EXCH_CF(ANN_R,12/31/2021,,,,,T)":[[-3704]],"CDNS^FF_FOR_EXCH_CF(ANN_R,12/31/2023,,,,,T)":[[-7527]],"CDNS^FF_CHG_CASH_CF(ANN_R,12/31/2022,,,,,T)":[[-206615]],"CDNS^FF_CHG_CASH_CF(ANN_R,12/31/2021,,,,,T)":[[160508]],"CDNS^FF_CHG_CASH_CF(ANN_R,12/31/2023,,,,,T)":[[125827]]}]]></FdsFormulaCache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E2A33B-D5CB-4473-9F9D-8485ADD06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DBB27E-A8FC-4897-98F5-E597B8F11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c67050-7972-4591-ac00-42caa3298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476CCE-B5B8-DF41-8AE3-FB68B066C255}">
  <ds:schemaRefs>
    <ds:schemaRef ds:uri="urn:fdsformulacache"/>
  </ds:schemaRefs>
</ds:datastoreItem>
</file>

<file path=customXml/itemProps4.xml><?xml version="1.0" encoding="utf-8"?>
<ds:datastoreItem xmlns:ds="http://schemas.openxmlformats.org/officeDocument/2006/customXml" ds:itemID="{88034C42-FEEF-4B52-AC15-D90DF501F7B8}">
  <ds:schemaRefs>
    <ds:schemaRef ds:uri="http://schemas.openxmlformats.org/package/2006/metadata/core-properties"/>
    <ds:schemaRef ds:uri="http://schemas.microsoft.com/office/2006/metadata/properties"/>
    <ds:schemaRef ds:uri="41c67050-7972-4591-ac00-42caa329804c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Revenue Build &amp; Growth Drivers</vt:lpstr>
      <vt:lpstr>Financial Statement Model</vt:lpstr>
      <vt:lpstr>Integrated DCF Model</vt:lpstr>
      <vt:lpstr>WACC Build</vt:lpstr>
      <vt:lpstr>'Integrated DCF Model'!Discount_Rate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Allen, David Michael</dc:creator>
  <cp:keywords/>
  <dc:description/>
  <cp:lastModifiedBy>Meet Sanghavi</cp:lastModifiedBy>
  <cp:revision/>
  <dcterms:created xsi:type="dcterms:W3CDTF">2023-11-07T18:52:42Z</dcterms:created>
  <dcterms:modified xsi:type="dcterms:W3CDTF">2026-05-07T08:59:42Z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0x0101006B4AF14EF786EB4E802C5062DBE61414</vt:lpwstr>
  </property>
  <property fmtid="{D5CDD505-2E9C-101B-9397-08002B2CF9AE}" pid="3" name="Order">
    <vt:r8>197700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