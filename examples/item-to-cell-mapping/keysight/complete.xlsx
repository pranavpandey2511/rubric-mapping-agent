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38a3fdc6830622/Desktop/DCFs/Final from Engagement/1. Keysight Recon/Reconciliation/Human_Review/"/>
    </mc:Choice>
  </mc:AlternateContent>
  <xr:revisionPtr revIDLastSave="1284" documentId="8_{8377DACE-2D1A-4759-9A96-075836EE6C9D}" xr6:coauthVersionLast="47" xr6:coauthVersionMax="47" xr10:uidLastSave="{FF36BFF1-3EC5-4448-9515-EC675E1C6099}"/>
  <bookViews>
    <workbookView xWindow="28680" yWindow="-2160" windowWidth="29040" windowHeight="15720" xr2:uid="{00000000-000D-0000-FFFF-FFFF00000000}"/>
  </bookViews>
  <sheets>
    <sheet name="Revenue Build &amp; Growth Drivers" sheetId="4" r:id="rId1"/>
    <sheet name="Financial Statement Model" sheetId="3" r:id="rId2"/>
    <sheet name="Integrated DCF Model" sheetId="8" r:id="rId3"/>
    <sheet name="WACC Build" sheetId="6" r:id="rId4"/>
  </sheets>
  <externalReferences>
    <externalReference r:id="rId5"/>
  </externalReferences>
  <definedNames>
    <definedName name="Discount_Rate" localSheetId="2">'Integrated DCF Model'!$E$10</definedName>
    <definedName name="Discount_Rat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Tax">[1]DCF!$D$44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o+niJBz7xvjRa2ZGIzATKq3H8z1W4ayQoyimNnvOmsU="/>
    </ext>
  </extLst>
</workbook>
</file>

<file path=xl/calcChain.xml><?xml version="1.0" encoding="utf-8"?>
<calcChain xmlns="http://schemas.openxmlformats.org/spreadsheetml/2006/main">
  <c r="F214" i="3" l="1"/>
  <c r="E214" i="3"/>
  <c r="D214" i="3"/>
  <c r="F218" i="3" l="1"/>
  <c r="G218" i="3" s="1"/>
  <c r="H218" i="3" s="1"/>
  <c r="I218" i="3" s="1"/>
  <c r="J218" i="3" s="1"/>
  <c r="K218" i="3" s="1"/>
  <c r="E218" i="3"/>
  <c r="D218" i="3"/>
  <c r="L52" i="6"/>
  <c r="D215" i="3" l="1"/>
  <c r="E215" i="3"/>
  <c r="F215" i="3"/>
  <c r="G215" i="3" s="1"/>
  <c r="H215" i="3" s="1"/>
  <c r="I215" i="3" s="1"/>
  <c r="J215" i="3" s="1"/>
  <c r="K215" i="3" s="1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F28" i="4"/>
  <c r="E28" i="4"/>
  <c r="D28" i="4"/>
  <c r="F27" i="4"/>
  <c r="E27" i="4"/>
  <c r="D27" i="4"/>
  <c r="F23" i="4"/>
  <c r="E23" i="4"/>
  <c r="D23" i="4"/>
  <c r="C27" i="4" l="1"/>
  <c r="C28" i="4"/>
  <c r="D5" i="3"/>
  <c r="D5" i="6" l="1"/>
  <c r="D6" i="6"/>
  <c r="D7" i="6"/>
  <c r="D8" i="6"/>
  <c r="D9" i="6"/>
  <c r="D5" i="8"/>
  <c r="D6" i="8"/>
  <c r="D7" i="8"/>
  <c r="D8" i="8"/>
  <c r="D9" i="8"/>
  <c r="D6" i="3"/>
  <c r="D7" i="3"/>
  <c r="D8" i="3"/>
  <c r="D9" i="3"/>
  <c r="D40" i="6" l="1"/>
  <c r="F40" i="4" l="1"/>
  <c r="G37" i="3"/>
  <c r="H37" i="3"/>
  <c r="I37" i="3"/>
  <c r="J37" i="3"/>
  <c r="K37" i="3"/>
  <c r="F37" i="3"/>
  <c r="F47" i="4" s="1"/>
  <c r="E37" i="3"/>
  <c r="E47" i="4" s="1"/>
  <c r="D37" i="3"/>
  <c r="D47" i="4" s="1"/>
  <c r="D177" i="3"/>
  <c r="E174" i="3" s="1"/>
  <c r="E177" i="3" s="1"/>
  <c r="D172" i="3"/>
  <c r="G201" i="3" l="1"/>
  <c r="H201" i="3" l="1"/>
  <c r="I201" i="3" l="1"/>
  <c r="J201" i="3" l="1"/>
  <c r="J117" i="8"/>
  <c r="K117" i="8" s="1"/>
  <c r="L117" i="8" s="1"/>
  <c r="H117" i="8"/>
  <c r="G117" i="8" s="1"/>
  <c r="F117" i="8" s="1"/>
  <c r="E90" i="8"/>
  <c r="G30" i="4"/>
  <c r="K201" i="3" l="1"/>
  <c r="H30" i="4"/>
  <c r="E40" i="4"/>
  <c r="I30" i="4" l="1"/>
  <c r="J30" i="4" l="1"/>
  <c r="L91" i="8"/>
  <c r="J5" i="8"/>
  <c r="L90" i="8"/>
  <c r="E89" i="8"/>
  <c r="L89" i="8" s="1"/>
  <c r="J5" i="6"/>
  <c r="G34" i="8"/>
  <c r="F34" i="8"/>
  <c r="G47" i="8"/>
  <c r="F47" i="8"/>
  <c r="E47" i="8"/>
  <c r="G46" i="8"/>
  <c r="F46" i="8"/>
  <c r="E46" i="8"/>
  <c r="G43" i="8"/>
  <c r="F43" i="8"/>
  <c r="E43" i="8"/>
  <c r="G42" i="8"/>
  <c r="F42" i="8"/>
  <c r="E42" i="8"/>
  <c r="G41" i="8"/>
  <c r="F41" i="8"/>
  <c r="E41" i="8"/>
  <c r="G32" i="8"/>
  <c r="F32" i="8"/>
  <c r="G31" i="8"/>
  <c r="F31" i="8"/>
  <c r="G23" i="8"/>
  <c r="F23" i="8"/>
  <c r="E23" i="8"/>
  <c r="G20" i="8"/>
  <c r="F20" i="8"/>
  <c r="E20" i="8"/>
  <c r="G17" i="8"/>
  <c r="F17" i="8"/>
  <c r="E17" i="8"/>
  <c r="G14" i="8"/>
  <c r="F14" i="8"/>
  <c r="E14" i="8"/>
  <c r="E39" i="8"/>
  <c r="E12" i="8"/>
  <c r="C2" i="8"/>
  <c r="E122" i="8"/>
  <c r="E123" i="8" s="1"/>
  <c r="E124" i="8" s="1"/>
  <c r="E120" i="8"/>
  <c r="E119" i="8" s="1"/>
  <c r="E118" i="8" s="1"/>
  <c r="E112" i="8"/>
  <c r="E113" i="8" s="1"/>
  <c r="E114" i="8" s="1"/>
  <c r="E110" i="8"/>
  <c r="E109" i="8" s="1"/>
  <c r="E108" i="8" s="1"/>
  <c r="J107" i="8"/>
  <c r="K107" i="8" s="1"/>
  <c r="L107" i="8" s="1"/>
  <c r="H107" i="8"/>
  <c r="G107" i="8" s="1"/>
  <c r="F107" i="8" s="1"/>
  <c r="D71" i="8"/>
  <c r="J6" i="8" s="1"/>
  <c r="D20" i="6"/>
  <c r="D19" i="6"/>
  <c r="D18" i="6"/>
  <c r="C2" i="6"/>
  <c r="L17" i="6"/>
  <c r="H17" i="6"/>
  <c r="D237" i="3"/>
  <c r="E237" i="3"/>
  <c r="F237" i="3"/>
  <c r="G234" i="3" s="1"/>
  <c r="E195" i="3"/>
  <c r="D212" i="3"/>
  <c r="F208" i="3"/>
  <c r="E208" i="3"/>
  <c r="D208" i="3"/>
  <c r="F232" i="3"/>
  <c r="E232" i="3"/>
  <c r="D232" i="3"/>
  <c r="F229" i="3"/>
  <c r="E229" i="3"/>
  <c r="F195" i="3"/>
  <c r="G194" i="3"/>
  <c r="H194" i="3" s="1"/>
  <c r="I194" i="3" s="1"/>
  <c r="J194" i="3" s="1"/>
  <c r="K194" i="3" s="1"/>
  <c r="G190" i="3"/>
  <c r="D141" i="3"/>
  <c r="E138" i="3" s="1"/>
  <c r="D182" i="3"/>
  <c r="D161" i="3"/>
  <c r="D135" i="3"/>
  <c r="D150" i="3"/>
  <c r="D108" i="3"/>
  <c r="D78" i="3"/>
  <c r="D44" i="3"/>
  <c r="G129" i="3"/>
  <c r="H129" i="3"/>
  <c r="I129" i="3"/>
  <c r="J129" i="3"/>
  <c r="K129" i="3"/>
  <c r="F130" i="3"/>
  <c r="E130" i="3"/>
  <c r="D130" i="3"/>
  <c r="F124" i="3"/>
  <c r="E124" i="3"/>
  <c r="D124" i="3"/>
  <c r="E122" i="3" s="1"/>
  <c r="K118" i="3"/>
  <c r="J118" i="3"/>
  <c r="I118" i="3"/>
  <c r="H118" i="3"/>
  <c r="G118" i="3"/>
  <c r="F119" i="3"/>
  <c r="E119" i="3"/>
  <c r="D119" i="3"/>
  <c r="F113" i="3"/>
  <c r="G111" i="3" s="1"/>
  <c r="E113" i="3"/>
  <c r="F111" i="3" s="1"/>
  <c r="D113" i="3"/>
  <c r="E111" i="3" s="1"/>
  <c r="F164" i="3"/>
  <c r="E164" i="3"/>
  <c r="D164" i="3"/>
  <c r="C54" i="8"/>
  <c r="F75" i="3"/>
  <c r="E75" i="3"/>
  <c r="D75" i="3"/>
  <c r="E38" i="3"/>
  <c r="F38" i="3"/>
  <c r="E39" i="3"/>
  <c r="F39" i="3"/>
  <c r="E40" i="3"/>
  <c r="F40" i="3"/>
  <c r="D40" i="3"/>
  <c r="D39" i="3"/>
  <c r="D38" i="3"/>
  <c r="G31" i="3"/>
  <c r="F41" i="3"/>
  <c r="E41" i="3"/>
  <c r="F27" i="8" s="1"/>
  <c r="D41" i="3"/>
  <c r="G36" i="3"/>
  <c r="H36" i="3"/>
  <c r="I36" i="3"/>
  <c r="J36" i="3"/>
  <c r="K36" i="3"/>
  <c r="E36" i="3"/>
  <c r="E46" i="4" s="1"/>
  <c r="F36" i="3"/>
  <c r="F46" i="4" s="1"/>
  <c r="D36" i="3"/>
  <c r="D46" i="4" s="1"/>
  <c r="G35" i="3"/>
  <c r="H35" i="3"/>
  <c r="I35" i="3"/>
  <c r="J35" i="3"/>
  <c r="K35" i="3"/>
  <c r="E35" i="3"/>
  <c r="E45" i="4" s="1"/>
  <c r="F35" i="3"/>
  <c r="F45" i="4" s="1"/>
  <c r="D35" i="3"/>
  <c r="D45" i="4" s="1"/>
  <c r="F34" i="3"/>
  <c r="F117" i="3" s="1"/>
  <c r="E34" i="3"/>
  <c r="E117" i="3" s="1"/>
  <c r="C39" i="4"/>
  <c r="C38" i="4"/>
  <c r="D43" i="4"/>
  <c r="D12" i="4"/>
  <c r="D18" i="4"/>
  <c r="D36" i="4"/>
  <c r="C40" i="4"/>
  <c r="F31" i="4"/>
  <c r="E31" i="4"/>
  <c r="C2" i="4"/>
  <c r="E12" i="3"/>
  <c r="E226" i="3" l="1"/>
  <c r="F226" i="3"/>
  <c r="F227" i="3" s="1"/>
  <c r="G227" i="3" s="1"/>
  <c r="H31" i="3"/>
  <c r="I32" i="8" s="1"/>
  <c r="F26" i="8"/>
  <c r="F29" i="8" s="1"/>
  <c r="E202" i="3"/>
  <c r="E198" i="3" s="1"/>
  <c r="D24" i="6"/>
  <c r="G41" i="3"/>
  <c r="H41" i="3" s="1"/>
  <c r="I41" i="3" s="1"/>
  <c r="J41" i="3" s="1"/>
  <c r="K41" i="3" s="1"/>
  <c r="K30" i="4"/>
  <c r="D167" i="3"/>
  <c r="E163" i="3" s="1"/>
  <c r="E167" i="3" s="1"/>
  <c r="F163" i="3" s="1"/>
  <c r="F167" i="3" s="1"/>
  <c r="G163" i="3" s="1"/>
  <c r="D179" i="3"/>
  <c r="E169" i="3"/>
  <c r="E179" i="3"/>
  <c r="F169" i="3"/>
  <c r="F179" i="3"/>
  <c r="E182" i="3"/>
  <c r="E172" i="3"/>
  <c r="F174" i="3"/>
  <c r="E27" i="8"/>
  <c r="E26" i="8" s="1"/>
  <c r="E29" i="8" s="1"/>
  <c r="D33" i="6"/>
  <c r="D35" i="6" s="1"/>
  <c r="F202" i="3"/>
  <c r="G27" i="8"/>
  <c r="G26" i="8" s="1"/>
  <c r="G29" i="8" s="1"/>
  <c r="E48" i="8"/>
  <c r="F48" i="8"/>
  <c r="G44" i="8"/>
  <c r="F15" i="8"/>
  <c r="E44" i="8"/>
  <c r="E207" i="3"/>
  <c r="D21" i="6"/>
  <c r="H32" i="8"/>
  <c r="D14" i="6"/>
  <c r="F207" i="3"/>
  <c r="G207" i="3" s="1"/>
  <c r="H207" i="3" s="1"/>
  <c r="I207" i="3" s="1"/>
  <c r="J207" i="3" s="1"/>
  <c r="K207" i="3" s="1"/>
  <c r="F12" i="8"/>
  <c r="F39" i="8"/>
  <c r="F14" i="6"/>
  <c r="J6" i="6"/>
  <c r="F44" i="8"/>
  <c r="G48" i="8"/>
  <c r="G15" i="8"/>
  <c r="F18" i="8"/>
  <c r="F21" i="8"/>
  <c r="F24" i="8"/>
  <c r="E18" i="8"/>
  <c r="E24" i="8"/>
  <c r="G21" i="8"/>
  <c r="E21" i="8"/>
  <c r="G18" i="8"/>
  <c r="G24" i="8"/>
  <c r="E212" i="3"/>
  <c r="F112" i="3"/>
  <c r="D147" i="3"/>
  <c r="E144" i="3" s="1"/>
  <c r="E158" i="3"/>
  <c r="F158" i="3"/>
  <c r="F118" i="3"/>
  <c r="F48" i="4" s="1"/>
  <c r="E44" i="3"/>
  <c r="E78" i="3"/>
  <c r="E108" i="3"/>
  <c r="E150" i="3"/>
  <c r="E135" i="3"/>
  <c r="E161" i="3"/>
  <c r="D169" i="3"/>
  <c r="E129" i="3"/>
  <c r="E49" i="4" s="1"/>
  <c r="E141" i="3"/>
  <c r="E128" i="3"/>
  <c r="E118" i="3"/>
  <c r="E48" i="4" s="1"/>
  <c r="E123" i="3"/>
  <c r="F122" i="3"/>
  <c r="F123" i="3" s="1"/>
  <c r="D118" i="3"/>
  <c r="D48" i="4" s="1"/>
  <c r="F128" i="3"/>
  <c r="E112" i="3"/>
  <c r="G122" i="3"/>
  <c r="D132" i="3"/>
  <c r="E132" i="3"/>
  <c r="E36" i="4"/>
  <c r="E18" i="4"/>
  <c r="E43" i="4"/>
  <c r="F129" i="3"/>
  <c r="F49" i="4" s="1"/>
  <c r="E12" i="4"/>
  <c r="F132" i="3"/>
  <c r="G31" i="4"/>
  <c r="F12" i="3"/>
  <c r="F172" i="3" s="1"/>
  <c r="G226" i="3" l="1"/>
  <c r="H227" i="3"/>
  <c r="E230" i="3"/>
  <c r="E227" i="3"/>
  <c r="F230" i="3"/>
  <c r="G230" i="3" s="1"/>
  <c r="H230" i="3" s="1"/>
  <c r="G222" i="3"/>
  <c r="I31" i="3"/>
  <c r="E204" i="3"/>
  <c r="G169" i="3"/>
  <c r="H169" i="3" s="1"/>
  <c r="I169" i="3" s="1"/>
  <c r="J169" i="3" s="1"/>
  <c r="K169" i="3" s="1"/>
  <c r="D15" i="6"/>
  <c r="D16" i="6" s="1"/>
  <c r="D23" i="6" s="1"/>
  <c r="D26" i="6" s="1"/>
  <c r="F177" i="3"/>
  <c r="G179" i="3"/>
  <c r="H179" i="3" s="1"/>
  <c r="F198" i="3"/>
  <c r="F204" i="3"/>
  <c r="E50" i="8"/>
  <c r="H27" i="8"/>
  <c r="F50" i="8"/>
  <c r="G50" i="8"/>
  <c r="D145" i="3"/>
  <c r="F212" i="3"/>
  <c r="G39" i="8"/>
  <c r="G12" i="8"/>
  <c r="D42" i="6"/>
  <c r="G158" i="3"/>
  <c r="F138" i="3"/>
  <c r="F141" i="3" s="1"/>
  <c r="E147" i="3"/>
  <c r="F182" i="3"/>
  <c r="F161" i="3"/>
  <c r="F135" i="3"/>
  <c r="F150" i="3"/>
  <c r="F108" i="3"/>
  <c r="F78" i="3"/>
  <c r="F44" i="3"/>
  <c r="F18" i="4"/>
  <c r="F36" i="4"/>
  <c r="F43" i="4"/>
  <c r="F12" i="4"/>
  <c r="H31" i="4"/>
  <c r="G12" i="3"/>
  <c r="G172" i="3" s="1"/>
  <c r="H226" i="3" l="1"/>
  <c r="I227" i="3"/>
  <c r="I230" i="3"/>
  <c r="J32" i="8"/>
  <c r="J31" i="3"/>
  <c r="G198" i="3"/>
  <c r="G202" i="3" s="1"/>
  <c r="G174" i="3"/>
  <c r="E92" i="8"/>
  <c r="L92" i="8" s="1"/>
  <c r="I179" i="3"/>
  <c r="J179" i="3" s="1"/>
  <c r="F52" i="8"/>
  <c r="F33" i="8" s="1"/>
  <c r="F36" i="8" s="1"/>
  <c r="G52" i="8"/>
  <c r="G33" i="8" s="1"/>
  <c r="G36" i="8" s="1"/>
  <c r="I27" i="8"/>
  <c r="G212" i="3"/>
  <c r="H39" i="8"/>
  <c r="H12" i="8"/>
  <c r="D41" i="6"/>
  <c r="D43" i="6"/>
  <c r="G153" i="3"/>
  <c r="H158" i="3"/>
  <c r="E145" i="3"/>
  <c r="F144" i="3"/>
  <c r="G138" i="3"/>
  <c r="G141" i="3" s="1"/>
  <c r="F147" i="3"/>
  <c r="G161" i="3"/>
  <c r="G135" i="3"/>
  <c r="G150" i="3"/>
  <c r="G108" i="3"/>
  <c r="G78" i="3"/>
  <c r="G182" i="3"/>
  <c r="G44" i="3"/>
  <c r="H12" i="3"/>
  <c r="H172" i="3" s="1"/>
  <c r="G43" i="4"/>
  <c r="G12" i="4"/>
  <c r="G18" i="4"/>
  <c r="G36" i="4"/>
  <c r="I31" i="4"/>
  <c r="C2" i="3"/>
  <c r="I226" i="3" l="1"/>
  <c r="J227" i="3"/>
  <c r="J230" i="3"/>
  <c r="K31" i="3"/>
  <c r="K32" i="8"/>
  <c r="H198" i="3"/>
  <c r="H202" i="3" s="1"/>
  <c r="K179" i="3"/>
  <c r="J27" i="8"/>
  <c r="D45" i="6"/>
  <c r="J7" i="8" s="1"/>
  <c r="H212" i="3"/>
  <c r="I39" i="8"/>
  <c r="I12" i="8"/>
  <c r="I55" i="8" s="1"/>
  <c r="H55" i="8"/>
  <c r="H138" i="3"/>
  <c r="H141" i="3" s="1"/>
  <c r="I158" i="3"/>
  <c r="F145" i="3"/>
  <c r="G144" i="3"/>
  <c r="G147" i="3" s="1"/>
  <c r="H144" i="3" s="1"/>
  <c r="H147" i="3" s="1"/>
  <c r="H161" i="3"/>
  <c r="H135" i="3"/>
  <c r="H150" i="3"/>
  <c r="H108" i="3"/>
  <c r="H44" i="3"/>
  <c r="H78" i="3"/>
  <c r="H182" i="3"/>
  <c r="I12" i="3"/>
  <c r="I172" i="3" s="1"/>
  <c r="H43" i="4"/>
  <c r="H12" i="4"/>
  <c r="H18" i="4"/>
  <c r="H36" i="4"/>
  <c r="K31" i="4"/>
  <c r="J31" i="4"/>
  <c r="K227" i="3" l="1"/>
  <c r="K226" i="3" s="1"/>
  <c r="J226" i="3"/>
  <c r="K230" i="3"/>
  <c r="L32" i="8"/>
  <c r="H57" i="8"/>
  <c r="I57" i="8"/>
  <c r="I198" i="3"/>
  <c r="I202" i="3" s="1"/>
  <c r="I144" i="3"/>
  <c r="I147" i="3" s="1"/>
  <c r="H53" i="3"/>
  <c r="L27" i="8"/>
  <c r="K27" i="8"/>
  <c r="F55" i="8"/>
  <c r="I212" i="3"/>
  <c r="J39" i="8"/>
  <c r="J12" i="8"/>
  <c r="G53" i="3"/>
  <c r="I138" i="3"/>
  <c r="I141" i="3" s="1"/>
  <c r="J158" i="3"/>
  <c r="I182" i="3"/>
  <c r="I161" i="3"/>
  <c r="I135" i="3"/>
  <c r="I150" i="3"/>
  <c r="I108" i="3"/>
  <c r="I78" i="3"/>
  <c r="I44" i="3"/>
  <c r="J12" i="3"/>
  <c r="J172" i="3" s="1"/>
  <c r="I43" i="4"/>
  <c r="I12" i="4"/>
  <c r="I18" i="4"/>
  <c r="I36" i="4"/>
  <c r="J198" i="3" l="1"/>
  <c r="J202" i="3" s="1"/>
  <c r="J144" i="3"/>
  <c r="J147" i="3" s="1"/>
  <c r="I53" i="3"/>
  <c r="J212" i="3"/>
  <c r="K39" i="8"/>
  <c r="K12" i="8"/>
  <c r="K55" i="8" s="1"/>
  <c r="J55" i="8"/>
  <c r="J138" i="3"/>
  <c r="J141" i="3" s="1"/>
  <c r="K158" i="3"/>
  <c r="J182" i="3"/>
  <c r="J161" i="3"/>
  <c r="J135" i="3"/>
  <c r="J150" i="3"/>
  <c r="J108" i="3"/>
  <c r="J78" i="3"/>
  <c r="J44" i="3"/>
  <c r="K12" i="3"/>
  <c r="K172" i="3" s="1"/>
  <c r="J43" i="4"/>
  <c r="J12" i="4"/>
  <c r="J18" i="4"/>
  <c r="J36" i="4"/>
  <c r="J57" i="8" l="1"/>
  <c r="K57" i="8"/>
  <c r="K198" i="3"/>
  <c r="K202" i="3" s="1"/>
  <c r="K144" i="3"/>
  <c r="K147" i="3" s="1"/>
  <c r="J53" i="3"/>
  <c r="K212" i="3"/>
  <c r="L39" i="8"/>
  <c r="L12" i="8"/>
  <c r="K138" i="3"/>
  <c r="K141" i="3" s="1"/>
  <c r="K182" i="3"/>
  <c r="K161" i="3"/>
  <c r="K135" i="3"/>
  <c r="K150" i="3"/>
  <c r="K108" i="3"/>
  <c r="K78" i="3"/>
  <c r="K44" i="3"/>
  <c r="K43" i="4"/>
  <c r="K36" i="4"/>
  <c r="K18" i="4"/>
  <c r="K12" i="4"/>
  <c r="K53" i="3" l="1"/>
  <c r="L55" i="8"/>
  <c r="L57" i="8" l="1"/>
  <c r="D229" i="3" l="1"/>
  <c r="D226" i="3" l="1"/>
  <c r="D227" i="3" s="1"/>
  <c r="D14" i="4"/>
  <c r="E14" i="4"/>
  <c r="E24" i="4"/>
  <c r="E38" i="4"/>
  <c r="E39" i="4"/>
  <c r="F14" i="4"/>
  <c r="G21" i="4"/>
  <c r="H21" i="4" s="1"/>
  <c r="G22" i="4"/>
  <c r="H22" i="4" s="1"/>
  <c r="I22" i="4" s="1"/>
  <c r="F24" i="4"/>
  <c r="F38" i="4"/>
  <c r="F39" i="4"/>
  <c r="D230" i="3" l="1"/>
  <c r="E15" i="4"/>
  <c r="F15" i="4"/>
  <c r="H23" i="4"/>
  <c r="H14" i="4" s="1"/>
  <c r="G23" i="4"/>
  <c r="J22" i="4"/>
  <c r="G27" i="4"/>
  <c r="I21" i="4"/>
  <c r="H24" i="4" l="1"/>
  <c r="H28" i="4"/>
  <c r="H27" i="4"/>
  <c r="G14" i="4"/>
  <c r="G15" i="4" s="1"/>
  <c r="G34" i="3" s="1"/>
  <c r="G28" i="4"/>
  <c r="G24" i="4"/>
  <c r="K22" i="4"/>
  <c r="J21" i="4"/>
  <c r="I23" i="4"/>
  <c r="G65" i="3" l="1"/>
  <c r="G117" i="3"/>
  <c r="G113" i="3" s="1"/>
  <c r="G66" i="3"/>
  <c r="G54" i="3"/>
  <c r="G14" i="3"/>
  <c r="G214" i="3" s="1"/>
  <c r="G61" i="3"/>
  <c r="G55" i="3"/>
  <c r="G154" i="3"/>
  <c r="G49" i="3"/>
  <c r="G52" i="3"/>
  <c r="G67" i="3"/>
  <c r="H15" i="4"/>
  <c r="H34" i="3" s="1"/>
  <c r="H117" i="3" s="1"/>
  <c r="J23" i="4"/>
  <c r="J27" i="4" s="1"/>
  <c r="K21" i="4"/>
  <c r="I14" i="4"/>
  <c r="I15" i="4" s="1"/>
  <c r="I34" i="3" s="1"/>
  <c r="I24" i="4"/>
  <c r="I28" i="4"/>
  <c r="I27" i="4"/>
  <c r="G217" i="3" l="1"/>
  <c r="G225" i="3" s="1"/>
  <c r="H55" i="3"/>
  <c r="H61" i="3"/>
  <c r="I47" i="8" s="1"/>
  <c r="H47" i="8"/>
  <c r="G16" i="3"/>
  <c r="G18" i="3"/>
  <c r="H14" i="3"/>
  <c r="G119" i="3"/>
  <c r="G17" i="3"/>
  <c r="G186" i="3"/>
  <c r="H14" i="8"/>
  <c r="H15" i="8" s="1"/>
  <c r="G155" i="3"/>
  <c r="G28" i="3" s="1"/>
  <c r="H154" i="3"/>
  <c r="I154" i="3" s="1"/>
  <c r="H34" i="8"/>
  <c r="G88" i="3"/>
  <c r="G82" i="3"/>
  <c r="H54" i="3"/>
  <c r="H67" i="3"/>
  <c r="I67" i="3" s="1"/>
  <c r="H66" i="3"/>
  <c r="I66" i="3" s="1"/>
  <c r="G91" i="3"/>
  <c r="H52" i="3"/>
  <c r="H91" i="3" s="1"/>
  <c r="H113" i="3"/>
  <c r="G47" i="3"/>
  <c r="G112" i="3"/>
  <c r="H111" i="3"/>
  <c r="H43" i="8"/>
  <c r="H49" i="3"/>
  <c r="H65" i="3"/>
  <c r="I65" i="3" s="1"/>
  <c r="K23" i="4"/>
  <c r="K27" i="4" s="1"/>
  <c r="I117" i="3"/>
  <c r="I55" i="3"/>
  <c r="J14" i="4"/>
  <c r="J15" i="4" s="1"/>
  <c r="J34" i="3" s="1"/>
  <c r="J117" i="3" s="1"/>
  <c r="J24" i="4"/>
  <c r="J28" i="4"/>
  <c r="G83" i="3" l="1"/>
  <c r="I14" i="3"/>
  <c r="I214" i="3" s="1"/>
  <c r="H214" i="3"/>
  <c r="G156" i="3"/>
  <c r="H153" i="3" s="1"/>
  <c r="I61" i="3"/>
  <c r="J61" i="3" s="1"/>
  <c r="G93" i="3"/>
  <c r="H82" i="3"/>
  <c r="I52" i="3"/>
  <c r="J52" i="3" s="1"/>
  <c r="J91" i="3" s="1"/>
  <c r="H41" i="8"/>
  <c r="I113" i="3"/>
  <c r="H112" i="3"/>
  <c r="I111" i="3"/>
  <c r="H47" i="3"/>
  <c r="H16" i="3"/>
  <c r="H18" i="3"/>
  <c r="H119" i="3"/>
  <c r="H186" i="3"/>
  <c r="H17" i="3"/>
  <c r="I14" i="8"/>
  <c r="I15" i="8" s="1"/>
  <c r="I49" i="3"/>
  <c r="J43" i="8" s="1"/>
  <c r="I43" i="8"/>
  <c r="H88" i="3"/>
  <c r="H93" i="3" s="1"/>
  <c r="H155" i="3"/>
  <c r="H28" i="3" s="1"/>
  <c r="I34" i="8"/>
  <c r="H17" i="8"/>
  <c r="H18" i="8" s="1"/>
  <c r="G19" i="3"/>
  <c r="J55" i="3"/>
  <c r="G81" i="3"/>
  <c r="H31" i="8"/>
  <c r="G15" i="3"/>
  <c r="I54" i="3"/>
  <c r="J54" i="3" s="1"/>
  <c r="I88" i="3"/>
  <c r="I155" i="3"/>
  <c r="I28" i="3" s="1"/>
  <c r="J34" i="8"/>
  <c r="J154" i="3"/>
  <c r="J67" i="3"/>
  <c r="J65" i="3"/>
  <c r="J66" i="3"/>
  <c r="K14" i="4"/>
  <c r="K15" i="4" s="1"/>
  <c r="K34" i="3" s="1"/>
  <c r="K117" i="3" s="1"/>
  <c r="K24" i="4"/>
  <c r="K28" i="4"/>
  <c r="H217" i="3" l="1"/>
  <c r="H225" i="3" s="1"/>
  <c r="I217" i="3"/>
  <c r="I225" i="3" s="1"/>
  <c r="I83" i="3"/>
  <c r="I119" i="3"/>
  <c r="I17" i="3"/>
  <c r="J47" i="8"/>
  <c r="J14" i="3"/>
  <c r="J214" i="3" s="1"/>
  <c r="I16" i="3"/>
  <c r="J17" i="8" s="1"/>
  <c r="I186" i="3"/>
  <c r="J14" i="8"/>
  <c r="J15" i="8" s="1"/>
  <c r="I18" i="3"/>
  <c r="I91" i="3"/>
  <c r="I93" i="3" s="1"/>
  <c r="I47" i="3"/>
  <c r="J41" i="8" s="1"/>
  <c r="I41" i="8"/>
  <c r="J113" i="3"/>
  <c r="K111" i="3" s="1"/>
  <c r="J111" i="3"/>
  <c r="I112" i="3"/>
  <c r="J49" i="3"/>
  <c r="K43" i="8" s="1"/>
  <c r="I31" i="8"/>
  <c r="H81" i="3"/>
  <c r="I82" i="3"/>
  <c r="K66" i="3"/>
  <c r="G38" i="3"/>
  <c r="G29" i="3"/>
  <c r="H23" i="8"/>
  <c r="H15" i="3"/>
  <c r="H130" i="3" s="1"/>
  <c r="H19" i="3"/>
  <c r="I17" i="8"/>
  <c r="I18" i="8" s="1"/>
  <c r="G59" i="3"/>
  <c r="G130" i="3"/>
  <c r="G128" i="3" s="1"/>
  <c r="G124" i="3" s="1"/>
  <c r="H156" i="3"/>
  <c r="K54" i="3"/>
  <c r="J82" i="3"/>
  <c r="K67" i="3"/>
  <c r="K55" i="3"/>
  <c r="J155" i="3"/>
  <c r="J28" i="3" s="1"/>
  <c r="K154" i="3"/>
  <c r="K34" i="8"/>
  <c r="J88" i="3"/>
  <c r="J93" i="3" s="1"/>
  <c r="K61" i="3"/>
  <c r="L47" i="8" s="1"/>
  <c r="K47" i="8"/>
  <c r="K65" i="3"/>
  <c r="K52" i="3"/>
  <c r="K91" i="3" s="1"/>
  <c r="I81" i="3"/>
  <c r="J31" i="8"/>
  <c r="H83" i="3" l="1"/>
  <c r="J217" i="3"/>
  <c r="J225" i="3" s="1"/>
  <c r="J18" i="3"/>
  <c r="J119" i="3"/>
  <c r="J17" i="3"/>
  <c r="K14" i="3"/>
  <c r="K214" i="3" s="1"/>
  <c r="J18" i="8"/>
  <c r="I15" i="3"/>
  <c r="I130" i="3" s="1"/>
  <c r="I128" i="3" s="1"/>
  <c r="I19" i="3"/>
  <c r="I29" i="3" s="1"/>
  <c r="J16" i="3"/>
  <c r="J15" i="3" s="1"/>
  <c r="J130" i="3" s="1"/>
  <c r="K14" i="8"/>
  <c r="K15" i="8" s="1"/>
  <c r="J186" i="3"/>
  <c r="J47" i="3"/>
  <c r="K41" i="8" s="1"/>
  <c r="K49" i="3"/>
  <c r="L43" i="8" s="1"/>
  <c r="J112" i="3"/>
  <c r="H26" i="8"/>
  <c r="H29" i="8" s="1"/>
  <c r="K113" i="3"/>
  <c r="K112" i="3" s="1"/>
  <c r="K82" i="3"/>
  <c r="H128" i="3"/>
  <c r="H124" i="3" s="1"/>
  <c r="I153" i="3"/>
  <c r="I156" i="3" s="1"/>
  <c r="H122" i="3"/>
  <c r="G123" i="3"/>
  <c r="G132" i="3"/>
  <c r="G48" i="3"/>
  <c r="H20" i="8"/>
  <c r="H21" i="8" s="1"/>
  <c r="G39" i="3"/>
  <c r="H24" i="8"/>
  <c r="H46" i="8"/>
  <c r="H48" i="8" s="1"/>
  <c r="H59" i="3"/>
  <c r="I46" i="8" s="1"/>
  <c r="I48" i="8" s="1"/>
  <c r="H38" i="3"/>
  <c r="H29" i="3"/>
  <c r="I23" i="8"/>
  <c r="K88" i="3"/>
  <c r="K93" i="3" s="1"/>
  <c r="K155" i="3"/>
  <c r="K28" i="3" s="1"/>
  <c r="L34" i="8"/>
  <c r="J81" i="3"/>
  <c r="K31" i="8"/>
  <c r="M14" i="3"/>
  <c r="J83" i="3" l="1"/>
  <c r="K217" i="3"/>
  <c r="K225" i="3" s="1"/>
  <c r="J23" i="8"/>
  <c r="I38" i="3"/>
  <c r="K119" i="3"/>
  <c r="J19" i="3"/>
  <c r="K18" i="3"/>
  <c r="K186" i="3"/>
  <c r="K17" i="3"/>
  <c r="K16" i="3"/>
  <c r="K15" i="3" s="1"/>
  <c r="K130" i="3" s="1"/>
  <c r="K128" i="3" s="1"/>
  <c r="L14" i="8"/>
  <c r="L15" i="8" s="1"/>
  <c r="K17" i="8"/>
  <c r="K18" i="8" s="1"/>
  <c r="I26" i="8"/>
  <c r="I29" i="8" s="1"/>
  <c r="K47" i="3"/>
  <c r="L41" i="8" s="1"/>
  <c r="J26" i="8"/>
  <c r="J29" i="8" s="1"/>
  <c r="G85" i="3"/>
  <c r="I124" i="3"/>
  <c r="H42" i="8"/>
  <c r="I20" i="8"/>
  <c r="I21" i="8" s="1"/>
  <c r="H39" i="3"/>
  <c r="I59" i="3"/>
  <c r="J59" i="3" s="1"/>
  <c r="I122" i="3"/>
  <c r="H48" i="3"/>
  <c r="H123" i="3"/>
  <c r="H132" i="3"/>
  <c r="J153" i="3"/>
  <c r="J156" i="3" s="1"/>
  <c r="I24" i="8"/>
  <c r="J29" i="3"/>
  <c r="K23" i="8"/>
  <c r="J38" i="3"/>
  <c r="I39" i="3"/>
  <c r="J20" i="8"/>
  <c r="J21" i="8" s="1"/>
  <c r="K81" i="3"/>
  <c r="L31" i="8"/>
  <c r="J24" i="8"/>
  <c r="J128" i="3"/>
  <c r="K83" i="3" l="1"/>
  <c r="M16" i="3"/>
  <c r="L17" i="8"/>
  <c r="L18" i="8" s="1"/>
  <c r="K19" i="3"/>
  <c r="K29" i="3" s="1"/>
  <c r="K26" i="8"/>
  <c r="K29" i="8" s="1"/>
  <c r="J122" i="3"/>
  <c r="J124" i="3"/>
  <c r="K124" i="3" s="1"/>
  <c r="H44" i="8"/>
  <c r="H50" i="8" s="1"/>
  <c r="I42" i="8"/>
  <c r="I123" i="3"/>
  <c r="H85" i="3"/>
  <c r="I132" i="3"/>
  <c r="I48" i="3"/>
  <c r="I85" i="3" s="1"/>
  <c r="K153" i="3"/>
  <c r="K156" i="3" s="1"/>
  <c r="J46" i="8"/>
  <c r="J48" i="8" s="1"/>
  <c r="K59" i="3"/>
  <c r="L46" i="8" s="1"/>
  <c r="L48" i="8" s="1"/>
  <c r="K46" i="8"/>
  <c r="K48" i="8" s="1"/>
  <c r="K24" i="8"/>
  <c r="J39" i="3"/>
  <c r="K20" i="8"/>
  <c r="K21" i="8" s="1"/>
  <c r="M19" i="3"/>
  <c r="K38" i="3"/>
  <c r="L23" i="8" l="1"/>
  <c r="J42" i="8"/>
  <c r="J123" i="3"/>
  <c r="K122" i="3"/>
  <c r="K123" i="3" s="1"/>
  <c r="M156" i="3"/>
  <c r="J132" i="3"/>
  <c r="J48" i="3"/>
  <c r="K42" i="8" s="1"/>
  <c r="L26" i="8"/>
  <c r="L29" i="8" s="1"/>
  <c r="I44" i="8"/>
  <c r="J44" i="8"/>
  <c r="J50" i="8" s="1"/>
  <c r="H52" i="8"/>
  <c r="L24" i="8"/>
  <c r="K48" i="3"/>
  <c r="K132" i="3"/>
  <c r="M29" i="3"/>
  <c r="L20" i="8"/>
  <c r="K39" i="3"/>
  <c r="J85" i="3" l="1"/>
  <c r="K85" i="3"/>
  <c r="I50" i="8"/>
  <c r="J52" i="8" s="1"/>
  <c r="K44" i="8"/>
  <c r="K50" i="8" s="1"/>
  <c r="L42" i="8"/>
  <c r="H33" i="8"/>
  <c r="L21" i="8"/>
  <c r="N20" i="8"/>
  <c r="E80" i="8"/>
  <c r="I52" i="8" l="1"/>
  <c r="L44" i="8"/>
  <c r="H36" i="8"/>
  <c r="H59" i="8" s="1"/>
  <c r="H61" i="8" s="1"/>
  <c r="J33" i="8"/>
  <c r="K52" i="8"/>
  <c r="E83" i="8"/>
  <c r="L50" i="8" l="1"/>
  <c r="I33" i="8"/>
  <c r="J36" i="8"/>
  <c r="J59" i="8" s="1"/>
  <c r="J61" i="8" s="1"/>
  <c r="K33" i="8"/>
  <c r="I36" i="8" l="1"/>
  <c r="I59" i="8" s="1"/>
  <c r="I61" i="8" s="1"/>
  <c r="L52" i="8"/>
  <c r="K36" i="8"/>
  <c r="K59" i="8" s="1"/>
  <c r="K61" i="8" s="1"/>
  <c r="L33" i="8" l="1"/>
  <c r="L36" i="8" l="1"/>
  <c r="L59" i="8" l="1"/>
  <c r="N36" i="8"/>
  <c r="L61" i="8" l="1"/>
  <c r="E81" i="8"/>
  <c r="L80" i="8"/>
  <c r="L81" i="8" l="1"/>
  <c r="L83" i="8"/>
  <c r="E84" i="8"/>
  <c r="E85" i="8" s="1"/>
  <c r="L84" i="8"/>
  <c r="E99" i="8" l="1"/>
  <c r="E93" i="8"/>
  <c r="E95" i="8" s="1"/>
  <c r="E87" i="8"/>
  <c r="E100" i="8"/>
  <c r="E101" i="8"/>
  <c r="L85" i="8"/>
  <c r="L87" i="8" s="1"/>
  <c r="L100" i="8" l="1"/>
  <c r="L101" i="8"/>
  <c r="L93" i="8"/>
  <c r="L95" i="8" s="1"/>
  <c r="L99" i="8"/>
  <c r="E107" i="8"/>
  <c r="E96" i="8"/>
  <c r="L96" i="8" l="1"/>
  <c r="E117" i="8"/>
  <c r="G224" i="3" l="1"/>
  <c r="G236" i="3" s="1"/>
  <c r="H222" i="3" l="1"/>
  <c r="G223" i="3"/>
  <c r="G235" i="3" s="1"/>
  <c r="G237" i="3" s="1"/>
  <c r="G229" i="3"/>
  <c r="G232" i="3" s="1"/>
  <c r="G64" i="3" s="1"/>
  <c r="G51" i="3" l="1"/>
  <c r="H234" i="3"/>
  <c r="I222" i="3"/>
  <c r="H224" i="3"/>
  <c r="H229" i="3"/>
  <c r="H232" i="3" s="1"/>
  <c r="H64" i="3" s="1"/>
  <c r="H223" i="3" l="1"/>
  <c r="H235" i="3" s="1"/>
  <c r="H236" i="3"/>
  <c r="J222" i="3"/>
  <c r="I224" i="3"/>
  <c r="I229" i="3"/>
  <c r="I232" i="3" s="1"/>
  <c r="I64" i="3" s="1"/>
  <c r="H237" i="3" l="1"/>
  <c r="H51" i="3" s="1"/>
  <c r="I223" i="3"/>
  <c r="I235" i="3" s="1"/>
  <c r="I236" i="3"/>
  <c r="K222" i="3"/>
  <c r="J224" i="3"/>
  <c r="J229" i="3"/>
  <c r="J232" i="3" s="1"/>
  <c r="J64" i="3" s="1"/>
  <c r="I234" i="3" l="1"/>
  <c r="I237" i="3" s="1"/>
  <c r="J223" i="3"/>
  <c r="J235" i="3" s="1"/>
  <c r="J236" i="3"/>
  <c r="J234" i="3"/>
  <c r="I51" i="3"/>
  <c r="K224" i="3"/>
  <c r="K236" i="3" s="1"/>
  <c r="K229" i="3"/>
  <c r="K232" i="3" s="1"/>
  <c r="K64" i="3" s="1"/>
  <c r="K223" i="3" l="1"/>
  <c r="K235" i="3" s="1"/>
  <c r="J237" i="3"/>
  <c r="J51" i="3" s="1"/>
  <c r="K234" i="3" l="1"/>
  <c r="K237" i="3" s="1"/>
  <c r="K51" i="3" s="1"/>
  <c r="G20" i="3" l="1"/>
  <c r="H20" i="3"/>
  <c r="I20" i="3"/>
  <c r="J20" i="3"/>
  <c r="K20" i="3"/>
  <c r="G21" i="3"/>
  <c r="H21" i="3"/>
  <c r="I21" i="3"/>
  <c r="J21" i="3"/>
  <c r="K21" i="3"/>
  <c r="G23" i="3"/>
  <c r="H23" i="3"/>
  <c r="I23" i="3"/>
  <c r="J23" i="3"/>
  <c r="K23" i="3"/>
  <c r="M23" i="3"/>
  <c r="G24" i="3"/>
  <c r="H24" i="3"/>
  <c r="I24" i="3"/>
  <c r="J24" i="3"/>
  <c r="K24" i="3"/>
  <c r="G25" i="3"/>
  <c r="H25" i="3"/>
  <c r="I25" i="3"/>
  <c r="J25" i="3"/>
  <c r="K25" i="3"/>
  <c r="G26" i="3"/>
  <c r="H26" i="3"/>
  <c r="I26" i="3"/>
  <c r="J26" i="3"/>
  <c r="K26" i="3"/>
  <c r="M26" i="3"/>
  <c r="G40" i="3"/>
  <c r="H40" i="3"/>
  <c r="I40" i="3"/>
  <c r="J40" i="3"/>
  <c r="K40" i="3"/>
  <c r="G46" i="3"/>
  <c r="H46" i="3"/>
  <c r="I46" i="3"/>
  <c r="J46" i="3"/>
  <c r="K46" i="3"/>
  <c r="M46" i="3"/>
  <c r="G50" i="3"/>
  <c r="H50" i="3"/>
  <c r="I50" i="3"/>
  <c r="J50" i="3"/>
  <c r="K50" i="3"/>
  <c r="G56" i="3"/>
  <c r="H56" i="3"/>
  <c r="I56" i="3"/>
  <c r="J56" i="3"/>
  <c r="K56" i="3"/>
  <c r="G58" i="3"/>
  <c r="H58" i="3"/>
  <c r="I58" i="3"/>
  <c r="J58" i="3"/>
  <c r="K58" i="3"/>
  <c r="G62" i="3"/>
  <c r="H62" i="3"/>
  <c r="I62" i="3"/>
  <c r="J62" i="3"/>
  <c r="K62" i="3"/>
  <c r="G68" i="3"/>
  <c r="H68" i="3"/>
  <c r="I68" i="3"/>
  <c r="J68" i="3"/>
  <c r="K68" i="3"/>
  <c r="G70" i="3"/>
  <c r="H70" i="3"/>
  <c r="I70" i="3"/>
  <c r="J70" i="3"/>
  <c r="K70" i="3"/>
  <c r="G71" i="3"/>
  <c r="H71" i="3"/>
  <c r="I71" i="3"/>
  <c r="J71" i="3"/>
  <c r="K71" i="3"/>
  <c r="G73" i="3"/>
  <c r="H73" i="3"/>
  <c r="I73" i="3"/>
  <c r="J73" i="3"/>
  <c r="K73" i="3"/>
  <c r="G75" i="3"/>
  <c r="H75" i="3"/>
  <c r="I75" i="3"/>
  <c r="J75" i="3"/>
  <c r="K75" i="3"/>
  <c r="G80" i="3"/>
  <c r="H80" i="3"/>
  <c r="I80" i="3"/>
  <c r="J80" i="3"/>
  <c r="K80" i="3"/>
  <c r="G84" i="3"/>
  <c r="H84" i="3"/>
  <c r="I84" i="3"/>
  <c r="J84" i="3"/>
  <c r="K84" i="3"/>
  <c r="G86" i="3"/>
  <c r="H86" i="3"/>
  <c r="I86" i="3"/>
  <c r="J86" i="3"/>
  <c r="K86" i="3"/>
  <c r="G96" i="3"/>
  <c r="H96" i="3"/>
  <c r="I96" i="3"/>
  <c r="J96" i="3"/>
  <c r="K96" i="3"/>
  <c r="G97" i="3"/>
  <c r="H97" i="3"/>
  <c r="I97" i="3"/>
  <c r="J97" i="3"/>
  <c r="K97" i="3"/>
  <c r="G99" i="3"/>
  <c r="H99" i="3"/>
  <c r="I99" i="3"/>
  <c r="J99" i="3"/>
  <c r="K99" i="3"/>
  <c r="G103" i="3"/>
  <c r="H103" i="3"/>
  <c r="I103" i="3"/>
  <c r="J103" i="3"/>
  <c r="K103" i="3"/>
  <c r="H163" i="3"/>
  <c r="I163" i="3"/>
  <c r="J163" i="3"/>
  <c r="K163" i="3"/>
  <c r="G164" i="3"/>
  <c r="H164" i="3"/>
  <c r="I164" i="3"/>
  <c r="J164" i="3"/>
  <c r="K164" i="3"/>
  <c r="G165" i="3"/>
  <c r="H165" i="3"/>
  <c r="I165" i="3"/>
  <c r="J165" i="3"/>
  <c r="K165" i="3"/>
  <c r="G167" i="3"/>
  <c r="H167" i="3"/>
  <c r="I167" i="3"/>
  <c r="J167" i="3"/>
  <c r="K167" i="3"/>
  <c r="H174" i="3"/>
  <c r="I174" i="3"/>
  <c r="J174" i="3"/>
  <c r="K174" i="3"/>
  <c r="G175" i="3"/>
  <c r="H175" i="3"/>
  <c r="I175" i="3"/>
  <c r="J175" i="3"/>
  <c r="K175" i="3"/>
  <c r="G177" i="3"/>
  <c r="H177" i="3"/>
  <c r="I177" i="3"/>
  <c r="J177" i="3"/>
  <c r="K177" i="3"/>
  <c r="G185" i="3"/>
  <c r="H185" i="3"/>
  <c r="I185" i="3"/>
  <c r="J185" i="3"/>
  <c r="K185" i="3"/>
  <c r="H190" i="3"/>
  <c r="I190" i="3"/>
  <c r="J190" i="3"/>
  <c r="K190" i="3"/>
  <c r="G191" i="3"/>
  <c r="H191" i="3"/>
  <c r="I191" i="3"/>
  <c r="J191" i="3"/>
  <c r="K191" i="3"/>
  <c r="G192" i="3"/>
  <c r="H192" i="3"/>
  <c r="I192" i="3"/>
  <c r="J192" i="3"/>
  <c r="K192" i="3"/>
  <c r="G195" i="3"/>
  <c r="H195" i="3"/>
  <c r="I195" i="3"/>
  <c r="J195" i="3"/>
  <c r="K195" i="3"/>
  <c r="G204" i="3"/>
  <c r="H204" i="3"/>
  <c r="I204" i="3"/>
  <c r="J204" i="3"/>
  <c r="K204" i="3"/>
  <c r="G208" i="3"/>
  <c r="H208" i="3"/>
  <c r="I208" i="3"/>
  <c r="J208" i="3"/>
  <c r="K208" i="3"/>
  <c r="G209" i="3"/>
  <c r="H209" i="3"/>
  <c r="I209" i="3"/>
  <c r="J209" i="3"/>
  <c r="K209" i="3"/>
</calcChain>
</file>

<file path=xl/sharedStrings.xml><?xml version="1.0" encoding="utf-8"?>
<sst xmlns="http://schemas.openxmlformats.org/spreadsheetml/2006/main" count="383" uniqueCount="261">
  <si>
    <t>$ in thousands except per unit</t>
  </si>
  <si>
    <t>Company Name</t>
  </si>
  <si>
    <t>Keysight Technologies, Inc.</t>
  </si>
  <si>
    <t>Ticker</t>
  </si>
  <si>
    <t>KEYS</t>
  </si>
  <si>
    <t>Valuation Date</t>
  </si>
  <si>
    <t>Latest Adj. Closing Share Price Date</t>
  </si>
  <si>
    <t>Latest Adj. Closing Share Price</t>
  </si>
  <si>
    <t>Revenue Projection</t>
  </si>
  <si>
    <t>Historical</t>
  </si>
  <si>
    <t>Projected</t>
  </si>
  <si>
    <t>Total Revenues</t>
  </si>
  <si>
    <t>% growth</t>
  </si>
  <si>
    <t>Segmental Revenue Schedule</t>
  </si>
  <si>
    <t>Communications Solutions Group (CSG)</t>
  </si>
  <si>
    <t>Aerospace, Defense &amp; Government</t>
  </si>
  <si>
    <t>Commercial Communications</t>
  </si>
  <si>
    <t>Total CSG Revenue</t>
  </si>
  <si>
    <t>% of CSG Revenue</t>
  </si>
  <si>
    <t>Electronic Industrial Solutions Group (EISG)</t>
  </si>
  <si>
    <t>Growth Driver Assumptions</t>
  </si>
  <si>
    <t>Segment Revenue Growth Drivers</t>
  </si>
  <si>
    <t>Revenue Growth Rate by Segment</t>
  </si>
  <si>
    <t xml:space="preserve"> </t>
  </si>
  <si>
    <t>General Growth Drivers</t>
  </si>
  <si>
    <t>Operating Expenses</t>
  </si>
  <si>
    <t>Gross Profit Margin</t>
  </si>
  <si>
    <t>SG&amp;A % Revenue</t>
  </si>
  <si>
    <t>Other Operating Expense % of Revenue</t>
  </si>
  <si>
    <t>Days Sales Outstanding</t>
  </si>
  <si>
    <t>Inventory Turnover</t>
  </si>
  <si>
    <t>$ in thousands except per share</t>
  </si>
  <si>
    <t>Circ toggle (1=on, 0=off)</t>
  </si>
  <si>
    <t xml:space="preserve">                                                                                      </t>
  </si>
  <si>
    <t>Income Statement</t>
  </si>
  <si>
    <t>5 Year</t>
  </si>
  <si>
    <t>CAGR</t>
  </si>
  <si>
    <t>Less: Cost of Sales</t>
  </si>
  <si>
    <t>Gross Profit</t>
  </si>
  <si>
    <t>SG&amp;A Expense</t>
  </si>
  <si>
    <t>Other Operating Expense</t>
  </si>
  <si>
    <t>Operating Profit (EBIT)</t>
  </si>
  <si>
    <t>Nonoperating Income</t>
  </si>
  <si>
    <t>Interest Expense</t>
  </si>
  <si>
    <t>Unusual Expenses</t>
  </si>
  <si>
    <t>Pre-tax Profit</t>
  </si>
  <si>
    <t>Income Taxes</t>
  </si>
  <si>
    <t>Minority interest</t>
  </si>
  <si>
    <t>Net Income</t>
  </si>
  <si>
    <t>Depreciation and Amortization</t>
  </si>
  <si>
    <t>EBITDA</t>
  </si>
  <si>
    <t>Stock Compensation and Exercise of Options</t>
  </si>
  <si>
    <t>Growth Rates and Margins</t>
  </si>
  <si>
    <t>Revenue Growth</t>
  </si>
  <si>
    <t>SG&amp;A % of Revenue</t>
  </si>
  <si>
    <t>EBIT Margin</t>
  </si>
  <si>
    <t>EBITDA Margin</t>
  </si>
  <si>
    <t>Profit Margin</t>
  </si>
  <si>
    <t>Effective Tax Rate</t>
  </si>
  <si>
    <t>Balance Sheet</t>
  </si>
  <si>
    <t>Cash &amp; Short-Term Investments</t>
  </si>
  <si>
    <t>Short-Term Receivables</t>
  </si>
  <si>
    <t>Inventories</t>
  </si>
  <si>
    <t>Other Current Assets</t>
  </si>
  <si>
    <t>Total Current Assets</t>
  </si>
  <si>
    <t>Net Property, Plant &amp; Equipment</t>
  </si>
  <si>
    <t>Total Long-Term Investments</t>
  </si>
  <si>
    <t>Intangible Assets</t>
  </si>
  <si>
    <t>Deferred Tax Assets</t>
  </si>
  <si>
    <t>Other Assets</t>
  </si>
  <si>
    <t>Total Assets</t>
  </si>
  <si>
    <t>ST Debt &amp; Curr. Portion LT Debt</t>
  </si>
  <si>
    <t>Accounts Payable</t>
  </si>
  <si>
    <t>Income Tax Payable</t>
  </si>
  <si>
    <t>Other Current Liabilities</t>
  </si>
  <si>
    <t>Total Current Liabilities</t>
  </si>
  <si>
    <t>Long-Term Debt</t>
  </si>
  <si>
    <t>Provision for Risks &amp; Charges</t>
  </si>
  <si>
    <t>Deferred Tax Liabilities</t>
  </si>
  <si>
    <t>Other Liabilities</t>
  </si>
  <si>
    <t>Total Liabilities</t>
  </si>
  <si>
    <t>Total Shareholder's Equity</t>
  </si>
  <si>
    <t>Total Equity</t>
  </si>
  <si>
    <t>Total Liabilities and Equity</t>
  </si>
  <si>
    <t>Balance Check</t>
  </si>
  <si>
    <t>Cash Flow Statement</t>
  </si>
  <si>
    <t>Depreciation, Depletion &amp; Amortization</t>
  </si>
  <si>
    <t>Deferred Taxes &amp; Investment Tax Credit</t>
  </si>
  <si>
    <t>Other Funds</t>
  </si>
  <si>
    <t>Funds from Operations</t>
  </si>
  <si>
    <t>Changes in Working Capital</t>
  </si>
  <si>
    <t>Cash Flow From Operating Activities</t>
  </si>
  <si>
    <t>Capital Expenditures</t>
  </si>
  <si>
    <t>Net Assets from Acquisitions</t>
  </si>
  <si>
    <t>Sale of Fixed Assets &amp; Businesses</t>
  </si>
  <si>
    <t>Purchase/Sale of Investments</t>
  </si>
  <si>
    <t>Cash Flow From Investing Activities</t>
  </si>
  <si>
    <t>Change in Capital Stock</t>
  </si>
  <si>
    <t>Issuance/Reduction of Debt, Net</t>
  </si>
  <si>
    <t>Dividends</t>
  </si>
  <si>
    <t>Cash Flow From Financing Activities</t>
  </si>
  <si>
    <t>Effect of Exchange Rate on Cash and Equivalents</t>
  </si>
  <si>
    <t>Net Change in Cash During Period</t>
  </si>
  <si>
    <t>Line Item Schedules</t>
  </si>
  <si>
    <t>Current Assets Schedule</t>
  </si>
  <si>
    <t>Accounts Receivable</t>
  </si>
  <si>
    <t>Beginning of Period</t>
  </si>
  <si>
    <t>Increase (Decrease)</t>
  </si>
  <si>
    <t>End of Period</t>
  </si>
  <si>
    <t>A/R Forecasting Approach (1=Rev Growth, 2=DSO)</t>
  </si>
  <si>
    <t>Revenue Growth Rate (Approach 1)</t>
  </si>
  <si>
    <t>Days Sales Outstanding (Approach 2)</t>
  </si>
  <si>
    <t>Revenue</t>
  </si>
  <si>
    <t>Inventory Forecasting Approach (1=Cost of Sales Growth, 2=Turnover)</t>
  </si>
  <si>
    <t>Cost of Sales Growth Rate (Approach 1)</t>
  </si>
  <si>
    <t>Inventory Turnover (Approach 2)</t>
  </si>
  <si>
    <t>Cost of Sales</t>
  </si>
  <si>
    <t>Current Assets (Ex. Cash and Other current assets)</t>
  </si>
  <si>
    <t>Intangibles Schedule</t>
  </si>
  <si>
    <t>Goodwill</t>
  </si>
  <si>
    <t>Plus: Acquisitions, sale and related adjustments</t>
  </si>
  <si>
    <t>Less: Effect of foreign currency translation</t>
  </si>
  <si>
    <t>Intangibles</t>
  </si>
  <si>
    <t>Plus: Additional changes to Intangibles</t>
  </si>
  <si>
    <t>Less: Amortization</t>
  </si>
  <si>
    <t>PP&amp;E Schedule</t>
  </si>
  <si>
    <t>Property, Plant and Equipment</t>
  </si>
  <si>
    <t>Plus: Capital Expenditures</t>
  </si>
  <si>
    <t>Less: Depreciation</t>
  </si>
  <si>
    <t>D&amp;A Related to PP&amp;E as % of CapEx</t>
  </si>
  <si>
    <t>Retained Earnings Schedule</t>
  </si>
  <si>
    <t>Plus: Net Income</t>
  </si>
  <si>
    <t>Less: Dividends Paid and Declared</t>
  </si>
  <si>
    <t>Less: Other Adjustments</t>
  </si>
  <si>
    <t>Dividend Payout Ratio</t>
  </si>
  <si>
    <t>Non-controlling Interest Schedule</t>
  </si>
  <si>
    <t>Plus: Net Income attributable to NCI</t>
  </si>
  <si>
    <t>Net income attributable to NCI as % of total Net Income</t>
  </si>
  <si>
    <t>Debt &amp; Interest Schedule (ex. Operating leases)</t>
  </si>
  <si>
    <t>Needs Analysis</t>
  </si>
  <si>
    <t>Pre-revolver Cash Balance</t>
  </si>
  <si>
    <t>Target Minimum Cash</t>
  </si>
  <si>
    <t>Target Minimum Cash as a % of Revenue</t>
  </si>
  <si>
    <t>Short-term Bank Credit/Revolver</t>
  </si>
  <si>
    <t>Beginning of Period (BOP)</t>
  </si>
  <si>
    <t>Draw (Paydown)</t>
  </si>
  <si>
    <t>Weighted Average Interest Rate</t>
  </si>
  <si>
    <t>Long-term Debt</t>
  </si>
  <si>
    <t>End of Period Balance (from B/S):</t>
  </si>
  <si>
    <t>Current portion</t>
  </si>
  <si>
    <t>Non-current portion</t>
  </si>
  <si>
    <t>Total Interest Expense</t>
  </si>
  <si>
    <t>Cash and Equivalents</t>
  </si>
  <si>
    <t>End of Period Balance (from B/S)</t>
  </si>
  <si>
    <t>Interest Income</t>
  </si>
  <si>
    <t>Operating Lease Schedule</t>
  </si>
  <si>
    <t>Total lease cost</t>
  </si>
  <si>
    <t>Lease cost as % of revenue</t>
  </si>
  <si>
    <t>Cash payment for operating leases</t>
  </si>
  <si>
    <t>Cash payment as % of total lease cost</t>
  </si>
  <si>
    <t>Operating lease discount rate</t>
  </si>
  <si>
    <t>Operating lease liabilities BOP</t>
  </si>
  <si>
    <t xml:space="preserve">  Plus: New lease additions</t>
  </si>
  <si>
    <t xml:space="preserve">  Plus: Interest accretion</t>
  </si>
  <si>
    <t xml:space="preserve">  Less: Cash lease payments</t>
  </si>
  <si>
    <t>Operating lease liabilities EOP</t>
  </si>
  <si>
    <t>Operating lease liabilities EOP as % of revenue</t>
  </si>
  <si>
    <t>Current portion of lease liabilities</t>
  </si>
  <si>
    <t>Current lease liabilities as a % of total</t>
  </si>
  <si>
    <t>Non-current portion of lease liabilities</t>
  </si>
  <si>
    <t>Total ROU assets BOP</t>
  </si>
  <si>
    <t xml:space="preserve">  Less: ROU amortization</t>
  </si>
  <si>
    <t>Total ROU assets EOP</t>
  </si>
  <si>
    <t>Values</t>
  </si>
  <si>
    <t>Basic Shares Outstanding</t>
  </si>
  <si>
    <t>Fully Diluted Shares Outstanding</t>
  </si>
  <si>
    <t>Discount Rate (WACC)</t>
  </si>
  <si>
    <t>Midyear Adjustment (1=on, 0=off)</t>
  </si>
  <si>
    <t>Unlevered Free Cash Flow</t>
  </si>
  <si>
    <t>YoY Growth Rate (%)</t>
  </si>
  <si>
    <t>Gross Margin (%)</t>
  </si>
  <si>
    <t>EBITDA Margin (%)</t>
  </si>
  <si>
    <t>EBIT Margin (%)</t>
  </si>
  <si>
    <t>Tax on EBIT</t>
  </si>
  <si>
    <t>Tax Rate (%)</t>
  </si>
  <si>
    <t>NOPAT/EBIAT</t>
  </si>
  <si>
    <t>Plus: Depreciation and Amortization</t>
  </si>
  <si>
    <t>Plus: Stock Compensation</t>
  </si>
  <si>
    <t>Less: Change in Net Working Capital</t>
  </si>
  <si>
    <t>Less: Capital Expenditures</t>
  </si>
  <si>
    <t>Unlevered Free Cash Flow (UFCF)</t>
  </si>
  <si>
    <t>Net Working Capital Schedule</t>
  </si>
  <si>
    <t>Current Assets (Ex. Cash)</t>
  </si>
  <si>
    <t>Current Liabilities</t>
  </si>
  <si>
    <t>Net Working Capital</t>
  </si>
  <si>
    <t>Change in Net Working Capital</t>
  </si>
  <si>
    <t>Stub %</t>
  </si>
  <si>
    <t>Stub Year</t>
  </si>
  <si>
    <t>Year 2</t>
  </si>
  <si>
    <t>Year 3</t>
  </si>
  <si>
    <t>Year 4</t>
  </si>
  <si>
    <t>Year 5</t>
  </si>
  <si>
    <t>Dates for Discounting UFCF</t>
  </si>
  <si>
    <t>Periods for Discounting UFCF</t>
  </si>
  <si>
    <t>Stub-adjusted Unlevered Free Cash Flow (UFCF)</t>
  </si>
  <si>
    <t>PV of Stub-adjusted UFCFs</t>
  </si>
  <si>
    <t>Basic to Fully Diluted Shares Bridge (in 000s)</t>
  </si>
  <si>
    <t>Basic Shares</t>
  </si>
  <si>
    <t>Restricted Stock</t>
  </si>
  <si>
    <t>Options/Warrants</t>
  </si>
  <si>
    <t>Convertible Debt</t>
  </si>
  <si>
    <t>Convertible Preferred Stock</t>
  </si>
  <si>
    <t>Terminal Value and Equity Value Bridge</t>
  </si>
  <si>
    <t>Terminal Value - Multiples Method</t>
  </si>
  <si>
    <t>Terminal Value - Perpetual Growth Method</t>
  </si>
  <si>
    <t>EV/EBITDA</t>
  </si>
  <si>
    <t>Terminal UFCF Growth Rate</t>
  </si>
  <si>
    <t>Implied Terminal Value</t>
  </si>
  <si>
    <t>Implied Terminal UFCF Growth Rate</t>
  </si>
  <si>
    <t>Implied Terminal EV/EBITDA</t>
  </si>
  <si>
    <t>Plus: PV of Terminal Value</t>
  </si>
  <si>
    <t>Plus: Sum of PV of Stub-adjusted UFCFs</t>
  </si>
  <si>
    <t>Implied Enterprise Value</t>
  </si>
  <si>
    <t>% of Implied EV from Terminal Value</t>
  </si>
  <si>
    <t>Plus: Cash and Cash Equivalents</t>
  </si>
  <si>
    <t>Less: Debt &amp; Capital Leases (excl. Operating Leases)</t>
  </si>
  <si>
    <t>Less: Preferred Stock</t>
  </si>
  <si>
    <t>Less: Non-controlling Interest</t>
  </si>
  <si>
    <t>Implied Equity Value</t>
  </si>
  <si>
    <t>Implied Share Price</t>
  </si>
  <si>
    <t>Premium (Discount) to Current Price</t>
  </si>
  <si>
    <t>Implied Y1 Multiples</t>
  </si>
  <si>
    <t>EV / Revenue</t>
  </si>
  <si>
    <t xml:space="preserve">EV / EBITDA </t>
  </si>
  <si>
    <t>EV / EBIT</t>
  </si>
  <si>
    <t>Data Tables and Football Field</t>
  </si>
  <si>
    <t>Cost of Debt Calculation</t>
  </si>
  <si>
    <t>Beta (β) Calculator</t>
  </si>
  <si>
    <t>Interest on Short-term Bank Credit</t>
  </si>
  <si>
    <t>S&amp;P 500 Index</t>
  </si>
  <si>
    <t>Interest on Long-term Debt</t>
  </si>
  <si>
    <t>Date</t>
  </si>
  <si>
    <t>Adj. Close Price</t>
  </si>
  <si>
    <t>Return (%)</t>
  </si>
  <si>
    <t>Total Interest Expenses</t>
  </si>
  <si>
    <t>Current Portion of LT Debt &amp; Finance leases</t>
  </si>
  <si>
    <t>LT Debt &amp; Finance leases (Ex. Current Portion)</t>
  </si>
  <si>
    <t>Total Debt</t>
  </si>
  <si>
    <t>Pre-tax Cost of Debt</t>
  </si>
  <si>
    <t>Effective Cost of Debt</t>
  </si>
  <si>
    <t>Cost of Equity Calculation</t>
  </si>
  <si>
    <t>Equity Risk Premium</t>
  </si>
  <si>
    <t>Risk-free Rate</t>
  </si>
  <si>
    <t>Company Beta</t>
  </si>
  <si>
    <t>Cost of Equity</t>
  </si>
  <si>
    <t>Capital Structure and WACC</t>
  </si>
  <si>
    <t>% of Total Capital</t>
  </si>
  <si>
    <t>Equity Value</t>
  </si>
  <si>
    <t>Weighted Average Cost of Capital (WACC)</t>
  </si>
  <si>
    <t>Company Beta (3Y Monthly) &gt;&gt;</t>
  </si>
  <si>
    <t>EV/EBITDA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</si>
</sst>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&quot;FY&quot;\ yyyy"/>
    <numFmt numFmtId="167" formatCode="0.0%_);\(0.0%\);@_)"/>
    <numFmt numFmtId="168" formatCode="#,##0.0_);\(#,##0.0\)"/>
    <numFmt numFmtId="169" formatCode="0\ &quot;days&quot;"/>
    <numFmt numFmtId="170" formatCode="0.0%"/>
    <numFmt numFmtId="171" formatCode="#,##0\ &quot;days&quot;_);\(#,##0\ &quot;days&quot;\)"/>
    <numFmt numFmtId="172" formatCode="_(* #,##0.000_);_(* \(#,##0.000\);_(* &quot;-&quot;_);_(@_)"/>
    <numFmt numFmtId="173" formatCode="_([$$-409]* #,##0.00_);_([$$-409]* \(#,##0.00\);_([$$-409]* &quot;-&quot;??_);_(@_)"/>
    <numFmt numFmtId="174" formatCode="0.0%_);\(0.0%\)"/>
    <numFmt numFmtId="175" formatCode="#,##0_);\(#,##0\);\-\ "/>
    <numFmt numFmtId="176" formatCode="0.0\x_);\(0.0\x\);\-\ "/>
    <numFmt numFmtId="177" formatCode="0.00\x_);\(0.00\x\);\-\ "/>
    <numFmt numFmtId="178" formatCode="#,##0.00_);\(#,##0.00\);\-\ "/>
    <numFmt numFmtId="179" formatCode="0.00%_);\(0.00%\)"/>
  </numFmts>
  <fonts count="3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70C0"/>
      <name val="Calibri"/>
      <family val="2"/>
    </font>
    <font>
      <u/>
      <sz val="11"/>
      <color theme="1"/>
      <name val="Calibri"/>
      <family val="2"/>
    </font>
    <font>
      <sz val="11"/>
      <color theme="9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ourier New"/>
      <family val="1"/>
    </font>
    <font>
      <sz val="11"/>
      <color theme="0"/>
      <name val="Calibri (Body)"/>
    </font>
    <font>
      <b/>
      <sz val="11"/>
      <color theme="0"/>
      <name val="Calibri (Body)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theme="8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196B24"/>
      <name val="Calibri"/>
      <family val="2"/>
    </font>
    <font>
      <b/>
      <sz val="11"/>
      <color rgb="FF0000FF"/>
      <name val="Calibri"/>
      <family val="2"/>
    </font>
    <font>
      <sz val="11"/>
      <color rgb="FF196B24"/>
      <name val="Calibri"/>
      <family val="2"/>
      <scheme val="minor"/>
    </font>
    <font>
      <i/>
      <sz val="11"/>
      <color rgb="FF196B2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1F3864"/>
        <bgColor rgb="FF1F3864"/>
      </patternFill>
    </fill>
    <fill>
      <patternFill patternType="solid">
        <fgColor rgb="FFD8D8D8"/>
        <bgColor indexed="64"/>
      </patternFill>
    </fill>
    <fill>
      <patternFill patternType="solid">
        <fgColor rgb="FFFEF2CB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2" fillId="0" borderId="9"/>
    <xf numFmtId="9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" fillId="0" borderId="9"/>
    <xf numFmtId="43" fontId="2" fillId="0" borderId="9" applyFont="0" applyFill="0" applyBorder="0" applyAlignment="0" applyProtection="0"/>
    <xf numFmtId="0" fontId="2" fillId="0" borderId="9"/>
  </cellStyleXfs>
  <cellXfs count="346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 applyAlignment="1">
      <alignment horizontal="left"/>
    </xf>
    <xf numFmtId="0" fontId="4" fillId="0" borderId="2" xfId="0" applyFont="1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37" fontId="6" fillId="0" borderId="0" xfId="0" applyNumberFormat="1" applyFont="1" applyAlignment="1">
      <alignment horizontal="left"/>
    </xf>
    <xf numFmtId="166" fontId="9" fillId="2" borderId="4" xfId="0" applyNumberFormat="1" applyFont="1" applyFill="1" applyBorder="1" applyAlignment="1">
      <alignment horizontal="center"/>
    </xf>
    <xf numFmtId="166" fontId="9" fillId="2" borderId="5" xfId="0" applyNumberFormat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37" fontId="4" fillId="0" borderId="0" xfId="0" applyNumberFormat="1" applyFont="1"/>
    <xf numFmtId="16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3" fontId="4" fillId="0" borderId="0" xfId="0" applyNumberFormat="1" applyFont="1"/>
    <xf numFmtId="168" fontId="11" fillId="0" borderId="0" xfId="0" applyNumberFormat="1" applyFont="1"/>
    <xf numFmtId="0" fontId="4" fillId="0" borderId="0" xfId="0" applyFont="1"/>
    <xf numFmtId="37" fontId="0" fillId="0" borderId="0" xfId="0" applyNumberFormat="1"/>
    <xf numFmtId="0" fontId="17" fillId="0" borderId="0" xfId="0" applyFont="1"/>
    <xf numFmtId="0" fontId="18" fillId="0" borderId="9" xfId="0" applyFont="1" applyBorder="1"/>
    <xf numFmtId="0" fontId="11" fillId="0" borderId="9" xfId="0" applyFont="1" applyBorder="1"/>
    <xf numFmtId="37" fontId="11" fillId="0" borderId="9" xfId="0" applyNumberFormat="1" applyFont="1" applyBorder="1"/>
    <xf numFmtId="0" fontId="0" fillId="0" borderId="9" xfId="0" applyBorder="1"/>
    <xf numFmtId="170" fontId="16" fillId="0" borderId="0" xfId="0" applyNumberFormat="1" applyFont="1"/>
    <xf numFmtId="0" fontId="20" fillId="0" borderId="0" xfId="0" applyFont="1"/>
    <xf numFmtId="170" fontId="5" fillId="0" borderId="9" xfId="0" applyNumberFormat="1" applyFont="1" applyBorder="1"/>
    <xf numFmtId="168" fontId="11" fillId="0" borderId="9" xfId="0" applyNumberFormat="1" applyFont="1" applyBorder="1"/>
    <xf numFmtId="0" fontId="2" fillId="0" borderId="9" xfId="4"/>
    <xf numFmtId="0" fontId="3" fillId="0" borderId="1" xfId="4" applyFont="1" applyBorder="1"/>
    <xf numFmtId="0" fontId="4" fillId="0" borderId="1" xfId="4" applyFont="1" applyBorder="1"/>
    <xf numFmtId="0" fontId="5" fillId="0" borderId="2" xfId="4" applyFont="1" applyBorder="1" applyAlignment="1">
      <alignment horizontal="left"/>
    </xf>
    <xf numFmtId="0" fontId="4" fillId="0" borderId="2" xfId="4" applyFont="1" applyBorder="1"/>
    <xf numFmtId="0" fontId="5" fillId="0" borderId="9" xfId="4" applyFont="1" applyAlignment="1">
      <alignment horizontal="left"/>
    </xf>
    <xf numFmtId="0" fontId="4" fillId="0" borderId="9" xfId="4" applyFont="1" applyAlignment="1">
      <alignment horizontal="left"/>
    </xf>
    <xf numFmtId="0" fontId="7" fillId="0" borderId="9" xfId="4" applyFont="1"/>
    <xf numFmtId="37" fontId="6" fillId="0" borderId="9" xfId="4" applyNumberFormat="1" applyFont="1" applyAlignment="1">
      <alignment horizontal="left"/>
    </xf>
    <xf numFmtId="0" fontId="8" fillId="0" borderId="9" xfId="4" applyFont="1" applyAlignment="1">
      <alignment horizontal="left"/>
    </xf>
    <xf numFmtId="0" fontId="9" fillId="2" borderId="9" xfId="4" applyFont="1" applyFill="1"/>
    <xf numFmtId="166" fontId="9" fillId="2" borderId="4" xfId="4" applyNumberFormat="1" applyFont="1" applyFill="1" applyBorder="1" applyAlignment="1">
      <alignment horizontal="center"/>
    </xf>
    <xf numFmtId="166" fontId="9" fillId="2" borderId="5" xfId="4" applyNumberFormat="1" applyFont="1" applyFill="1" applyBorder="1" applyAlignment="1">
      <alignment horizontal="center"/>
    </xf>
    <xf numFmtId="0" fontId="11" fillId="0" borderId="9" xfId="4" applyFont="1"/>
    <xf numFmtId="0" fontId="4" fillId="0" borderId="7" xfId="4" applyFont="1" applyBorder="1"/>
    <xf numFmtId="167" fontId="21" fillId="0" borderId="9" xfId="4" applyNumberFormat="1" applyFont="1"/>
    <xf numFmtId="0" fontId="4" fillId="0" borderId="10" xfId="4" applyFont="1" applyBorder="1"/>
    <xf numFmtId="167" fontId="21" fillId="0" borderId="10" xfId="4" applyNumberFormat="1" applyFont="1" applyBorder="1"/>
    <xf numFmtId="0" fontId="4" fillId="0" borderId="7" xfId="4" applyFont="1" applyBorder="1" applyAlignment="1">
      <alignment horizontal="left"/>
    </xf>
    <xf numFmtId="0" fontId="3" fillId="0" borderId="2" xfId="4" applyFont="1" applyBorder="1"/>
    <xf numFmtId="0" fontId="9" fillId="2" borderId="9" xfId="4" applyFont="1" applyFill="1" applyAlignment="1">
      <alignment vertical="top"/>
    </xf>
    <xf numFmtId="167" fontId="4" fillId="0" borderId="9" xfId="4" applyNumberFormat="1" applyFont="1" applyAlignment="1">
      <alignment horizontal="center"/>
    </xf>
    <xf numFmtId="0" fontId="9" fillId="2" borderId="9" xfId="0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0" fontId="3" fillId="0" borderId="2" xfId="0" applyFont="1" applyBorder="1"/>
    <xf numFmtId="0" fontId="9" fillId="2" borderId="9" xfId="0" applyFont="1" applyFill="1" applyBorder="1"/>
    <xf numFmtId="0" fontId="4" fillId="0" borderId="10" xfId="0" applyFont="1" applyBorder="1"/>
    <xf numFmtId="37" fontId="4" fillId="0" borderId="10" xfId="0" applyNumberFormat="1" applyFont="1" applyBorder="1"/>
    <xf numFmtId="0" fontId="11" fillId="0" borderId="0" xfId="0" applyFont="1" applyAlignment="1">
      <alignment horizontal="left"/>
    </xf>
    <xf numFmtId="169" fontId="4" fillId="0" borderId="0" xfId="0" applyNumberFormat="1" applyFont="1"/>
    <xf numFmtId="169" fontId="4" fillId="0" borderId="10" xfId="0" applyNumberFormat="1" applyFont="1" applyBorder="1"/>
    <xf numFmtId="0" fontId="7" fillId="0" borderId="0" xfId="0" applyFont="1" applyAlignment="1">
      <alignment horizontal="left"/>
    </xf>
    <xf numFmtId="167" fontId="13" fillId="0" borderId="0" xfId="0" applyNumberFormat="1" applyFont="1"/>
    <xf numFmtId="0" fontId="11" fillId="0" borderId="7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0" fillId="6" borderId="0" xfId="0" applyFill="1"/>
    <xf numFmtId="37" fontId="11" fillId="6" borderId="0" xfId="0" applyNumberFormat="1" applyFont="1" applyFill="1"/>
    <xf numFmtId="0" fontId="4" fillId="0" borderId="0" xfId="0" applyFont="1" applyAlignment="1">
      <alignment horizontal="left" indent="1"/>
    </xf>
    <xf numFmtId="0" fontId="0" fillId="0" borderId="9" xfId="0" applyBorder="1" applyAlignment="1">
      <alignment wrapText="1"/>
    </xf>
    <xf numFmtId="14" fontId="2" fillId="0" borderId="9" xfId="4" applyNumberFormat="1" applyAlignment="1">
      <alignment horizontal="right"/>
    </xf>
    <xf numFmtId="0" fontId="5" fillId="0" borderId="9" xfId="4" applyFont="1"/>
    <xf numFmtId="0" fontId="9" fillId="2" borderId="9" xfId="4" applyFont="1" applyFill="1" applyAlignment="1">
      <alignment horizontal="left"/>
    </xf>
    <xf numFmtId="0" fontId="11" fillId="7" borderId="7" xfId="4" applyFont="1" applyFill="1" applyBorder="1"/>
    <xf numFmtId="0" fontId="4" fillId="7" borderId="7" xfId="4" applyFont="1" applyFill="1" applyBorder="1"/>
    <xf numFmtId="43" fontId="4" fillId="0" borderId="9" xfId="5" applyFont="1"/>
    <xf numFmtId="0" fontId="11" fillId="0" borderId="12" xfId="0" applyFont="1" applyBorder="1"/>
    <xf numFmtId="170" fontId="5" fillId="0" borderId="10" xfId="0" applyNumberFormat="1" applyFont="1" applyBorder="1"/>
    <xf numFmtId="168" fontId="11" fillId="0" borderId="10" xfId="0" applyNumberFormat="1" applyFont="1" applyBorder="1"/>
    <xf numFmtId="0" fontId="27" fillId="0" borderId="9" xfId="4" applyFont="1" applyAlignment="1">
      <alignment horizontal="center"/>
    </xf>
    <xf numFmtId="0" fontId="11" fillId="0" borderId="7" xfId="4" applyFont="1" applyBorder="1" applyAlignment="1">
      <alignment horizontal="left"/>
    </xf>
    <xf numFmtId="0" fontId="28" fillId="0" borderId="9" xfId="4" applyFont="1" applyAlignment="1">
      <alignment horizontal="left"/>
    </xf>
    <xf numFmtId="0" fontId="28" fillId="0" borderId="9" xfId="4" applyFont="1" applyAlignment="1">
      <alignment horizontal="right"/>
    </xf>
    <xf numFmtId="14" fontId="28" fillId="0" borderId="9" xfId="4" applyNumberFormat="1" applyFont="1" applyAlignment="1">
      <alignment horizontal="right"/>
    </xf>
    <xf numFmtId="0" fontId="2" fillId="0" borderId="9" xfId="6"/>
    <xf numFmtId="0" fontId="11" fillId="9" borderId="12" xfId="4" applyFont="1" applyFill="1" applyBorder="1"/>
    <xf numFmtId="0" fontId="11" fillId="9" borderId="12" xfId="4" applyFont="1" applyFill="1" applyBorder="1" applyAlignment="1">
      <alignment horizontal="right"/>
    </xf>
    <xf numFmtId="0" fontId="4" fillId="0" borderId="2" xfId="4" applyFont="1" applyBorder="1" applyAlignment="1">
      <alignment horizontal="center"/>
    </xf>
    <xf numFmtId="0" fontId="2" fillId="0" borderId="9" xfId="4" applyAlignment="1">
      <alignment horizontal="center"/>
    </xf>
    <xf numFmtId="0" fontId="3" fillId="0" borderId="1" xfId="6" applyFont="1" applyBorder="1"/>
    <xf numFmtId="0" fontId="4" fillId="0" borderId="1" xfId="6" applyFont="1" applyBorder="1"/>
    <xf numFmtId="0" fontId="5" fillId="0" borderId="2" xfId="6" applyFont="1" applyBorder="1" applyAlignment="1">
      <alignment horizontal="left"/>
    </xf>
    <xf numFmtId="0" fontId="4" fillId="0" borderId="2" xfId="6" applyFont="1" applyBorder="1"/>
    <xf numFmtId="0" fontId="5" fillId="0" borderId="9" xfId="6" applyFont="1" applyAlignment="1">
      <alignment horizontal="left"/>
    </xf>
    <xf numFmtId="0" fontId="4" fillId="0" borderId="9" xfId="6" applyFont="1" applyAlignment="1">
      <alignment horizontal="left"/>
    </xf>
    <xf numFmtId="0" fontId="2" fillId="0" borderId="9" xfId="6" applyAlignment="1">
      <alignment horizontal="left"/>
    </xf>
    <xf numFmtId="0" fontId="4" fillId="4" borderId="8" xfId="6" applyFont="1" applyFill="1" applyBorder="1" applyAlignment="1">
      <alignment horizontal="center" vertical="center"/>
    </xf>
    <xf numFmtId="15" fontId="2" fillId="0" borderId="9" xfId="6" applyNumberFormat="1"/>
    <xf numFmtId="0" fontId="9" fillId="2" borderId="9" xfId="6" applyFont="1" applyFill="1"/>
    <xf numFmtId="0" fontId="9" fillId="2" borderId="9" xfId="6" applyFont="1" applyFill="1" applyAlignment="1">
      <alignment horizontal="center"/>
    </xf>
    <xf numFmtId="166" fontId="9" fillId="2" borderId="4" xfId="6" applyNumberFormat="1" applyFont="1" applyFill="1" applyBorder="1" applyAlignment="1">
      <alignment horizontal="center"/>
    </xf>
    <xf numFmtId="166" fontId="9" fillId="2" borderId="5" xfId="6" applyNumberFormat="1" applyFont="1" applyFill="1" applyBorder="1" applyAlignment="1">
      <alignment horizontal="center"/>
    </xf>
    <xf numFmtId="0" fontId="5" fillId="0" borderId="9" xfId="6" applyFont="1"/>
    <xf numFmtId="37" fontId="4" fillId="0" borderId="10" xfId="6" applyNumberFormat="1" applyFont="1" applyBorder="1"/>
    <xf numFmtId="0" fontId="11" fillId="0" borderId="9" xfId="6" applyFont="1"/>
    <xf numFmtId="37" fontId="11" fillId="0" borderId="9" xfId="6" applyNumberFormat="1" applyFont="1"/>
    <xf numFmtId="0" fontId="11" fillId="0" borderId="7" xfId="6" applyFont="1" applyBorder="1"/>
    <xf numFmtId="165" fontId="4" fillId="0" borderId="9" xfId="6" applyNumberFormat="1" applyFont="1"/>
    <xf numFmtId="0" fontId="9" fillId="2" borderId="9" xfId="6" applyFont="1" applyFill="1" applyAlignment="1">
      <alignment horizontal="left"/>
    </xf>
    <xf numFmtId="170" fontId="9" fillId="2" borderId="9" xfId="6" applyNumberFormat="1" applyFont="1" applyFill="1" applyAlignment="1">
      <alignment horizontal="center"/>
    </xf>
    <xf numFmtId="170" fontId="9" fillId="2" borderId="4" xfId="6" applyNumberFormat="1" applyFont="1" applyFill="1" applyBorder="1" applyAlignment="1">
      <alignment horizontal="center"/>
    </xf>
    <xf numFmtId="166" fontId="9" fillId="2" borderId="9" xfId="6" applyNumberFormat="1" applyFont="1" applyFill="1" applyAlignment="1">
      <alignment horizontal="center"/>
    </xf>
    <xf numFmtId="15" fontId="9" fillId="2" borderId="4" xfId="6" applyNumberFormat="1" applyFont="1" applyFill="1" applyBorder="1" applyAlignment="1">
      <alignment horizontal="center"/>
    </xf>
    <xf numFmtId="14" fontId="4" fillId="0" borderId="9" xfId="6" applyNumberFormat="1" applyFont="1"/>
    <xf numFmtId="4" fontId="5" fillId="0" borderId="9" xfId="6" applyNumberFormat="1" applyFont="1"/>
    <xf numFmtId="39" fontId="5" fillId="0" borderId="9" xfId="6" applyNumberFormat="1" applyFont="1"/>
    <xf numFmtId="39" fontId="11" fillId="0" borderId="9" xfId="6" applyNumberFormat="1" applyFont="1"/>
    <xf numFmtId="164" fontId="4" fillId="0" borderId="9" xfId="6" applyNumberFormat="1" applyFont="1"/>
    <xf numFmtId="0" fontId="11" fillId="7" borderId="7" xfId="6" applyFont="1" applyFill="1" applyBorder="1"/>
    <xf numFmtId="0" fontId="4" fillId="7" borderId="7" xfId="6" applyFont="1" applyFill="1" applyBorder="1"/>
    <xf numFmtId="0" fontId="4" fillId="0" borderId="9" xfId="6" applyFont="1"/>
    <xf numFmtId="0" fontId="13" fillId="0" borderId="9" xfId="6" applyFont="1"/>
    <xf numFmtId="0" fontId="24" fillId="0" borderId="9" xfId="6" applyFont="1"/>
    <xf numFmtId="172" fontId="4" fillId="0" borderId="9" xfId="6" applyNumberFormat="1" applyFont="1"/>
    <xf numFmtId="0" fontId="13" fillId="0" borderId="9" xfId="6" applyFont="1" applyAlignment="1">
      <alignment horizontal="left"/>
    </xf>
    <xf numFmtId="0" fontId="13" fillId="0" borderId="7" xfId="6" applyFont="1" applyBorder="1" applyAlignment="1">
      <alignment horizontal="left"/>
    </xf>
    <xf numFmtId="0" fontId="24" fillId="0" borderId="7" xfId="6" applyFont="1" applyBorder="1"/>
    <xf numFmtId="0" fontId="4" fillId="0" borderId="7" xfId="6" applyFont="1" applyBorder="1"/>
    <xf numFmtId="0" fontId="11" fillId="7" borderId="9" xfId="6" applyFont="1" applyFill="1"/>
    <xf numFmtId="0" fontId="24" fillId="7" borderId="9" xfId="6" applyFont="1" applyFill="1"/>
    <xf numFmtId="165" fontId="11" fillId="0" borderId="9" xfId="6" applyNumberFormat="1" applyFont="1"/>
    <xf numFmtId="0" fontId="4" fillId="7" borderId="9" xfId="6" applyFont="1" applyFill="1"/>
    <xf numFmtId="0" fontId="21" fillId="0" borderId="9" xfId="6" applyFont="1"/>
    <xf numFmtId="0" fontId="11" fillId="7" borderId="11" xfId="6" applyFont="1" applyFill="1" applyBorder="1" applyAlignment="1">
      <alignment horizontal="left"/>
    </xf>
    <xf numFmtId="0" fontId="24" fillId="7" borderId="11" xfId="6" applyFont="1" applyFill="1" applyBorder="1"/>
    <xf numFmtId="0" fontId="4" fillId="7" borderId="11" xfId="6" applyFont="1" applyFill="1" applyBorder="1"/>
    <xf numFmtId="0" fontId="11" fillId="3" borderId="14" xfId="6" applyFont="1" applyFill="1" applyBorder="1"/>
    <xf numFmtId="0" fontId="11" fillId="3" borderId="11" xfId="6" applyFont="1" applyFill="1" applyBorder="1"/>
    <xf numFmtId="173" fontId="11" fillId="3" borderId="15" xfId="6" applyNumberFormat="1" applyFont="1" applyFill="1" applyBorder="1"/>
    <xf numFmtId="0" fontId="11" fillId="3" borderId="16" xfId="6" applyFont="1" applyFill="1" applyBorder="1"/>
    <xf numFmtId="0" fontId="11" fillId="3" borderId="7" xfId="6" applyFont="1" applyFill="1" applyBorder="1"/>
    <xf numFmtId="0" fontId="9" fillId="8" borderId="9" xfId="6" applyFont="1" applyFill="1" applyAlignment="1">
      <alignment horizontal="left"/>
    </xf>
    <xf numFmtId="173" fontId="26" fillId="2" borderId="14" xfId="6" applyNumberFormat="1" applyFont="1" applyFill="1" applyBorder="1"/>
    <xf numFmtId="37" fontId="11" fillId="6" borderId="7" xfId="6" applyNumberFormat="1" applyFont="1" applyFill="1" applyBorder="1"/>
    <xf numFmtId="0" fontId="2" fillId="6" borderId="9" xfId="6" applyFill="1"/>
    <xf numFmtId="37" fontId="4" fillId="6" borderId="10" xfId="6" applyNumberFormat="1" applyFont="1" applyFill="1" applyBorder="1"/>
    <xf numFmtId="37" fontId="11" fillId="6" borderId="9" xfId="6" applyNumberFormat="1" applyFont="1" applyFill="1"/>
    <xf numFmtId="37" fontId="11" fillId="6" borderId="10" xfId="6" applyNumberFormat="1" applyFont="1" applyFill="1" applyBorder="1"/>
    <xf numFmtId="37" fontId="11" fillId="6" borderId="6" xfId="6" applyNumberFormat="1" applyFont="1" applyFill="1" applyBorder="1"/>
    <xf numFmtId="0" fontId="2" fillId="0" borderId="9" xfId="6" applyAlignment="1">
      <alignment wrapText="1"/>
    </xf>
    <xf numFmtId="37" fontId="0" fillId="0" borderId="9" xfId="0" applyNumberFormat="1" applyBorder="1"/>
    <xf numFmtId="174" fontId="0" fillId="0" borderId="0" xfId="0" applyNumberFormat="1"/>
    <xf numFmtId="167" fontId="4" fillId="0" borderId="21" xfId="0" applyNumberFormat="1" applyFont="1" applyBorder="1"/>
    <xf numFmtId="175" fontId="22" fillId="0" borderId="9" xfId="0" applyNumberFormat="1" applyFont="1" applyBorder="1"/>
    <xf numFmtId="175" fontId="22" fillId="0" borderId="10" xfId="0" applyNumberFormat="1" applyFont="1" applyBorder="1"/>
    <xf numFmtId="175" fontId="4" fillId="0" borderId="0" xfId="0" applyNumberFormat="1" applyFont="1"/>
    <xf numFmtId="175" fontId="23" fillId="0" borderId="9" xfId="3" applyNumberFormat="1" applyFont="1" applyFill="1" applyBorder="1"/>
    <xf numFmtId="175" fontId="23" fillId="0" borderId="10" xfId="3" applyNumberFormat="1" applyFont="1" applyFill="1" applyBorder="1"/>
    <xf numFmtId="175" fontId="11" fillId="0" borderId="0" xfId="0" applyNumberFormat="1" applyFont="1"/>
    <xf numFmtId="175" fontId="23" fillId="0" borderId="9" xfId="0" applyNumberFormat="1" applyFont="1" applyBorder="1"/>
    <xf numFmtId="175" fontId="23" fillId="0" borderId="10" xfId="0" applyNumberFormat="1" applyFont="1" applyBorder="1"/>
    <xf numFmtId="175" fontId="0" fillId="0" borderId="0" xfId="0" applyNumberFormat="1"/>
    <xf numFmtId="174" fontId="4" fillId="6" borderId="9" xfId="0" applyNumberFormat="1" applyFont="1" applyFill="1" applyBorder="1"/>
    <xf numFmtId="174" fontId="13" fillId="0" borderId="9" xfId="0" applyNumberFormat="1" applyFont="1" applyBorder="1" applyAlignment="1">
      <alignment horizontal="right"/>
    </xf>
    <xf numFmtId="174" fontId="13" fillId="0" borderId="10" xfId="0" applyNumberFormat="1" applyFont="1" applyBorder="1" applyAlignment="1">
      <alignment horizontal="right"/>
    </xf>
    <xf numFmtId="174" fontId="13" fillId="0" borderId="7" xfId="0" applyNumberFormat="1" applyFont="1" applyBorder="1" applyAlignment="1">
      <alignment horizontal="right"/>
    </xf>
    <xf numFmtId="174" fontId="13" fillId="0" borderId="6" xfId="0" applyNumberFormat="1" applyFont="1" applyBorder="1" applyAlignment="1">
      <alignment horizontal="right"/>
    </xf>
    <xf numFmtId="175" fontId="4" fillId="0" borderId="9" xfId="0" applyNumberFormat="1" applyFont="1" applyBorder="1"/>
    <xf numFmtId="175" fontId="4" fillId="0" borderId="21" xfId="0" applyNumberFormat="1" applyFont="1" applyBorder="1"/>
    <xf numFmtId="175" fontId="11" fillId="0" borderId="7" xfId="0" applyNumberFormat="1" applyFont="1" applyBorder="1"/>
    <xf numFmtId="175" fontId="0" fillId="0" borderId="9" xfId="0" applyNumberFormat="1" applyBorder="1"/>
    <xf numFmtId="175" fontId="11" fillId="0" borderId="9" xfId="0" applyNumberFormat="1" applyFont="1" applyBorder="1"/>
    <xf numFmtId="175" fontId="11" fillId="0" borderId="21" xfId="0" applyNumberFormat="1" applyFont="1" applyBorder="1"/>
    <xf numFmtId="175" fontId="11" fillId="0" borderId="22" xfId="0" applyNumberFormat="1" applyFont="1" applyBorder="1"/>
    <xf numFmtId="175" fontId="20" fillId="0" borderId="9" xfId="3" applyNumberFormat="1" applyFont="1" applyFill="1" applyBorder="1"/>
    <xf numFmtId="175" fontId="20" fillId="0" borderId="21" xfId="3" applyNumberFormat="1" applyFont="1" applyFill="1" applyBorder="1"/>
    <xf numFmtId="175" fontId="18" fillId="0" borderId="9" xfId="0" applyNumberFormat="1" applyFont="1" applyBorder="1"/>
    <xf numFmtId="175" fontId="6" fillId="0" borderId="21" xfId="0" applyNumberFormat="1" applyFont="1" applyBorder="1"/>
    <xf numFmtId="175" fontId="19" fillId="0" borderId="0" xfId="0" applyNumberFormat="1" applyFont="1"/>
    <xf numFmtId="175" fontId="18" fillId="0" borderId="0" xfId="0" applyNumberFormat="1" applyFont="1"/>
    <xf numFmtId="175" fontId="11" fillId="0" borderId="12" xfId="0" applyNumberFormat="1" applyFont="1" applyBorder="1"/>
    <xf numFmtId="175" fontId="11" fillId="0" borderId="20" xfId="0" applyNumberFormat="1" applyFont="1" applyBorder="1"/>
    <xf numFmtId="175" fontId="4" fillId="6" borderId="0" xfId="0" applyNumberFormat="1" applyFont="1" applyFill="1"/>
    <xf numFmtId="175" fontId="4" fillId="0" borderId="10" xfId="0" applyNumberFormat="1" applyFont="1" applyBorder="1"/>
    <xf numFmtId="175" fontId="11" fillId="0" borderId="10" xfId="0" applyNumberFormat="1" applyFont="1" applyBorder="1"/>
    <xf numFmtId="174" fontId="0" fillId="6" borderId="0" xfId="0" applyNumberFormat="1" applyFill="1"/>
    <xf numFmtId="174" fontId="4" fillId="0" borderId="10" xfId="0" applyNumberFormat="1" applyFont="1" applyBorder="1"/>
    <xf numFmtId="174" fontId="4" fillId="0" borderId="0" xfId="0" applyNumberFormat="1" applyFont="1"/>
    <xf numFmtId="174" fontId="13" fillId="0" borderId="0" xfId="0" applyNumberFormat="1" applyFont="1"/>
    <xf numFmtId="174" fontId="13" fillId="0" borderId="10" xfId="0" applyNumberFormat="1" applyFont="1" applyBorder="1"/>
    <xf numFmtId="177" fontId="0" fillId="6" borderId="0" xfId="0" applyNumberFormat="1" applyFill="1"/>
    <xf numFmtId="177" fontId="4" fillId="0" borderId="0" xfId="0" applyNumberFormat="1" applyFont="1"/>
    <xf numFmtId="177" fontId="4" fillId="0" borderId="10" xfId="0" applyNumberFormat="1" applyFont="1" applyBorder="1"/>
    <xf numFmtId="175" fontId="11" fillId="0" borderId="6" xfId="0" applyNumberFormat="1" applyFont="1" applyBorder="1"/>
    <xf numFmtId="175" fontId="11" fillId="0" borderId="0" xfId="0" applyNumberFormat="1" applyFont="1" applyAlignment="1">
      <alignment horizontal="right"/>
    </xf>
    <xf numFmtId="175" fontId="11" fillId="0" borderId="13" xfId="0" applyNumberFormat="1" applyFont="1" applyBorder="1"/>
    <xf numFmtId="175" fontId="11" fillId="0" borderId="12" xfId="0" applyNumberFormat="1" applyFont="1" applyBorder="1" applyAlignment="1">
      <alignment horizontal="right"/>
    </xf>
    <xf numFmtId="175" fontId="0" fillId="6" borderId="0" xfId="0" applyNumberFormat="1" applyFill="1"/>
    <xf numFmtId="175" fontId="4" fillId="6" borderId="10" xfId="0" applyNumberFormat="1" applyFont="1" applyFill="1" applyBorder="1"/>
    <xf numFmtId="174" fontId="13" fillId="6" borderId="12" xfId="0" applyNumberFormat="1" applyFont="1" applyFill="1" applyBorder="1"/>
    <xf numFmtId="174" fontId="13" fillId="0" borderId="12" xfId="0" applyNumberFormat="1" applyFont="1" applyBorder="1"/>
    <xf numFmtId="174" fontId="13" fillId="0" borderId="13" xfId="0" applyNumberFormat="1" applyFont="1" applyBorder="1"/>
    <xf numFmtId="174" fontId="13" fillId="0" borderId="7" xfId="0" applyNumberFormat="1" applyFont="1" applyBorder="1"/>
    <xf numFmtId="175" fontId="11" fillId="6" borderId="0" xfId="0" applyNumberFormat="1" applyFont="1" applyFill="1"/>
    <xf numFmtId="175" fontId="11" fillId="6" borderId="7" xfId="0" applyNumberFormat="1" applyFont="1" applyFill="1" applyBorder="1"/>
    <xf numFmtId="174" fontId="4" fillId="0" borderId="21" xfId="0" applyNumberFormat="1" applyFont="1" applyBorder="1"/>
    <xf numFmtId="174" fontId="4" fillId="0" borderId="9" xfId="4" applyNumberFormat="1" applyFont="1"/>
    <xf numFmtId="174" fontId="13" fillId="0" borderId="9" xfId="4" applyNumberFormat="1" applyFont="1"/>
    <xf numFmtId="174" fontId="13" fillId="0" borderId="10" xfId="4" applyNumberFormat="1" applyFont="1" applyBorder="1"/>
    <xf numFmtId="174" fontId="13" fillId="0" borderId="7" xfId="4" applyNumberFormat="1" applyFont="1" applyBorder="1"/>
    <xf numFmtId="174" fontId="13" fillId="0" borderId="6" xfId="4" applyNumberFormat="1" applyFont="1" applyBorder="1"/>
    <xf numFmtId="175" fontId="4" fillId="0" borderId="9" xfId="4" applyNumberFormat="1" applyFont="1"/>
    <xf numFmtId="175" fontId="11" fillId="0" borderId="9" xfId="4" applyNumberFormat="1" applyFont="1"/>
    <xf numFmtId="174" fontId="21" fillId="0" borderId="9" xfId="4" applyNumberFormat="1" applyFont="1"/>
    <xf numFmtId="174" fontId="21" fillId="0" borderId="10" xfId="4" applyNumberFormat="1" applyFont="1" applyBorder="1"/>
    <xf numFmtId="174" fontId="4" fillId="6" borderId="9" xfId="4" applyNumberFormat="1" applyFont="1" applyFill="1"/>
    <xf numFmtId="174" fontId="4" fillId="6" borderId="7" xfId="4" applyNumberFormat="1" applyFont="1" applyFill="1" applyBorder="1"/>
    <xf numFmtId="174" fontId="21" fillId="0" borderId="7" xfId="4" applyNumberFormat="1" applyFont="1" applyBorder="1"/>
    <xf numFmtId="174" fontId="21" fillId="0" borderId="6" xfId="4" applyNumberFormat="1" applyFont="1" applyBorder="1"/>
    <xf numFmtId="175" fontId="32" fillId="0" borderId="9" xfId="4" applyNumberFormat="1" applyFont="1"/>
    <xf numFmtId="175" fontId="32" fillId="0" borderId="10" xfId="4" applyNumberFormat="1" applyFont="1" applyBorder="1"/>
    <xf numFmtId="174" fontId="30" fillId="3" borderId="9" xfId="4" applyNumberFormat="1" applyFont="1" applyFill="1"/>
    <xf numFmtId="174" fontId="30" fillId="3" borderId="7" xfId="4" applyNumberFormat="1" applyFont="1" applyFill="1" applyBorder="1"/>
    <xf numFmtId="171" fontId="30" fillId="3" borderId="9" xfId="4" applyNumberFormat="1" applyFont="1" applyFill="1"/>
    <xf numFmtId="177" fontId="30" fillId="3" borderId="7" xfId="4" applyNumberFormat="1" applyFont="1" applyFill="1" applyBorder="1"/>
    <xf numFmtId="174" fontId="31" fillId="0" borderId="0" xfId="0" applyNumberFormat="1" applyFont="1"/>
    <xf numFmtId="169" fontId="31" fillId="0" borderId="0" xfId="0" applyNumberFormat="1" applyFont="1"/>
    <xf numFmtId="177" fontId="31" fillId="0" borderId="0" xfId="0" applyNumberFormat="1" applyFont="1"/>
    <xf numFmtId="175" fontId="30" fillId="0" borderId="9" xfId="0" applyNumberFormat="1" applyFont="1" applyBorder="1"/>
    <xf numFmtId="175" fontId="30" fillId="0" borderId="10" xfId="0" applyNumberFormat="1" applyFont="1" applyBorder="1"/>
    <xf numFmtId="175" fontId="32" fillId="0" borderId="9" xfId="0" applyNumberFormat="1" applyFont="1" applyBorder="1"/>
    <xf numFmtId="175" fontId="32" fillId="0" borderId="10" xfId="0" applyNumberFormat="1" applyFont="1" applyBorder="1"/>
    <xf numFmtId="175" fontId="4" fillId="0" borderId="9" xfId="6" applyNumberFormat="1" applyFont="1"/>
    <xf numFmtId="175" fontId="4" fillId="0" borderId="10" xfId="6" applyNumberFormat="1" applyFont="1" applyBorder="1"/>
    <xf numFmtId="174" fontId="21" fillId="6" borderId="9" xfId="6" applyNumberFormat="1" applyFont="1" applyFill="1"/>
    <xf numFmtId="174" fontId="21" fillId="0" borderId="9" xfId="6" applyNumberFormat="1" applyFont="1"/>
    <xf numFmtId="174" fontId="21" fillId="0" borderId="10" xfId="6" applyNumberFormat="1" applyFont="1" applyBorder="1"/>
    <xf numFmtId="175" fontId="11" fillId="0" borderId="9" xfId="6" applyNumberFormat="1" applyFont="1"/>
    <xf numFmtId="175" fontId="11" fillId="0" borderId="10" xfId="6" applyNumberFormat="1" applyFont="1" applyBorder="1"/>
    <xf numFmtId="175" fontId="4" fillId="6" borderId="9" xfId="6" applyNumberFormat="1" applyFont="1" applyFill="1"/>
    <xf numFmtId="175" fontId="2" fillId="0" borderId="9" xfId="6" applyNumberFormat="1"/>
    <xf numFmtId="175" fontId="11" fillId="6" borderId="7" xfId="6" applyNumberFormat="1" applyFont="1" applyFill="1" applyBorder="1"/>
    <xf numFmtId="175" fontId="11" fillId="0" borderId="7" xfId="6" applyNumberFormat="1" applyFont="1" applyBorder="1"/>
    <xf numFmtId="175" fontId="11" fillId="0" borderId="6" xfId="6" applyNumberFormat="1" applyFont="1" applyBorder="1"/>
    <xf numFmtId="178" fontId="5" fillId="0" borderId="9" xfId="6" applyNumberFormat="1" applyFont="1"/>
    <xf numFmtId="174" fontId="13" fillId="0" borderId="9" xfId="6" applyNumberFormat="1" applyFont="1"/>
    <xf numFmtId="175" fontId="13" fillId="0" borderId="9" xfId="6" applyNumberFormat="1" applyFont="1"/>
    <xf numFmtId="175" fontId="13" fillId="0" borderId="7" xfId="6" applyNumberFormat="1" applyFont="1" applyBorder="1"/>
    <xf numFmtId="175" fontId="25" fillId="7" borderId="9" xfId="6" applyNumberFormat="1" applyFont="1" applyFill="1"/>
    <xf numFmtId="175" fontId="25" fillId="7" borderId="11" xfId="6" applyNumberFormat="1" applyFont="1" applyFill="1" applyBorder="1"/>
    <xf numFmtId="174" fontId="11" fillId="3" borderId="17" xfId="6" applyNumberFormat="1" applyFont="1" applyFill="1" applyBorder="1"/>
    <xf numFmtId="176" fontId="4" fillId="0" borderId="9" xfId="6" applyNumberFormat="1" applyFont="1"/>
    <xf numFmtId="174" fontId="9" fillId="2" borderId="19" xfId="6" applyNumberFormat="1" applyFont="1" applyFill="1" applyBorder="1"/>
    <xf numFmtId="174" fontId="9" fillId="2" borderId="18" xfId="6" applyNumberFormat="1" applyFont="1" applyFill="1" applyBorder="1"/>
    <xf numFmtId="176" fontId="9" fillId="2" borderId="18" xfId="6" applyNumberFormat="1" applyFont="1" applyFill="1" applyBorder="1"/>
    <xf numFmtId="178" fontId="4" fillId="0" borderId="9" xfId="6" applyNumberFormat="1" applyFont="1"/>
    <xf numFmtId="175" fontId="30" fillId="0" borderId="9" xfId="6" applyNumberFormat="1" applyFont="1"/>
    <xf numFmtId="175" fontId="31" fillId="0" borderId="9" xfId="6" applyNumberFormat="1" applyFont="1"/>
    <xf numFmtId="175" fontId="31" fillId="0" borderId="10" xfId="6" applyNumberFormat="1" applyFont="1" applyBorder="1"/>
    <xf numFmtId="174" fontId="13" fillId="5" borderId="9" xfId="6" applyNumberFormat="1" applyFont="1" applyFill="1" applyAlignment="1">
      <alignment horizontal="center"/>
    </xf>
    <xf numFmtId="164" fontId="33" fillId="0" borderId="9" xfId="6" applyNumberFormat="1" applyFont="1" applyAlignment="1">
      <alignment horizontal="right"/>
    </xf>
    <xf numFmtId="164" fontId="33" fillId="0" borderId="9" xfId="4" applyNumberFormat="1" applyFont="1" applyAlignment="1">
      <alignment horizontal="right"/>
    </xf>
    <xf numFmtId="174" fontId="34" fillId="0" borderId="9" xfId="6" applyNumberFormat="1" applyFont="1"/>
    <xf numFmtId="174" fontId="34" fillId="0" borderId="10" xfId="6" applyNumberFormat="1" applyFont="1" applyBorder="1"/>
    <xf numFmtId="176" fontId="30" fillId="3" borderId="8" xfId="6" applyNumberFormat="1" applyFont="1" applyFill="1" applyBorder="1" applyAlignment="1">
      <alignment horizontal="center"/>
    </xf>
    <xf numFmtId="174" fontId="30" fillId="3" borderId="8" xfId="6" applyNumberFormat="1" applyFont="1" applyFill="1" applyBorder="1" applyAlignment="1">
      <alignment horizontal="center"/>
    </xf>
    <xf numFmtId="14" fontId="30" fillId="0" borderId="9" xfId="4" applyNumberFormat="1" applyFont="1"/>
    <xf numFmtId="178" fontId="30" fillId="0" borderId="9" xfId="4" applyNumberFormat="1" applyFont="1"/>
    <xf numFmtId="179" fontId="4" fillId="0" borderId="9" xfId="4" applyNumberFormat="1" applyFont="1"/>
    <xf numFmtId="178" fontId="11" fillId="9" borderId="12" xfId="4" applyNumberFormat="1" applyFont="1" applyFill="1" applyBorder="1"/>
    <xf numFmtId="175" fontId="31" fillId="0" borderId="9" xfId="4" applyNumberFormat="1" applyFont="1"/>
    <xf numFmtId="175" fontId="2" fillId="0" borderId="9" xfId="4" applyNumberFormat="1"/>
    <xf numFmtId="179" fontId="4" fillId="0" borderId="9" xfId="4" applyNumberFormat="1" applyFont="1" applyAlignment="1">
      <alignment horizontal="right"/>
    </xf>
    <xf numFmtId="179" fontId="13" fillId="0" borderId="9" xfId="4" applyNumberFormat="1" applyFont="1" applyAlignment="1">
      <alignment horizontal="right"/>
    </xf>
    <xf numFmtId="179" fontId="11" fillId="0" borderId="7" xfId="4" applyNumberFormat="1" applyFont="1" applyBorder="1" applyAlignment="1">
      <alignment horizontal="right"/>
    </xf>
    <xf numFmtId="178" fontId="13" fillId="0" borderId="9" xfId="4" applyNumberFormat="1" applyFont="1"/>
    <xf numFmtId="10" fontId="4" fillId="6" borderId="9" xfId="4" applyNumberFormat="1" applyFont="1" applyFill="1"/>
    <xf numFmtId="174" fontId="30" fillId="3" borderId="9" xfId="2" applyNumberFormat="1" applyFont="1" applyFill="1" applyBorder="1"/>
    <xf numFmtId="174" fontId="30" fillId="3" borderId="9" xfId="0" applyNumberFormat="1" applyFont="1" applyFill="1" applyBorder="1"/>
    <xf numFmtId="174" fontId="30" fillId="3" borderId="10" xfId="0" applyNumberFormat="1" applyFont="1" applyFill="1" applyBorder="1"/>
    <xf numFmtId="175" fontId="30" fillId="0" borderId="0" xfId="0" applyNumberFormat="1" applyFont="1"/>
    <xf numFmtId="175" fontId="32" fillId="0" borderId="12" xfId="0" applyNumberFormat="1" applyFont="1" applyBorder="1"/>
    <xf numFmtId="175" fontId="32" fillId="0" borderId="13" xfId="0" applyNumberFormat="1" applyFont="1" applyBorder="1"/>
    <xf numFmtId="0" fontId="25" fillId="0" borderId="9" xfId="4" applyFont="1"/>
    <xf numFmtId="175" fontId="25" fillId="0" borderId="9" xfId="4" applyNumberFormat="1" applyFont="1"/>
    <xf numFmtId="175" fontId="25" fillId="0" borderId="10" xfId="4" applyNumberFormat="1" applyFont="1" applyBorder="1"/>
    <xf numFmtId="0" fontId="21" fillId="0" borderId="7" xfId="4" applyFont="1" applyBorder="1" applyAlignment="1">
      <alignment horizontal="left"/>
    </xf>
    <xf numFmtId="174" fontId="2" fillId="6" borderId="9" xfId="4" applyNumberFormat="1" applyFill="1"/>
    <xf numFmtId="0" fontId="13" fillId="6" borderId="7" xfId="4" applyFont="1" applyFill="1" applyBorder="1"/>
    <xf numFmtId="0" fontId="5" fillId="0" borderId="12" xfId="4" applyFont="1" applyBorder="1" applyAlignment="1">
      <alignment horizontal="left"/>
    </xf>
    <xf numFmtId="174" fontId="2" fillId="6" borderId="12" xfId="4" applyNumberFormat="1" applyFill="1" applyBorder="1"/>
    <xf numFmtId="174" fontId="21" fillId="0" borderId="12" xfId="4" applyNumberFormat="1" applyFont="1" applyBorder="1"/>
    <xf numFmtId="174" fontId="21" fillId="0" borderId="13" xfId="4" applyNumberFormat="1" applyFont="1" applyBorder="1"/>
    <xf numFmtId="0" fontId="13" fillId="0" borderId="9" xfId="4" applyFont="1" applyAlignment="1">
      <alignment horizontal="left"/>
    </xf>
    <xf numFmtId="0" fontId="25" fillId="0" borderId="9" xfId="4" applyFont="1" applyAlignment="1">
      <alignment horizontal="left"/>
    </xf>
    <xf numFmtId="179" fontId="30" fillId="10" borderId="23" xfId="4" applyNumberFormat="1" applyFont="1" applyFill="1" applyBorder="1" applyAlignment="1">
      <alignment horizontal="right"/>
    </xf>
    <xf numFmtId="175" fontId="13" fillId="0" borderId="9" xfId="4" applyNumberFormat="1" applyFont="1" applyAlignment="1">
      <alignment horizontal="right"/>
    </xf>
    <xf numFmtId="179" fontId="31" fillId="0" borderId="9" xfId="6" applyNumberFormat="1" applyFont="1" applyAlignment="1">
      <alignment horizontal="right"/>
    </xf>
    <xf numFmtId="175" fontId="31" fillId="0" borderId="9" xfId="4" applyNumberFormat="1" applyFont="1" applyAlignment="1">
      <alignment horizontal="right"/>
    </xf>
    <xf numFmtId="174" fontId="31" fillId="0" borderId="9" xfId="4" applyNumberFormat="1" applyFont="1" applyAlignment="1">
      <alignment horizontal="right"/>
    </xf>
    <xf numFmtId="174" fontId="31" fillId="0" borderId="10" xfId="4" applyNumberFormat="1" applyFont="1" applyBorder="1" applyAlignment="1">
      <alignment horizontal="right"/>
    </xf>
    <xf numFmtId="171" fontId="31" fillId="0" borderId="9" xfId="4" applyNumberFormat="1" applyFont="1" applyAlignment="1">
      <alignment horizontal="right"/>
    </xf>
    <xf numFmtId="171" fontId="31" fillId="0" borderId="10" xfId="4" applyNumberFormat="1" applyFont="1" applyBorder="1" applyAlignment="1">
      <alignment horizontal="right"/>
    </xf>
    <xf numFmtId="177" fontId="31" fillId="6" borderId="7" xfId="4" applyNumberFormat="1" applyFont="1" applyFill="1" applyBorder="1" applyAlignment="1">
      <alignment horizontal="right"/>
    </xf>
    <xf numFmtId="177" fontId="31" fillId="0" borderId="7" xfId="4" applyNumberFormat="1" applyFont="1" applyBorder="1" applyAlignment="1">
      <alignment horizontal="right"/>
    </xf>
    <xf numFmtId="177" fontId="31" fillId="0" borderId="6" xfId="4" applyNumberFormat="1" applyFont="1" applyBorder="1" applyAlignment="1">
      <alignment horizontal="right"/>
    </xf>
    <xf numFmtId="164" fontId="29" fillId="0" borderId="9" xfId="4" applyNumberFormat="1" applyFont="1" applyAlignment="1">
      <alignment horizontal="right"/>
    </xf>
    <xf numFmtId="175" fontId="0" fillId="0" borderId="21" xfId="0" applyNumberFormat="1" applyBorder="1"/>
    <xf numFmtId="175" fontId="13" fillId="0" borderId="0" xfId="0" applyNumberFormat="1" applyFont="1"/>
    <xf numFmtId="175" fontId="30" fillId="0" borderId="9" xfId="4" applyNumberFormat="1" applyFont="1"/>
    <xf numFmtId="175" fontId="30" fillId="0" borderId="10" xfId="4" applyNumberFormat="1" applyFont="1" applyBorder="1"/>
    <xf numFmtId="0" fontId="4" fillId="0" borderId="9" xfId="0" applyFont="1" applyBorder="1" applyAlignment="1">
      <alignment horizontal="left"/>
    </xf>
    <xf numFmtId="174" fontId="13" fillId="0" borderId="9" xfId="0" applyNumberFormat="1" applyFont="1" applyBorder="1"/>
    <xf numFmtId="0" fontId="4" fillId="0" borderId="7" xfId="0" applyFont="1" applyBorder="1" applyAlignment="1">
      <alignment horizontal="left"/>
    </xf>
    <xf numFmtId="0" fontId="11" fillId="0" borderId="7" xfId="0" applyFont="1" applyBorder="1"/>
    <xf numFmtId="175" fontId="13" fillId="0" borderId="10" xfId="6" applyNumberFormat="1" applyFont="1" applyBorder="1"/>
    <xf numFmtId="175" fontId="30" fillId="0" borderId="21" xfId="0" applyNumberFormat="1" applyFont="1" applyBorder="1"/>
    <xf numFmtId="174" fontId="13" fillId="0" borderId="21" xfId="0" applyNumberFormat="1" applyFont="1" applyBorder="1"/>
    <xf numFmtId="174" fontId="4" fillId="6" borderId="0" xfId="0" applyNumberFormat="1" applyFont="1" applyFill="1"/>
    <xf numFmtId="174" fontId="4" fillId="6" borderId="21" xfId="0" applyNumberFormat="1" applyFont="1" applyFill="1" applyBorder="1"/>
    <xf numFmtId="175" fontId="4" fillId="6" borderId="21" xfId="0" applyNumberFormat="1" applyFont="1" applyFill="1" applyBorder="1"/>
    <xf numFmtId="0" fontId="22" fillId="0" borderId="0" xfId="0" applyFont="1"/>
    <xf numFmtId="0" fontId="1" fillId="0" borderId="0" xfId="0" applyFont="1"/>
    <xf numFmtId="0" fontId="1" fillId="0" borderId="9" xfId="4" applyFont="1" applyAlignment="1">
      <alignment horizontal="left"/>
    </xf>
    <xf numFmtId="0" fontId="1" fillId="0" borderId="9" xfId="4" applyFont="1" applyAlignment="1">
      <alignment horizontal="right"/>
    </xf>
    <xf numFmtId="0" fontId="1" fillId="0" borderId="12" xfId="0" applyFont="1" applyBorder="1"/>
    <xf numFmtId="0" fontId="1" fillId="0" borderId="0" xfId="0" applyFont="1" applyAlignment="1">
      <alignment wrapText="1"/>
    </xf>
    <xf numFmtId="0" fontId="1" fillId="0" borderId="9" xfId="0" applyFont="1" applyBorder="1"/>
    <xf numFmtId="0" fontId="1" fillId="0" borderId="9" xfId="6" applyFont="1" applyAlignment="1">
      <alignment horizontal="right"/>
    </xf>
    <xf numFmtId="0" fontId="1" fillId="0" borderId="9" xfId="6" applyFont="1"/>
    <xf numFmtId="0" fontId="1" fillId="0" borderId="9" xfId="4" applyFont="1"/>
    <xf numFmtId="175" fontId="4" fillId="0" borderId="12" xfId="0" applyNumberFormat="1" applyFont="1" applyBorder="1"/>
    <xf numFmtId="175" fontId="4" fillId="0" borderId="20" xfId="0" applyNumberFormat="1" applyFont="1" applyBorder="1"/>
    <xf numFmtId="0" fontId="9" fillId="2" borderId="9" xfId="4" applyFont="1" applyFill="1" applyAlignment="1">
      <alignment horizontal="center"/>
    </xf>
    <xf numFmtId="0" fontId="10" fillId="0" borderId="9" xfId="4" applyFont="1"/>
    <xf numFmtId="0" fontId="10" fillId="0" borderId="3" xfId="4" applyFont="1" applyBorder="1"/>
    <xf numFmtId="0" fontId="9" fillId="2" borderId="9" xfId="0" applyFont="1" applyFill="1" applyBorder="1" applyAlignment="1">
      <alignment horizontal="center"/>
    </xf>
    <xf numFmtId="0" fontId="10" fillId="0" borderId="9" xfId="0" applyFont="1" applyBorder="1"/>
    <xf numFmtId="0" fontId="10" fillId="0" borderId="3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6" applyFont="1" applyAlignment="1">
      <alignment horizontal="center" vertical="center" wrapText="1"/>
    </xf>
    <xf numFmtId="0" fontId="9" fillId="8" borderId="9" xfId="6" applyFont="1" applyFill="1" applyAlignment="1">
      <alignment horizontal="center"/>
    </xf>
    <xf numFmtId="0" fontId="10" fillId="0" borderId="9" xfId="6" applyFont="1"/>
    <xf numFmtId="0" fontId="9" fillId="8" borderId="9" xfId="6" applyFont="1" applyFill="1" applyAlignment="1">
      <alignment horizontal="center" vertical="center" textRotation="90" wrapText="1"/>
    </xf>
    <xf numFmtId="0" fontId="9" fillId="2" borderId="9" xfId="6" applyFont="1" applyFill="1" applyAlignment="1">
      <alignment horizontal="center"/>
    </xf>
    <xf numFmtId="0" fontId="10" fillId="0" borderId="3" xfId="6" applyFont="1" applyBorder="1"/>
  </cellXfs>
  <cellStyles count="7">
    <cellStyle name="Comma" xfId="3" builtinId="3"/>
    <cellStyle name="Comma 2" xfId="5" xr:uid="{424C8167-4317-49B5-A16E-DACC6D1461CF}"/>
    <cellStyle name="Normal" xfId="0" builtinId="0"/>
    <cellStyle name="Normal 2" xfId="1" xr:uid="{226DB6D9-033B-D348-B46A-6C48F3A2EA05}"/>
    <cellStyle name="Normal 2 2" xfId="6" xr:uid="{69E3BDD3-B2E5-45B7-93F2-BD99ECE76C0B}"/>
    <cellStyle name="Normal 3" xfId="4" xr:uid="{EC52DC17-4131-4871-84F2-B1FEF6FA6A80}"/>
    <cellStyle name="Percent" xfId="2" builtinId="5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EF2CB"/>
      <color rgb="FFD8D8D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amiedu-my.sharepoint.com/Users/enzocardozorojas/Desktop/TAMID/Copy%20of%20Portfolio%20Review%20Financial%20Summary%20(USE%20IN%20MS%20EXCEL%20ONLY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Inputs"/>
      <sheetName val="Financial Summary"/>
      <sheetName val="Operating Model"/>
      <sheetName val="DCF"/>
      <sheetName val="Comps"/>
      <sheetName val="Comps Business Descriptions"/>
      <sheetName val="Income Statement"/>
      <sheetName val="Balance Sheet"/>
      <sheetName val="Cash Flow Statement"/>
      <sheetName val="Stock Price"/>
      <sheetName val="Graphics"/>
    </sheetNames>
    <sheetDataSet>
      <sheetData sheetId="0" refreshError="1"/>
      <sheetData sheetId="1" refreshError="1"/>
      <sheetData sheetId="2" refreshError="1"/>
      <sheetData sheetId="3">
        <row r="40">
          <cell r="D40">
            <v>2228</v>
          </cell>
        </row>
        <row r="44">
          <cell r="D44">
            <v>0.29570000000000002</v>
          </cell>
        </row>
      </sheetData>
      <sheetData sheetId="4" refreshError="1"/>
      <sheetData sheetId="5" refreshError="1"/>
      <sheetData sheetId="6" refreshError="1"/>
      <sheetData sheetId="7">
        <row r="6">
          <cell r="M6">
            <v>1946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F5229C-4070-B74C-B64C-BE750DDCDCA1}">
  <we:reference id="wa200001456" version="3.1.1.0" store="en-US" storeType="OMEX"/>
  <we:alternateReferences>
    <we:reference id="wa200001456" version="3.1.1.0" store="en-US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6046-B93D-4B1C-9EC6-5095768477C6}">
  <dimension ref="B1:K49"/>
  <sheetViews>
    <sheetView showGridLines="0" tabSelected="1" zoomScale="85" zoomScaleNormal="85" workbookViewId="0"/>
  </sheetViews>
  <sheetFormatPr defaultColWidth="14.44140625" defaultRowHeight="14.4" customHeight="1"/>
  <cols>
    <col min="1" max="1" width="1.6640625" style="30" customWidth="1"/>
    <col min="2" max="2" width="2.6640625" style="30" customWidth="1"/>
    <col min="3" max="3" width="45.6640625" style="30" customWidth="1"/>
    <col min="4" max="11" width="12.5546875" style="30" bestFit="1" customWidth="1"/>
    <col min="12" max="12" width="2.6640625" style="30" customWidth="1"/>
    <col min="13" max="13" width="8.6640625" style="30" customWidth="1"/>
    <col min="14" max="18" width="11.33203125" style="30" customWidth="1"/>
    <col min="19" max="23" width="8.6640625" style="30" customWidth="1"/>
    <col min="24" max="16384" width="14.44140625" style="30"/>
  </cols>
  <sheetData>
    <row r="1" spans="3:11" ht="14.4" customHeight="1" thickBot="1"/>
    <row r="2" spans="3:11" ht="18" customHeight="1">
      <c r="C2" s="31" t="str">
        <f>"Revenue Build &amp; Growth Drivers For "&amp;D5</f>
        <v>Revenue Build &amp; Growth Drivers For Keysight Technologies, Inc.</v>
      </c>
      <c r="D2" s="32"/>
      <c r="E2" s="32"/>
      <c r="F2" s="32"/>
      <c r="G2" s="32"/>
      <c r="H2" s="32"/>
      <c r="I2" s="32"/>
      <c r="J2" s="32"/>
      <c r="K2" s="32"/>
    </row>
    <row r="3" spans="3:11" ht="14.4" customHeight="1" thickBot="1">
      <c r="C3" s="33" t="s">
        <v>0</v>
      </c>
      <c r="D3" s="34"/>
      <c r="E3" s="34"/>
      <c r="F3" s="34"/>
      <c r="G3" s="34"/>
      <c r="H3" s="34"/>
      <c r="I3" s="34"/>
      <c r="J3" s="34"/>
      <c r="K3" s="34"/>
    </row>
    <row r="4" spans="3:11" ht="14.4" customHeight="1">
      <c r="C4" s="35"/>
    </row>
    <row r="5" spans="3:11" ht="14.4" customHeight="1">
      <c r="C5" s="36" t="s">
        <v>1</v>
      </c>
      <c r="D5" s="322" t="s">
        <v>2</v>
      </c>
      <c r="F5" s="37"/>
    </row>
    <row r="6" spans="3:11" ht="14.4" customHeight="1">
      <c r="C6" s="36" t="s">
        <v>3</v>
      </c>
      <c r="D6" s="323" t="s">
        <v>4</v>
      </c>
      <c r="F6" s="36"/>
    </row>
    <row r="7" spans="3:11" ht="14.4" customHeight="1">
      <c r="C7" s="36" t="s">
        <v>5</v>
      </c>
      <c r="D7" s="69">
        <v>45394</v>
      </c>
      <c r="F7" s="38"/>
    </row>
    <row r="8" spans="3:11" ht="14.4" customHeight="1">
      <c r="C8" s="36" t="s">
        <v>6</v>
      </c>
      <c r="D8" s="69">
        <v>45393</v>
      </c>
      <c r="F8" s="39"/>
    </row>
    <row r="9" spans="3:11" ht="14.4" customHeight="1">
      <c r="C9" s="36" t="s">
        <v>7</v>
      </c>
      <c r="D9" s="305">
        <v>160.13999999999999</v>
      </c>
    </row>
    <row r="11" spans="3:11" ht="14.4" customHeight="1">
      <c r="C11" s="40" t="s">
        <v>8</v>
      </c>
      <c r="D11" s="332" t="s">
        <v>9</v>
      </c>
      <c r="E11" s="333"/>
      <c r="F11" s="334"/>
      <c r="G11" s="332" t="s">
        <v>10</v>
      </c>
      <c r="H11" s="333"/>
      <c r="I11" s="333"/>
      <c r="J11" s="333"/>
      <c r="K11" s="333"/>
    </row>
    <row r="12" spans="3:11" ht="14.4" customHeight="1">
      <c r="C12" s="40"/>
      <c r="D12" s="41">
        <f>'Financial Statement Model'!D12</f>
        <v>44500</v>
      </c>
      <c r="E12" s="41">
        <f>'Financial Statement Model'!E12</f>
        <v>44865</v>
      </c>
      <c r="F12" s="42">
        <f>'Financial Statement Model'!F12</f>
        <v>45230</v>
      </c>
      <c r="G12" s="41">
        <f>'Financial Statement Model'!G12</f>
        <v>45596</v>
      </c>
      <c r="H12" s="41">
        <f>'Financial Statement Model'!H12</f>
        <v>45961</v>
      </c>
      <c r="I12" s="41">
        <f>'Financial Statement Model'!I12</f>
        <v>46326</v>
      </c>
      <c r="J12" s="41">
        <f>'Financial Statement Model'!J12</f>
        <v>46691</v>
      </c>
      <c r="K12" s="41">
        <f>'Financial Statement Model'!K12</f>
        <v>47057</v>
      </c>
    </row>
    <row r="14" spans="3:11" ht="14.4" customHeight="1">
      <c r="C14" s="282" t="s">
        <v>11</v>
      </c>
      <c r="D14" s="283">
        <f>+D23+D30</f>
        <v>4941000</v>
      </c>
      <c r="E14" s="283">
        <f t="shared" ref="E14:K14" si="0">+E23+E30</f>
        <v>5420000</v>
      </c>
      <c r="F14" s="284">
        <f t="shared" si="0"/>
        <v>5464000</v>
      </c>
      <c r="G14" s="283">
        <f t="shared" si="0"/>
        <v>5740940</v>
      </c>
      <c r="H14" s="283">
        <f t="shared" si="0"/>
        <v>6106477.8000000007</v>
      </c>
      <c r="I14" s="283">
        <f t="shared" si="0"/>
        <v>6500932.8300000001</v>
      </c>
      <c r="J14" s="283">
        <f t="shared" si="0"/>
        <v>6896456.1555000003</v>
      </c>
      <c r="K14" s="283">
        <f t="shared" si="0"/>
        <v>7322384.811075002</v>
      </c>
    </row>
    <row r="15" spans="3:11" ht="14.4" customHeight="1">
      <c r="C15" s="285" t="s">
        <v>12</v>
      </c>
      <c r="D15" s="287"/>
      <c r="E15" s="216">
        <f>+E14/D14-1</f>
        <v>9.6943938473993185E-2</v>
      </c>
      <c r="F15" s="217">
        <f t="shared" ref="F15:K15" si="1">+F14/E14-1</f>
        <v>8.1180811808116982E-3</v>
      </c>
      <c r="G15" s="216">
        <f t="shared" si="1"/>
        <v>5.0684480234260532E-2</v>
      </c>
      <c r="H15" s="216">
        <f t="shared" si="1"/>
        <v>6.3672116412991642E-2</v>
      </c>
      <c r="I15" s="216">
        <f t="shared" si="1"/>
        <v>6.4596162128027323E-2</v>
      </c>
      <c r="J15" s="216">
        <f t="shared" si="1"/>
        <v>6.0841010950731578E-2</v>
      </c>
      <c r="K15" s="216">
        <f t="shared" si="1"/>
        <v>6.176051090172141E-2</v>
      </c>
    </row>
    <row r="16" spans="3:11" ht="14.4" customHeight="1">
      <c r="C16" s="35"/>
      <c r="E16" s="45"/>
      <c r="F16" s="45"/>
      <c r="G16" s="45"/>
      <c r="H16" s="45"/>
      <c r="I16" s="45"/>
      <c r="J16" s="45"/>
      <c r="K16" s="45"/>
    </row>
    <row r="17" spans="3:11" ht="14.4" customHeight="1">
      <c r="C17" s="40" t="s">
        <v>13</v>
      </c>
      <c r="D17" s="332" t="s">
        <v>9</v>
      </c>
      <c r="E17" s="333"/>
      <c r="F17" s="334"/>
      <c r="G17" s="332" t="s">
        <v>10</v>
      </c>
      <c r="H17" s="333"/>
      <c r="I17" s="333"/>
      <c r="J17" s="333"/>
      <c r="K17" s="333"/>
    </row>
    <row r="18" spans="3:11" ht="14.4" customHeight="1">
      <c r="C18" s="40"/>
      <c r="D18" s="41">
        <f>'Financial Statement Model'!D12</f>
        <v>44500</v>
      </c>
      <c r="E18" s="41">
        <f>'Financial Statement Model'!E12</f>
        <v>44865</v>
      </c>
      <c r="F18" s="42">
        <f>'Financial Statement Model'!F12</f>
        <v>45230</v>
      </c>
      <c r="G18" s="41">
        <f>'Financial Statement Model'!G12</f>
        <v>45596</v>
      </c>
      <c r="H18" s="41">
        <f>'Financial Statement Model'!H12</f>
        <v>45961</v>
      </c>
      <c r="I18" s="41">
        <f>'Financial Statement Model'!I12</f>
        <v>46326</v>
      </c>
      <c r="J18" s="41">
        <f>'Financial Statement Model'!J12</f>
        <v>46691</v>
      </c>
      <c r="K18" s="41">
        <f>'Financial Statement Model'!K12</f>
        <v>47057</v>
      </c>
    </row>
    <row r="20" spans="3:11" ht="14.4" customHeight="1">
      <c r="C20" s="43" t="s">
        <v>14</v>
      </c>
      <c r="F20" s="46"/>
    </row>
    <row r="21" spans="3:11" ht="14.4" customHeight="1">
      <c r="C21" s="292" t="s">
        <v>15</v>
      </c>
      <c r="D21" s="308">
        <v>1142000</v>
      </c>
      <c r="E21" s="308">
        <v>1171000</v>
      </c>
      <c r="F21" s="309">
        <v>1250000</v>
      </c>
      <c r="G21" s="210">
        <f t="shared" ref="G21:K22" si="2">+F21*(1+G38)</f>
        <v>1331250</v>
      </c>
      <c r="H21" s="210">
        <f t="shared" si="2"/>
        <v>1411125</v>
      </c>
      <c r="I21" s="210">
        <f t="shared" si="2"/>
        <v>1509903.75</v>
      </c>
      <c r="J21" s="210">
        <f t="shared" si="2"/>
        <v>1585398.9375</v>
      </c>
      <c r="K21" s="210">
        <f t="shared" si="2"/>
        <v>1664668.8843750001</v>
      </c>
    </row>
    <row r="22" spans="3:11" ht="14.4" customHeight="1">
      <c r="C22" s="292" t="s">
        <v>16</v>
      </c>
      <c r="D22" s="308">
        <v>2381000</v>
      </c>
      <c r="E22" s="308">
        <v>2632000</v>
      </c>
      <c r="F22" s="309">
        <v>2435000</v>
      </c>
      <c r="G22" s="210">
        <f t="shared" si="2"/>
        <v>2435000</v>
      </c>
      <c r="H22" s="210">
        <f t="shared" si="2"/>
        <v>2483700</v>
      </c>
      <c r="I22" s="210">
        <f t="shared" si="2"/>
        <v>2558211</v>
      </c>
      <c r="J22" s="210">
        <f t="shared" si="2"/>
        <v>2634957.33</v>
      </c>
      <c r="K22" s="210">
        <f t="shared" si="2"/>
        <v>2714006.0499</v>
      </c>
    </row>
    <row r="23" spans="3:11" ht="14.4" customHeight="1">
      <c r="C23" s="43" t="s">
        <v>17</v>
      </c>
      <c r="D23" s="283">
        <f t="shared" ref="D23:F23" si="3">SUM(D21:D22)</f>
        <v>3523000</v>
      </c>
      <c r="E23" s="283">
        <f t="shared" si="3"/>
        <v>3803000</v>
      </c>
      <c r="F23" s="284">
        <f t="shared" si="3"/>
        <v>3685000</v>
      </c>
      <c r="G23" s="211">
        <f>SUM(G21:G22)</f>
        <v>3766250</v>
      </c>
      <c r="H23" s="211">
        <f>SUM(H21:H22)</f>
        <v>3894825</v>
      </c>
      <c r="I23" s="211">
        <f>SUM(I21:I22)</f>
        <v>4068114.75</v>
      </c>
      <c r="J23" s="211">
        <f>SUM(J21:J22)</f>
        <v>4220356.2675000001</v>
      </c>
      <c r="K23" s="211">
        <f>SUM(K21:K22)</f>
        <v>4378674.9342750004</v>
      </c>
    </row>
    <row r="24" spans="3:11" ht="14.4" customHeight="1">
      <c r="C24" s="35" t="s">
        <v>12</v>
      </c>
      <c r="D24" s="286"/>
      <c r="E24" s="212">
        <f>+E23/D23-1</f>
        <v>7.9477717854101515E-2</v>
      </c>
      <c r="F24" s="213">
        <f>+F23/E23-1</f>
        <v>-3.1028135682356073E-2</v>
      </c>
      <c r="G24" s="212">
        <f t="shared" ref="G24:K24" si="4">+G23/F23-1</f>
        <v>2.2048846675712275E-2</v>
      </c>
      <c r="H24" s="212">
        <f t="shared" si="4"/>
        <v>3.4138732160637231E-2</v>
      </c>
      <c r="I24" s="212">
        <f t="shared" si="4"/>
        <v>4.4492307099805561E-2</v>
      </c>
      <c r="J24" s="212">
        <f t="shared" si="4"/>
        <v>3.7423112880481169E-2</v>
      </c>
      <c r="K24" s="212">
        <f t="shared" si="4"/>
        <v>3.7513104757097349E-2</v>
      </c>
    </row>
    <row r="25" spans="3:11" ht="14.4" customHeight="1">
      <c r="C25" s="35"/>
      <c r="E25" s="45"/>
      <c r="F25" s="47"/>
      <c r="G25" s="45"/>
      <c r="H25" s="45"/>
      <c r="I25" s="45"/>
      <c r="J25" s="45"/>
      <c r="K25" s="45"/>
    </row>
    <row r="26" spans="3:11" ht="14.4" customHeight="1">
      <c r="C26" s="43" t="s">
        <v>18</v>
      </c>
      <c r="F26" s="46"/>
    </row>
    <row r="27" spans="3:11" ht="14.4" customHeight="1">
      <c r="C27" s="36" t="str">
        <f>C21</f>
        <v>Aerospace, Defense &amp; Government</v>
      </c>
      <c r="D27" s="206">
        <f t="shared" ref="D27:F27" si="5">+D21/D$23</f>
        <v>0.32415554924780016</v>
      </c>
      <c r="E27" s="206">
        <f t="shared" si="5"/>
        <v>0.30791480410202471</v>
      </c>
      <c r="F27" s="207">
        <f t="shared" si="5"/>
        <v>0.33921302578018997</v>
      </c>
      <c r="G27" s="205">
        <f t="shared" ref="G27:K28" si="6">+G21/G$23</f>
        <v>0.35346830401593099</v>
      </c>
      <c r="H27" s="205">
        <f t="shared" si="6"/>
        <v>0.36230767749513776</v>
      </c>
      <c r="I27" s="205">
        <f t="shared" si="6"/>
        <v>0.37115564402405316</v>
      </c>
      <c r="J27" s="205">
        <f t="shared" si="6"/>
        <v>0.3756552378548691</v>
      </c>
      <c r="K27" s="205">
        <f t="shared" si="6"/>
        <v>0.38017640253320789</v>
      </c>
    </row>
    <row r="28" spans="3:11" ht="14.4" customHeight="1">
      <c r="C28" s="36" t="str">
        <f>C22</f>
        <v>Commercial Communications</v>
      </c>
      <c r="D28" s="206">
        <f t="shared" ref="D28:F28" si="7">+D22/D$23</f>
        <v>0.67584445075219979</v>
      </c>
      <c r="E28" s="206">
        <f t="shared" si="7"/>
        <v>0.69208519589797524</v>
      </c>
      <c r="F28" s="207">
        <f t="shared" si="7"/>
        <v>0.66078697421981003</v>
      </c>
      <c r="G28" s="205">
        <f t="shared" si="6"/>
        <v>0.64653169598406901</v>
      </c>
      <c r="H28" s="205">
        <f t="shared" si="6"/>
        <v>0.63769232250486219</v>
      </c>
      <c r="I28" s="205">
        <f t="shared" si="6"/>
        <v>0.62884435597594679</v>
      </c>
      <c r="J28" s="205">
        <f t="shared" si="6"/>
        <v>0.6243447621451309</v>
      </c>
      <c r="K28" s="205">
        <f t="shared" si="6"/>
        <v>0.61982359746679205</v>
      </c>
    </row>
    <row r="29" spans="3:11" ht="14.4" customHeight="1">
      <c r="C29" s="35"/>
      <c r="E29" s="45"/>
      <c r="F29" s="47"/>
      <c r="G29" s="45"/>
      <c r="H29" s="45"/>
      <c r="I29" s="45"/>
      <c r="J29" s="45"/>
      <c r="K29" s="45"/>
    </row>
    <row r="30" spans="3:11" ht="14.4" customHeight="1">
      <c r="C30" s="293" t="s">
        <v>19</v>
      </c>
      <c r="D30" s="218">
        <v>1418000</v>
      </c>
      <c r="E30" s="218">
        <v>1617000</v>
      </c>
      <c r="F30" s="219">
        <v>1779000</v>
      </c>
      <c r="G30" s="211">
        <f>+F30*(1+G40)</f>
        <v>1974690.0000000002</v>
      </c>
      <c r="H30" s="211">
        <f>+G30*(1+H40)</f>
        <v>2211652.8000000003</v>
      </c>
      <c r="I30" s="211">
        <f>+H30*(1+I40)</f>
        <v>2432818.0800000005</v>
      </c>
      <c r="J30" s="211">
        <f>+I30*(1+J40)</f>
        <v>2676099.8880000007</v>
      </c>
      <c r="K30" s="211">
        <f>+J30*(1+K40)</f>
        <v>2943709.8768000011</v>
      </c>
    </row>
    <row r="31" spans="3:11" ht="14.4" customHeight="1">
      <c r="C31" s="288" t="s">
        <v>12</v>
      </c>
      <c r="D31" s="289"/>
      <c r="E31" s="290">
        <f>+E30/D30-1</f>
        <v>0.14033850493653022</v>
      </c>
      <c r="F31" s="291">
        <f>+F30/E30-1</f>
        <v>0.1001855287569573</v>
      </c>
      <c r="G31" s="290">
        <f t="shared" ref="G31:K31" si="8">+G30/F30-1</f>
        <v>0.1100000000000001</v>
      </c>
      <c r="H31" s="290">
        <f t="shared" si="8"/>
        <v>0.12000000000000011</v>
      </c>
      <c r="I31" s="290">
        <f t="shared" si="8"/>
        <v>0.10000000000000009</v>
      </c>
      <c r="J31" s="290">
        <f t="shared" si="8"/>
        <v>0.10000000000000009</v>
      </c>
      <c r="K31" s="290">
        <f t="shared" si="8"/>
        <v>0.10000000000000009</v>
      </c>
    </row>
    <row r="33" spans="2:11" ht="14.4" customHeight="1" thickBot="1">
      <c r="C33" s="49" t="s">
        <v>20</v>
      </c>
      <c r="D33" s="34"/>
      <c r="E33" s="34"/>
      <c r="F33" s="34"/>
      <c r="G33" s="34"/>
      <c r="H33" s="34"/>
      <c r="I33" s="34"/>
      <c r="J33" s="34"/>
      <c r="K33" s="34"/>
    </row>
    <row r="35" spans="2:11" ht="14.4" customHeight="1">
      <c r="C35" s="50" t="s">
        <v>21</v>
      </c>
      <c r="D35" s="332" t="s">
        <v>9</v>
      </c>
      <c r="E35" s="333"/>
      <c r="F35" s="334"/>
      <c r="G35" s="332" t="s">
        <v>10</v>
      </c>
      <c r="H35" s="333"/>
      <c r="I35" s="333"/>
      <c r="J35" s="333"/>
      <c r="K35" s="333"/>
    </row>
    <row r="36" spans="2:11" ht="14.4" customHeight="1">
      <c r="C36" s="50"/>
      <c r="D36" s="41">
        <f>'Financial Statement Model'!D12</f>
        <v>44500</v>
      </c>
      <c r="E36" s="41">
        <f>'Financial Statement Model'!E12</f>
        <v>44865</v>
      </c>
      <c r="F36" s="42">
        <f>'Financial Statement Model'!F12</f>
        <v>45230</v>
      </c>
      <c r="G36" s="41">
        <f>'Financial Statement Model'!G12</f>
        <v>45596</v>
      </c>
      <c r="H36" s="41">
        <f>'Financial Statement Model'!H12</f>
        <v>45961</v>
      </c>
      <c r="I36" s="41">
        <f>'Financial Statement Model'!I12</f>
        <v>46326</v>
      </c>
      <c r="J36" s="41">
        <f>'Financial Statement Model'!J12</f>
        <v>46691</v>
      </c>
      <c r="K36" s="41">
        <f>'Financial Statement Model'!K12</f>
        <v>47057</v>
      </c>
    </row>
    <row r="37" spans="2:11" ht="14.4" customHeight="1">
      <c r="C37" s="37" t="s">
        <v>22</v>
      </c>
    </row>
    <row r="38" spans="2:11" ht="14.4" customHeight="1">
      <c r="C38" s="36" t="str">
        <f>+C21</f>
        <v>Aerospace, Defense &amp; Government</v>
      </c>
      <c r="D38" s="214"/>
      <c r="E38" s="206">
        <f>+E21/D21-1</f>
        <v>2.5394045534150589E-2</v>
      </c>
      <c r="F38" s="207">
        <f>+F21/E21-1</f>
        <v>6.7463706233988008E-2</v>
      </c>
      <c r="G38" s="220">
        <v>6.5000000000000002E-2</v>
      </c>
      <c r="H38" s="220">
        <v>0.06</v>
      </c>
      <c r="I38" s="220">
        <v>7.0000000000000007E-2</v>
      </c>
      <c r="J38" s="220">
        <v>0.05</v>
      </c>
      <c r="K38" s="220">
        <v>0.05</v>
      </c>
    </row>
    <row r="39" spans="2:11" ht="14.4" customHeight="1">
      <c r="C39" s="36" t="str">
        <f>+C22</f>
        <v>Commercial Communications</v>
      </c>
      <c r="D39" s="214"/>
      <c r="E39" s="206">
        <f>+E22/D22-1</f>
        <v>0.10541789164216708</v>
      </c>
      <c r="F39" s="207">
        <f>+F22/E22-1</f>
        <v>-7.4848024316109374E-2</v>
      </c>
      <c r="G39" s="220">
        <v>0</v>
      </c>
      <c r="H39" s="220">
        <v>0.02</v>
      </c>
      <c r="I39" s="220">
        <v>0.03</v>
      </c>
      <c r="J39" s="220">
        <v>0.03</v>
      </c>
      <c r="K39" s="220">
        <v>0.03</v>
      </c>
    </row>
    <row r="40" spans="2:11" ht="14.4" customHeight="1">
      <c r="B40" s="30" t="s">
        <v>23</v>
      </c>
      <c r="C40" s="48" t="str">
        <f>C30</f>
        <v>Electronic Industrial Solutions Group (EISG)</v>
      </c>
      <c r="D40" s="215"/>
      <c r="E40" s="208">
        <f>+E30/D30-1</f>
        <v>0.14033850493653022</v>
      </c>
      <c r="F40" s="209">
        <f>+F30/E30-1</f>
        <v>0.1001855287569573</v>
      </c>
      <c r="G40" s="221">
        <v>0.11</v>
      </c>
      <c r="H40" s="221">
        <v>0.12</v>
      </c>
      <c r="I40" s="221">
        <v>0.1</v>
      </c>
      <c r="J40" s="221">
        <v>0.1</v>
      </c>
      <c r="K40" s="221">
        <v>0.1</v>
      </c>
    </row>
    <row r="42" spans="2:11" ht="14.4" customHeight="1">
      <c r="C42" s="50" t="s">
        <v>24</v>
      </c>
      <c r="D42" s="332" t="s">
        <v>9</v>
      </c>
      <c r="E42" s="333"/>
      <c r="F42" s="334"/>
      <c r="G42" s="332" t="s">
        <v>10</v>
      </c>
      <c r="H42" s="333"/>
      <c r="I42" s="333"/>
      <c r="J42" s="333"/>
      <c r="K42" s="333"/>
    </row>
    <row r="43" spans="2:11" ht="14.4" customHeight="1">
      <c r="C43" s="50"/>
      <c r="D43" s="41">
        <f>'Financial Statement Model'!D12</f>
        <v>44500</v>
      </c>
      <c r="E43" s="41">
        <f>'Financial Statement Model'!E12</f>
        <v>44865</v>
      </c>
      <c r="F43" s="42">
        <f>'Financial Statement Model'!F12</f>
        <v>45230</v>
      </c>
      <c r="G43" s="41">
        <f>'Financial Statement Model'!G12</f>
        <v>45596</v>
      </c>
      <c r="H43" s="41">
        <f>'Financial Statement Model'!H12</f>
        <v>45961</v>
      </c>
      <c r="I43" s="41">
        <f>'Financial Statement Model'!I12</f>
        <v>46326</v>
      </c>
      <c r="J43" s="41">
        <f>'Financial Statement Model'!J12</f>
        <v>46691</v>
      </c>
      <c r="K43" s="41">
        <f>'Financial Statement Model'!K12</f>
        <v>47057</v>
      </c>
    </row>
    <row r="44" spans="2:11" ht="14.4" customHeight="1">
      <c r="C44" s="37" t="s">
        <v>25</v>
      </c>
    </row>
    <row r="45" spans="2:11" ht="14.4" customHeight="1">
      <c r="C45" s="36" t="s">
        <v>26</v>
      </c>
      <c r="D45" s="298">
        <f>'Financial Statement Model'!D35</f>
        <v>0.62092693786682862</v>
      </c>
      <c r="E45" s="298">
        <f>'Financial Statement Model'!E35</f>
        <v>0.6337638376383764</v>
      </c>
      <c r="F45" s="299">
        <f>'Financial Statement Model'!F35</f>
        <v>0.64403367496339681</v>
      </c>
      <c r="G45" s="220">
        <v>0.65</v>
      </c>
      <c r="H45" s="220">
        <v>0.65</v>
      </c>
      <c r="I45" s="220">
        <v>0.65</v>
      </c>
      <c r="J45" s="220">
        <v>0.65</v>
      </c>
      <c r="K45" s="220">
        <v>0.65</v>
      </c>
    </row>
    <row r="46" spans="2:11" ht="14.4" customHeight="1">
      <c r="C46" s="36" t="s">
        <v>27</v>
      </c>
      <c r="D46" s="298">
        <f>'Financial Statement Model'!D36</f>
        <v>0.40214531471362075</v>
      </c>
      <c r="E46" s="298">
        <f>'Financial Statement Model'!E36</f>
        <v>0.38726937269372691</v>
      </c>
      <c r="F46" s="299">
        <f>'Financial Statement Model'!F36</f>
        <v>0.38854319180087848</v>
      </c>
      <c r="G46" s="220">
        <v>0.38</v>
      </c>
      <c r="H46" s="220">
        <v>0.38</v>
      </c>
      <c r="I46" s="220">
        <v>0.38</v>
      </c>
      <c r="J46" s="220">
        <v>0.38</v>
      </c>
      <c r="K46" s="220">
        <v>0.38</v>
      </c>
    </row>
    <row r="47" spans="2:11" ht="14.4" customHeight="1">
      <c r="C47" s="36" t="s">
        <v>28</v>
      </c>
      <c r="D47" s="298">
        <f>'Financial Statement Model'!D37</f>
        <v>0</v>
      </c>
      <c r="E47" s="298">
        <f>'Financial Statement Model'!E37</f>
        <v>0</v>
      </c>
      <c r="F47" s="299">
        <f>'Financial Statement Model'!F37</f>
        <v>0</v>
      </c>
      <c r="G47" s="220">
        <v>0</v>
      </c>
      <c r="H47" s="220">
        <v>0</v>
      </c>
      <c r="I47" s="220">
        <v>0</v>
      </c>
      <c r="J47" s="220">
        <v>0</v>
      </c>
      <c r="K47" s="220">
        <v>0</v>
      </c>
    </row>
    <row r="48" spans="2:11" ht="14.4" customHeight="1">
      <c r="C48" s="30" t="s">
        <v>29</v>
      </c>
      <c r="D48" s="300">
        <f>'Financial Statement Model'!D118</f>
        <v>54.295689131754706</v>
      </c>
      <c r="E48" s="300">
        <f>'Financial Statement Model'!E118</f>
        <v>60.945571955719558</v>
      </c>
      <c r="F48" s="301">
        <f>'Financial Statement Model'!F118</f>
        <v>60.120790629575403</v>
      </c>
      <c r="G48" s="222">
        <v>60</v>
      </c>
      <c r="H48" s="222">
        <v>60</v>
      </c>
      <c r="I48" s="222">
        <v>60</v>
      </c>
      <c r="J48" s="222">
        <v>60</v>
      </c>
      <c r="K48" s="222">
        <v>60</v>
      </c>
    </row>
    <row r="49" spans="3:11" ht="14.4" customHeight="1">
      <c r="C49" s="44" t="s">
        <v>30</v>
      </c>
      <c r="D49" s="302"/>
      <c r="E49" s="303">
        <f>'Financial Statement Model'!E129</f>
        <v>1.8779564806054871</v>
      </c>
      <c r="F49" s="304">
        <f>'Financial Statement Model'!F129</f>
        <v>1.6276150627615062</v>
      </c>
      <c r="G49" s="223">
        <v>1.5</v>
      </c>
      <c r="H49" s="223">
        <v>1.5</v>
      </c>
      <c r="I49" s="223">
        <v>1.5</v>
      </c>
      <c r="J49" s="223">
        <v>1.5</v>
      </c>
      <c r="K49" s="223">
        <v>1.5</v>
      </c>
    </row>
  </sheetData>
  <mergeCells count="8">
    <mergeCell ref="D42:F42"/>
    <mergeCell ref="G42:K42"/>
    <mergeCell ref="D11:F11"/>
    <mergeCell ref="G11:K11"/>
    <mergeCell ref="D17:F17"/>
    <mergeCell ref="G17:K17"/>
    <mergeCell ref="D35:F35"/>
    <mergeCell ref="G35:K35"/>
  </mergeCells>
  <printOptions horizontalCentered="1" verticalCentered="1"/>
  <pageMargins left="0.7" right="0.7" top="0.75" bottom="0.75" header="0" footer="0"/>
  <pageSetup orientation="landscape"/>
  <rowBreaks count="1" manualBreakCount="1">
    <brk id="3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7"/>
  <sheetViews>
    <sheetView showGridLines="0" zoomScale="85" zoomScaleNormal="85" workbookViewId="0"/>
  </sheetViews>
  <sheetFormatPr defaultColWidth="14.44140625" defaultRowHeight="14.4" customHeight="1"/>
  <cols>
    <col min="1" max="1" width="1.6640625" customWidth="1"/>
    <col min="2" max="2" width="2.6640625" customWidth="1"/>
    <col min="3" max="3" width="45.6640625" customWidth="1"/>
    <col min="4" max="11" width="12.5546875" bestFit="1" customWidth="1"/>
    <col min="12" max="12" width="2.6640625" customWidth="1"/>
    <col min="13" max="13" width="12.5546875" bestFit="1" customWidth="1"/>
    <col min="14" max="14" width="2.6640625" customWidth="1"/>
    <col min="15" max="25" width="8.6640625" customWidth="1"/>
  </cols>
  <sheetData>
    <row r="1" spans="3:23" ht="14.4" customHeight="1" thickBot="1"/>
    <row r="2" spans="3:23" ht="18" customHeight="1">
      <c r="C2" s="1" t="str">
        <f>"Financial Statement Model For "&amp;D5</f>
        <v>Financial Statement Model For Keysight Technologies, Inc.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3:23" ht="14.4" customHeight="1" thickBot="1">
      <c r="C3" s="3" t="s">
        <v>31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3:23" ht="14.4" customHeight="1">
      <c r="C4" s="5"/>
    </row>
    <row r="5" spans="3:23" ht="14.4" customHeight="1">
      <c r="C5" s="6" t="s">
        <v>1</v>
      </c>
      <c r="D5" s="80" t="str">
        <f>'Revenue Build &amp; Growth Drivers'!D5</f>
        <v>Keysight Technologies, Inc.</v>
      </c>
      <c r="G5" s="6" t="s">
        <v>32</v>
      </c>
      <c r="H5" s="6"/>
      <c r="J5" s="16">
        <v>1</v>
      </c>
      <c r="O5" s="338"/>
      <c r="P5" s="338"/>
      <c r="Q5" s="338"/>
      <c r="R5" s="338"/>
      <c r="S5" s="338"/>
      <c r="T5" s="338"/>
      <c r="U5" s="338"/>
      <c r="V5" s="338"/>
      <c r="W5" s="338"/>
    </row>
    <row r="6" spans="3:23" ht="14.4" customHeight="1">
      <c r="C6" s="6" t="s">
        <v>3</v>
      </c>
      <c r="D6" s="81" t="str">
        <f>'Revenue Build &amp; Growth Drivers'!D6</f>
        <v>KEYS</v>
      </c>
      <c r="F6" s="7"/>
      <c r="O6" s="338"/>
      <c r="P6" s="338"/>
      <c r="Q6" s="338"/>
      <c r="R6" s="338"/>
      <c r="S6" s="338"/>
      <c r="T6" s="338"/>
      <c r="U6" s="338"/>
      <c r="V6" s="338"/>
      <c r="W6" s="338"/>
    </row>
    <row r="7" spans="3:23" ht="14.4" customHeight="1">
      <c r="C7" s="6" t="s">
        <v>5</v>
      </c>
      <c r="D7" s="82">
        <f>'Revenue Build &amp; Growth Drivers'!D7</f>
        <v>45394</v>
      </c>
      <c r="F7" s="8" t="s">
        <v>33</v>
      </c>
    </row>
    <row r="8" spans="3:23" ht="14.4" customHeight="1">
      <c r="C8" s="6" t="s">
        <v>6</v>
      </c>
      <c r="D8" s="82">
        <f>'Revenue Build &amp; Growth Drivers'!D8</f>
        <v>45393</v>
      </c>
      <c r="F8" s="21"/>
      <c r="H8" s="321"/>
    </row>
    <row r="9" spans="3:23" ht="14.4" customHeight="1">
      <c r="C9" s="6" t="s">
        <v>7</v>
      </c>
      <c r="D9" s="260">
        <f>'Revenue Build &amp; Growth Drivers'!D9</f>
        <v>160.13999999999999</v>
      </c>
      <c r="F9" s="9"/>
    </row>
    <row r="11" spans="3:23" ht="14.4" customHeight="1">
      <c r="C11" s="55" t="s">
        <v>34</v>
      </c>
      <c r="D11" s="335" t="s">
        <v>9</v>
      </c>
      <c r="E11" s="336"/>
      <c r="F11" s="337"/>
      <c r="G11" s="335" t="s">
        <v>10</v>
      </c>
      <c r="H11" s="336"/>
      <c r="I11" s="336"/>
      <c r="J11" s="336"/>
      <c r="K11" s="336"/>
      <c r="M11" s="52" t="s">
        <v>35</v>
      </c>
    </row>
    <row r="12" spans="3:23" ht="14.4" customHeight="1">
      <c r="C12" s="55"/>
      <c r="D12" s="10">
        <v>44500</v>
      </c>
      <c r="E12" s="10">
        <f t="shared" ref="E12:K12" si="0">EOMONTH(D12,12)</f>
        <v>44865</v>
      </c>
      <c r="F12" s="11">
        <f t="shared" si="0"/>
        <v>45230</v>
      </c>
      <c r="G12" s="10">
        <f>EOMONTH(F12,12)</f>
        <v>45596</v>
      </c>
      <c r="H12" s="10">
        <f t="shared" si="0"/>
        <v>45961</v>
      </c>
      <c r="I12" s="10">
        <f t="shared" si="0"/>
        <v>46326</v>
      </c>
      <c r="J12" s="10">
        <f t="shared" si="0"/>
        <v>46691</v>
      </c>
      <c r="K12" s="10">
        <f t="shared" si="0"/>
        <v>47057</v>
      </c>
      <c r="M12" s="10" t="s">
        <v>36</v>
      </c>
      <c r="N12" s="321"/>
    </row>
    <row r="13" spans="3:23" ht="14.4" customHeight="1">
      <c r="D13" s="25"/>
      <c r="E13" s="25"/>
      <c r="F13" s="149"/>
    </row>
    <row r="14" spans="3:23" ht="14.4" customHeight="1">
      <c r="C14" s="321" t="s">
        <v>11</v>
      </c>
      <c r="D14" s="152">
        <v>4941000</v>
      </c>
      <c r="E14" s="152">
        <v>5420000</v>
      </c>
      <c r="F14" s="153">
        <v>5464000</v>
      </c>
      <c r="G14" s="154">
        <f>+F14*(1+G34)</f>
        <v>5740940</v>
      </c>
      <c r="H14" s="154">
        <f t="shared" ref="H14:K14" si="1">+G14*(1+H34)</f>
        <v>6106477.7999999998</v>
      </c>
      <c r="I14" s="154">
        <f t="shared" si="1"/>
        <v>6500932.8299999991</v>
      </c>
      <c r="J14" s="154">
        <f t="shared" si="1"/>
        <v>6896456.1554999994</v>
      </c>
      <c r="K14" s="154">
        <f t="shared" si="1"/>
        <v>7322384.811075001</v>
      </c>
      <c r="M14" s="53">
        <f>+_xlfn.RRI(YEAR($K$12)-YEAR($F$12),F14,K14)</f>
        <v>6.0299048224266016E-2</v>
      </c>
      <c r="N14" s="321"/>
    </row>
    <row r="15" spans="3:23" ht="14.4" customHeight="1">
      <c r="C15" s="6" t="s">
        <v>37</v>
      </c>
      <c r="D15" s="152">
        <v>1873000</v>
      </c>
      <c r="E15" s="152">
        <v>1985000</v>
      </c>
      <c r="F15" s="153">
        <v>1945000</v>
      </c>
      <c r="G15" s="154">
        <f>+G14-G16</f>
        <v>2009329</v>
      </c>
      <c r="H15" s="154">
        <f t="shared" ref="H15:K15" si="2">+H14-H16</f>
        <v>2137267.23</v>
      </c>
      <c r="I15" s="154">
        <f t="shared" si="2"/>
        <v>2275326.4904999994</v>
      </c>
      <c r="J15" s="154">
        <f t="shared" si="2"/>
        <v>2413759.6544249998</v>
      </c>
      <c r="K15" s="154">
        <f t="shared" si="2"/>
        <v>2562834.6838762499</v>
      </c>
      <c r="N15" s="321"/>
    </row>
    <row r="16" spans="3:23" ht="14.4" customHeight="1">
      <c r="C16" s="12" t="s">
        <v>38</v>
      </c>
      <c r="D16" s="155">
        <v>3068000</v>
      </c>
      <c r="E16" s="155">
        <v>3435000</v>
      </c>
      <c r="F16" s="156">
        <v>3519000</v>
      </c>
      <c r="G16" s="157">
        <f>+G14*G35</f>
        <v>3731611</v>
      </c>
      <c r="H16" s="157">
        <f t="shared" ref="H16:K16" si="3">+H14*H35</f>
        <v>3969210.57</v>
      </c>
      <c r="I16" s="157">
        <f t="shared" si="3"/>
        <v>4225606.3394999998</v>
      </c>
      <c r="J16" s="157">
        <f t="shared" si="3"/>
        <v>4482696.5010749996</v>
      </c>
      <c r="K16" s="157">
        <f t="shared" si="3"/>
        <v>4759550.1271987511</v>
      </c>
      <c r="M16" s="53">
        <f>+_xlfn.RRI(YEAR($K$12)-YEAR($F$12),F16,K16)</f>
        <v>6.2256329813816569E-2</v>
      </c>
      <c r="N16" s="321"/>
    </row>
    <row r="17" spans="3:13" ht="14.4" customHeight="1">
      <c r="C17" s="321" t="s">
        <v>39</v>
      </c>
      <c r="D17" s="152">
        <v>1987000</v>
      </c>
      <c r="E17" s="152">
        <v>2099000</v>
      </c>
      <c r="F17" s="153">
        <v>2123000</v>
      </c>
      <c r="G17" s="154">
        <f>+G14*G36</f>
        <v>2181557.2000000002</v>
      </c>
      <c r="H17" s="154">
        <f t="shared" ref="H17:K17" si="4">+H14*H36</f>
        <v>2320461.5639999998</v>
      </c>
      <c r="I17" s="154">
        <f t="shared" si="4"/>
        <v>2470354.4753999999</v>
      </c>
      <c r="J17" s="154">
        <f t="shared" si="4"/>
        <v>2620653.3390899999</v>
      </c>
      <c r="K17" s="154">
        <f t="shared" si="4"/>
        <v>2782506.2282085004</v>
      </c>
      <c r="L17" s="17"/>
    </row>
    <row r="18" spans="3:13" ht="14.4" customHeight="1">
      <c r="C18" s="321" t="s">
        <v>40</v>
      </c>
      <c r="D18" s="152">
        <v>0</v>
      </c>
      <c r="E18" s="152">
        <v>0</v>
      </c>
      <c r="F18" s="153">
        <v>0</v>
      </c>
      <c r="G18" s="154">
        <f>+G37*G14</f>
        <v>0</v>
      </c>
      <c r="H18" s="154">
        <f t="shared" ref="H18:K18" si="5">+H37*H14</f>
        <v>0</v>
      </c>
      <c r="I18" s="154">
        <f t="shared" si="5"/>
        <v>0</v>
      </c>
      <c r="J18" s="154">
        <f t="shared" si="5"/>
        <v>0</v>
      </c>
      <c r="K18" s="154">
        <f t="shared" si="5"/>
        <v>0</v>
      </c>
      <c r="L18" s="17"/>
    </row>
    <row r="19" spans="3:13" ht="14.4" customHeight="1">
      <c r="C19" s="12" t="s">
        <v>41</v>
      </c>
      <c r="D19" s="155">
        <v>1081000</v>
      </c>
      <c r="E19" s="155">
        <v>1336000</v>
      </c>
      <c r="F19" s="156">
        <v>1396000</v>
      </c>
      <c r="G19" s="157">
        <f>+G16-G17-G18</f>
        <v>1550053.7999999998</v>
      </c>
      <c r="H19" s="157">
        <f t="shared" ref="H19:K19" si="6">+H16-H17-H18</f>
        <v>1648749.0060000001</v>
      </c>
      <c r="I19" s="157">
        <f t="shared" si="6"/>
        <v>1755251.8640999999</v>
      </c>
      <c r="J19" s="157">
        <f t="shared" si="6"/>
        <v>1862043.1619849997</v>
      </c>
      <c r="K19" s="157">
        <f t="shared" si="6"/>
        <v>1977043.8989902507</v>
      </c>
      <c r="L19" s="17"/>
      <c r="M19" s="53">
        <f>+_xlfn.RRI(YEAR($K$12)-YEAR($F$12),F19,K19)</f>
        <v>7.2077493652174418E-2</v>
      </c>
    </row>
    <row r="20" spans="3:13" ht="14.4" customHeight="1">
      <c r="C20" s="321" t="s">
        <v>42</v>
      </c>
      <c r="D20" s="152">
        <v>27000</v>
      </c>
      <c r="E20" s="152">
        <v>62000</v>
      </c>
      <c r="F20" s="153">
        <v>143000</v>
      </c>
      <c r="G20" s="154">
        <f ca="1">G209</f>
        <v>127206.63136907399</v>
      </c>
      <c r="H20" s="154">
        <f t="shared" ref="H20:K20" ca="1" si="7">H209</f>
        <v>172659.53117290454</v>
      </c>
      <c r="I20" s="154">
        <f t="shared" ca="1" si="7"/>
        <v>236415.1817760081</v>
      </c>
      <c r="J20" s="154">
        <f t="shared" ca="1" si="7"/>
        <v>291052.43892236665</v>
      </c>
      <c r="K20" s="154">
        <f t="shared" ca="1" si="7"/>
        <v>351538.12100868172</v>
      </c>
      <c r="M20" s="160"/>
    </row>
    <row r="21" spans="3:13" ht="14.4" customHeight="1">
      <c r="C21" s="321" t="s">
        <v>43</v>
      </c>
      <c r="D21" s="152">
        <v>79000</v>
      </c>
      <c r="E21" s="152">
        <v>79000</v>
      </c>
      <c r="F21" s="153">
        <v>78000</v>
      </c>
      <c r="G21" s="154">
        <f ca="1">G204</f>
        <v>65859.352964920079</v>
      </c>
      <c r="H21" s="154">
        <f t="shared" ref="H21:K21" ca="1" si="8">H204</f>
        <v>52833.983575458144</v>
      </c>
      <c r="I21" s="154">
        <f t="shared" ca="1" si="8"/>
        <v>51971.006412043491</v>
      </c>
      <c r="J21" s="154">
        <f t="shared" ca="1" si="8"/>
        <v>36792.863116810702</v>
      </c>
      <c r="K21" s="154">
        <f t="shared" ca="1" si="8"/>
        <v>21614.719821577921</v>
      </c>
    </row>
    <row r="22" spans="3:13" ht="14.4" customHeight="1">
      <c r="C22" s="321" t="s">
        <v>44</v>
      </c>
      <c r="D22" s="152">
        <v>19000</v>
      </c>
      <c r="E22" s="152">
        <v>34000</v>
      </c>
      <c r="F22" s="153">
        <v>104000</v>
      </c>
      <c r="G22" s="279">
        <v>0</v>
      </c>
      <c r="H22" s="279">
        <v>0</v>
      </c>
      <c r="I22" s="279">
        <v>0</v>
      </c>
      <c r="J22" s="279">
        <v>0</v>
      </c>
      <c r="K22" s="279">
        <v>0</v>
      </c>
    </row>
    <row r="23" spans="3:13" ht="14.4" customHeight="1">
      <c r="C23" s="12" t="s">
        <v>45</v>
      </c>
      <c r="D23" s="155">
        <v>1010000</v>
      </c>
      <c r="E23" s="155">
        <v>1285000</v>
      </c>
      <c r="F23" s="156">
        <v>1357000</v>
      </c>
      <c r="G23" s="157">
        <f ca="1">+G19+G20-G21-G22</f>
        <v>1611401.0784041537</v>
      </c>
      <c r="H23" s="157">
        <f t="shared" ref="H23:K23" ca="1" si="9">+H19+H20-H21-H22</f>
        <v>1768574.5535974465</v>
      </c>
      <c r="I23" s="157">
        <f t="shared" ca="1" si="9"/>
        <v>1939696.0394639645</v>
      </c>
      <c r="J23" s="157">
        <f t="shared" ca="1" si="9"/>
        <v>2116302.7377905557</v>
      </c>
      <c r="K23" s="157">
        <f t="shared" ca="1" si="9"/>
        <v>2306967.3001773544</v>
      </c>
      <c r="M23" s="53">
        <f ca="1">+_xlfn.RRI(YEAR($K$12)-YEAR($F$12),F23,K23)</f>
        <v>0.1119680738087665</v>
      </c>
    </row>
    <row r="24" spans="3:13" ht="14.4" customHeight="1">
      <c r="C24" s="321" t="s">
        <v>46</v>
      </c>
      <c r="D24" s="152">
        <v>116000</v>
      </c>
      <c r="E24" s="152">
        <v>161000</v>
      </c>
      <c r="F24" s="153">
        <v>300000</v>
      </c>
      <c r="G24" s="154">
        <f ca="1">+G23*G41</f>
        <v>356241.94806281955</v>
      </c>
      <c r="H24" s="154">
        <f t="shared" ref="H24:K24" ca="1" si="10">+H23*H41</f>
        <v>390989.21597585408</v>
      </c>
      <c r="I24" s="154">
        <f t="shared" ca="1" si="10"/>
        <v>428820.05293971213</v>
      </c>
      <c r="J24" s="154">
        <f t="shared" ca="1" si="10"/>
        <v>467863.53819982806</v>
      </c>
      <c r="K24" s="154">
        <f t="shared" ca="1" si="10"/>
        <v>510014.87844746228</v>
      </c>
    </row>
    <row r="25" spans="3:13" ht="14.4" customHeight="1">
      <c r="C25" s="321" t="s">
        <v>47</v>
      </c>
      <c r="D25" s="152">
        <v>0</v>
      </c>
      <c r="E25" s="152">
        <v>0</v>
      </c>
      <c r="F25" s="153">
        <v>0</v>
      </c>
      <c r="G25" s="154">
        <f t="shared" ref="G25:K25" ca="1" si="11">G175</f>
        <v>0</v>
      </c>
      <c r="H25" s="154">
        <f t="shared" ca="1" si="11"/>
        <v>0</v>
      </c>
      <c r="I25" s="154">
        <f t="shared" ca="1" si="11"/>
        <v>0</v>
      </c>
      <c r="J25" s="154">
        <f t="shared" ca="1" si="11"/>
        <v>0</v>
      </c>
      <c r="K25" s="154">
        <f t="shared" ca="1" si="11"/>
        <v>0</v>
      </c>
    </row>
    <row r="26" spans="3:13" ht="14.4" customHeight="1">
      <c r="C26" s="12" t="s">
        <v>48</v>
      </c>
      <c r="D26" s="155">
        <v>894000</v>
      </c>
      <c r="E26" s="155">
        <v>1124000</v>
      </c>
      <c r="F26" s="156">
        <v>1057000</v>
      </c>
      <c r="G26" s="157">
        <f ca="1">+G23-G24-G25</f>
        <v>1255159.1303413343</v>
      </c>
      <c r="H26" s="157">
        <f t="shared" ref="H26:K26" ca="1" si="12">+H23-H24-H25</f>
        <v>1377585.3376215925</v>
      </c>
      <c r="I26" s="157">
        <f t="shared" ca="1" si="12"/>
        <v>1510875.9865242525</v>
      </c>
      <c r="J26" s="157">
        <f t="shared" ca="1" si="12"/>
        <v>1648439.1995907277</v>
      </c>
      <c r="K26" s="157">
        <f t="shared" ca="1" si="12"/>
        <v>1796952.421729892</v>
      </c>
      <c r="M26" s="53">
        <f ca="1">+_xlfn.RRI(YEAR($K$12)-YEAR($F$12),F26,K26)</f>
        <v>0.1119680738087665</v>
      </c>
    </row>
    <row r="27" spans="3:13" ht="14.4" customHeight="1">
      <c r="C27" s="12"/>
      <c r="D27" s="158"/>
      <c r="E27" s="158"/>
      <c r="F27" s="159"/>
      <c r="G27" s="160"/>
      <c r="H27" s="160"/>
      <c r="I27" s="160"/>
      <c r="J27" s="160"/>
      <c r="K27" s="160"/>
    </row>
    <row r="28" spans="3:13" ht="14.4" customHeight="1">
      <c r="C28" s="321" t="s">
        <v>49</v>
      </c>
      <c r="D28" s="152">
        <v>291000</v>
      </c>
      <c r="E28" s="152">
        <v>220000</v>
      </c>
      <c r="F28" s="153">
        <v>210000</v>
      </c>
      <c r="G28" s="154">
        <f>+G155+G146</f>
        <v>173968.0917396241</v>
      </c>
      <c r="H28" s="154">
        <f t="shared" ref="H28:K28" si="13">+H155+H146</f>
        <v>162626.92782946635</v>
      </c>
      <c r="I28" s="154">
        <f t="shared" si="13"/>
        <v>160426.56841798915</v>
      </c>
      <c r="J28" s="154">
        <f t="shared" si="13"/>
        <v>162432.28684008744</v>
      </c>
      <c r="K28" s="154">
        <f t="shared" si="13"/>
        <v>167508.90231790996</v>
      </c>
    </row>
    <row r="29" spans="3:13" ht="14.4" customHeight="1">
      <c r="C29" s="12" t="s">
        <v>50</v>
      </c>
      <c r="D29" s="158">
        <v>1372000</v>
      </c>
      <c r="E29" s="158">
        <v>1556000</v>
      </c>
      <c r="F29" s="159">
        <v>1606000</v>
      </c>
      <c r="G29" s="157">
        <f>+G19+G28</f>
        <v>1724021.8917396239</v>
      </c>
      <c r="H29" s="157">
        <f t="shared" ref="H29:K29" si="14">+H19+H28</f>
        <v>1811375.9338294663</v>
      </c>
      <c r="I29" s="157">
        <f t="shared" si="14"/>
        <v>1915678.4325179891</v>
      </c>
      <c r="J29" s="157">
        <f t="shared" si="14"/>
        <v>2024475.4488250872</v>
      </c>
      <c r="K29" s="157">
        <f t="shared" si="14"/>
        <v>2144552.8013081606</v>
      </c>
      <c r="M29" s="53">
        <f>+_xlfn.RRI(YEAR($K$12)-YEAR($F$12),F29,K29)</f>
        <v>5.9542155641869821E-2</v>
      </c>
    </row>
    <row r="30" spans="3:13" ht="14.4" customHeight="1">
      <c r="C30" s="12"/>
      <c r="D30" s="158"/>
      <c r="E30" s="158"/>
      <c r="F30" s="159"/>
      <c r="G30" s="157"/>
      <c r="H30" s="157"/>
      <c r="I30" s="157"/>
      <c r="J30" s="157"/>
      <c r="K30" s="157"/>
    </row>
    <row r="31" spans="3:13" ht="14.4" customHeight="1">
      <c r="C31" s="12" t="s">
        <v>51</v>
      </c>
      <c r="D31" s="158">
        <v>103000</v>
      </c>
      <c r="E31" s="158">
        <v>125000</v>
      </c>
      <c r="F31" s="159">
        <v>135000</v>
      </c>
      <c r="G31" s="157">
        <f>+AVERAGE(D31:F31)</f>
        <v>121000</v>
      </c>
      <c r="H31" s="157">
        <f t="shared" ref="H31:K31" si="15">+AVERAGE(E31:G31)</f>
        <v>127000</v>
      </c>
      <c r="I31" s="157">
        <f t="shared" si="15"/>
        <v>127666.66666666667</v>
      </c>
      <c r="J31" s="157">
        <f t="shared" si="15"/>
        <v>125222.22222222223</v>
      </c>
      <c r="K31" s="157">
        <f t="shared" si="15"/>
        <v>126629.62962962965</v>
      </c>
    </row>
    <row r="32" spans="3:13" ht="14.4" customHeight="1">
      <c r="C32" s="12"/>
      <c r="D32" s="28"/>
      <c r="E32" s="28"/>
      <c r="F32" s="76"/>
      <c r="G32" s="26"/>
      <c r="H32" s="26"/>
      <c r="I32" s="26"/>
      <c r="J32" s="26"/>
      <c r="K32" s="26"/>
    </row>
    <row r="33" spans="3:13" ht="14.4" customHeight="1">
      <c r="C33" s="7" t="s">
        <v>52</v>
      </c>
      <c r="D33" s="29"/>
      <c r="E33" s="29"/>
      <c r="F33" s="77"/>
    </row>
    <row r="34" spans="3:13" ht="14.4" customHeight="1">
      <c r="C34" s="6" t="s">
        <v>53</v>
      </c>
      <c r="D34" s="161"/>
      <c r="E34" s="162">
        <f>+E14/D14-1</f>
        <v>9.6943938473993185E-2</v>
      </c>
      <c r="F34" s="163">
        <f>+F14/E14-1</f>
        <v>8.1180811808116982E-3</v>
      </c>
      <c r="G34" s="224">
        <f>+'Revenue Build &amp; Growth Drivers'!G15</f>
        <v>5.0684480234260532E-2</v>
      </c>
      <c r="H34" s="224">
        <f>+'Revenue Build &amp; Growth Drivers'!H15</f>
        <v>6.3672116412991642E-2</v>
      </c>
      <c r="I34" s="224">
        <f>+'Revenue Build &amp; Growth Drivers'!I15</f>
        <v>6.4596162128027323E-2</v>
      </c>
      <c r="J34" s="224">
        <f>+'Revenue Build &amp; Growth Drivers'!J15</f>
        <v>6.0841010950731578E-2</v>
      </c>
      <c r="K34" s="224">
        <f>+'Revenue Build &amp; Growth Drivers'!K15</f>
        <v>6.176051090172141E-2</v>
      </c>
    </row>
    <row r="35" spans="3:13" ht="14.4" customHeight="1">
      <c r="C35" s="6" t="s">
        <v>26</v>
      </c>
      <c r="D35" s="162">
        <f>+D16/D14</f>
        <v>0.62092693786682862</v>
      </c>
      <c r="E35" s="162">
        <f t="shared" ref="E35:F35" si="16">+E16/E14</f>
        <v>0.6337638376383764</v>
      </c>
      <c r="F35" s="163">
        <f t="shared" si="16"/>
        <v>0.64403367496339681</v>
      </c>
      <c r="G35" s="224">
        <f>'Revenue Build &amp; Growth Drivers'!G45</f>
        <v>0.65</v>
      </c>
      <c r="H35" s="224">
        <f>'Revenue Build &amp; Growth Drivers'!H45</f>
        <v>0.65</v>
      </c>
      <c r="I35" s="224">
        <f>'Revenue Build &amp; Growth Drivers'!I45</f>
        <v>0.65</v>
      </c>
      <c r="J35" s="224">
        <f>'Revenue Build &amp; Growth Drivers'!J45</f>
        <v>0.65</v>
      </c>
      <c r="K35" s="224">
        <f>'Revenue Build &amp; Growth Drivers'!K45</f>
        <v>0.65</v>
      </c>
    </row>
    <row r="36" spans="3:13" ht="14.4" customHeight="1">
      <c r="C36" s="6" t="s">
        <v>54</v>
      </c>
      <c r="D36" s="162">
        <f>+D17/D14</f>
        <v>0.40214531471362075</v>
      </c>
      <c r="E36" s="162">
        <f t="shared" ref="E36:F36" si="17">+E17/E14</f>
        <v>0.38726937269372691</v>
      </c>
      <c r="F36" s="163">
        <f t="shared" si="17"/>
        <v>0.38854319180087848</v>
      </c>
      <c r="G36" s="224">
        <f>'Revenue Build &amp; Growth Drivers'!G46</f>
        <v>0.38</v>
      </c>
      <c r="H36" s="224">
        <f>'Revenue Build &amp; Growth Drivers'!H46</f>
        <v>0.38</v>
      </c>
      <c r="I36" s="224">
        <f>'Revenue Build &amp; Growth Drivers'!I46</f>
        <v>0.38</v>
      </c>
      <c r="J36" s="224">
        <f>'Revenue Build &amp; Growth Drivers'!J46</f>
        <v>0.38</v>
      </c>
      <c r="K36" s="224">
        <f>'Revenue Build &amp; Growth Drivers'!K46</f>
        <v>0.38</v>
      </c>
    </row>
    <row r="37" spans="3:13" ht="14.4" customHeight="1">
      <c r="C37" s="6" t="s">
        <v>28</v>
      </c>
      <c r="D37" s="162">
        <f>+D18/D14</f>
        <v>0</v>
      </c>
      <c r="E37" s="162">
        <f t="shared" ref="E37:F37" si="18">+E18/E14</f>
        <v>0</v>
      </c>
      <c r="F37" s="163">
        <f t="shared" si="18"/>
        <v>0</v>
      </c>
      <c r="G37" s="224">
        <f>'Revenue Build &amp; Growth Drivers'!G47</f>
        <v>0</v>
      </c>
      <c r="H37" s="224">
        <f>'Revenue Build &amp; Growth Drivers'!H47</f>
        <v>0</v>
      </c>
      <c r="I37" s="224">
        <f>'Revenue Build &amp; Growth Drivers'!I47</f>
        <v>0</v>
      </c>
      <c r="J37" s="224">
        <f>'Revenue Build &amp; Growth Drivers'!J47</f>
        <v>0</v>
      </c>
      <c r="K37" s="224">
        <f>'Revenue Build &amp; Growth Drivers'!K47</f>
        <v>0</v>
      </c>
    </row>
    <row r="38" spans="3:13" ht="14.4" customHeight="1">
      <c r="C38" s="6" t="s">
        <v>55</v>
      </c>
      <c r="D38" s="162">
        <f>+D19/D14</f>
        <v>0.21878162315320784</v>
      </c>
      <c r="E38" s="162">
        <f t="shared" ref="E38:K38" si="19">+E19/E14</f>
        <v>0.24649446494464944</v>
      </c>
      <c r="F38" s="163">
        <f t="shared" si="19"/>
        <v>0.25549048316251832</v>
      </c>
      <c r="G38" s="162">
        <f t="shared" si="19"/>
        <v>0.26999999999999996</v>
      </c>
      <c r="H38" s="162">
        <f t="shared" si="19"/>
        <v>0.27</v>
      </c>
      <c r="I38" s="162">
        <f t="shared" si="19"/>
        <v>0.27</v>
      </c>
      <c r="J38" s="162">
        <f t="shared" si="19"/>
        <v>0.26999999999999996</v>
      </c>
      <c r="K38" s="162">
        <f t="shared" si="19"/>
        <v>0.27000000000000007</v>
      </c>
    </row>
    <row r="39" spans="3:13" ht="14.4" customHeight="1">
      <c r="C39" s="6" t="s">
        <v>56</v>
      </c>
      <c r="D39" s="162">
        <f>+D29/D14</f>
        <v>0.27767658368751263</v>
      </c>
      <c r="E39" s="162">
        <f t="shared" ref="E39:K39" si="20">+E29/E14</f>
        <v>0.28708487084870848</v>
      </c>
      <c r="F39" s="163">
        <f t="shared" si="20"/>
        <v>0.29392386530014641</v>
      </c>
      <c r="G39" s="162">
        <f t="shared" si="20"/>
        <v>0.30030306739656293</v>
      </c>
      <c r="H39" s="162">
        <f t="shared" si="20"/>
        <v>0.29663187080275089</v>
      </c>
      <c r="I39" s="162">
        <f t="shared" si="20"/>
        <v>0.29467746900531955</v>
      </c>
      <c r="J39" s="162">
        <f t="shared" si="20"/>
        <v>0.29355300797650191</v>
      </c>
      <c r="K39" s="162">
        <f t="shared" si="20"/>
        <v>0.29287627687424395</v>
      </c>
    </row>
    <row r="40" spans="3:13" ht="14.4" customHeight="1">
      <c r="C40" s="6" t="s">
        <v>57</v>
      </c>
      <c r="D40" s="162">
        <f>+D26/D14</f>
        <v>0.18093503339404979</v>
      </c>
      <c r="E40" s="162">
        <f t="shared" ref="E40:K40" si="21">+E26/E14</f>
        <v>0.207380073800738</v>
      </c>
      <c r="F40" s="163">
        <f t="shared" si="21"/>
        <v>0.19344802342606149</v>
      </c>
      <c r="G40" s="162">
        <f t="shared" ca="1" si="21"/>
        <v>0.21863303402253539</v>
      </c>
      <c r="H40" s="162">
        <f t="shared" ca="1" si="21"/>
        <v>0.22559409576852837</v>
      </c>
      <c r="I40" s="162">
        <f t="shared" ca="1" si="21"/>
        <v>0.2324091058981535</v>
      </c>
      <c r="J40" s="162">
        <f t="shared" ca="1" si="21"/>
        <v>0.23902699624590223</v>
      </c>
      <c r="K40" s="162">
        <f t="shared" ca="1" si="21"/>
        <v>0.24540535195746985</v>
      </c>
    </row>
    <row r="41" spans="3:13" ht="14.4" customHeight="1">
      <c r="C41" s="312" t="s">
        <v>58</v>
      </c>
      <c r="D41" s="164">
        <f>+D24/D23</f>
        <v>0.11485148514851486</v>
      </c>
      <c r="E41" s="164">
        <f t="shared" ref="E41:F41" si="22">+E24/E23</f>
        <v>0.12529182879377432</v>
      </c>
      <c r="F41" s="165">
        <f t="shared" si="22"/>
        <v>0.2210759027266028</v>
      </c>
      <c r="G41" s="201">
        <f>+IF(F41&lt;0,AVERAGEIFS(D41:F41,D41:F41,"&gt;0"),F41)</f>
        <v>0.2210759027266028</v>
      </c>
      <c r="H41" s="201">
        <f>+G41</f>
        <v>0.2210759027266028</v>
      </c>
      <c r="I41" s="201">
        <f t="shared" ref="I41:K41" si="23">+H41</f>
        <v>0.2210759027266028</v>
      </c>
      <c r="J41" s="201">
        <f t="shared" si="23"/>
        <v>0.2210759027266028</v>
      </c>
      <c r="K41" s="201">
        <f t="shared" si="23"/>
        <v>0.2210759027266028</v>
      </c>
    </row>
    <row r="42" spans="3:13" ht="14.4" customHeight="1">
      <c r="C42" s="6"/>
      <c r="D42" s="18"/>
      <c r="E42" s="18"/>
      <c r="F42" s="18"/>
    </row>
    <row r="43" spans="3:13" ht="14.4" customHeight="1">
      <c r="C43" s="55" t="s">
        <v>59</v>
      </c>
      <c r="D43" s="335" t="s">
        <v>9</v>
      </c>
      <c r="E43" s="336"/>
      <c r="F43" s="337"/>
      <c r="G43" s="335" t="s">
        <v>10</v>
      </c>
      <c r="H43" s="336"/>
      <c r="I43" s="336"/>
      <c r="J43" s="336"/>
      <c r="K43" s="336"/>
      <c r="M43" s="52" t="s">
        <v>35</v>
      </c>
    </row>
    <row r="44" spans="3:13" ht="14.4" customHeight="1">
      <c r="C44" s="55"/>
      <c r="D44" s="10">
        <f>+D$12</f>
        <v>44500</v>
      </c>
      <c r="E44" s="10">
        <f t="shared" ref="E44:K44" si="24">+E$12</f>
        <v>44865</v>
      </c>
      <c r="F44" s="11">
        <f t="shared" si="24"/>
        <v>45230</v>
      </c>
      <c r="G44" s="10">
        <f t="shared" si="24"/>
        <v>45596</v>
      </c>
      <c r="H44" s="10">
        <f t="shared" si="24"/>
        <v>45961</v>
      </c>
      <c r="I44" s="10">
        <f t="shared" si="24"/>
        <v>46326</v>
      </c>
      <c r="J44" s="10">
        <f t="shared" si="24"/>
        <v>46691</v>
      </c>
      <c r="K44" s="10">
        <f t="shared" si="24"/>
        <v>47057</v>
      </c>
      <c r="M44" s="10" t="s">
        <v>36</v>
      </c>
    </row>
    <row r="45" spans="3:13" ht="14.4" customHeight="1">
      <c r="D45" s="160"/>
      <c r="E45" s="160"/>
      <c r="F45" s="160"/>
    </row>
    <row r="46" spans="3:13" ht="14.4" customHeight="1">
      <c r="C46" s="321" t="s">
        <v>60</v>
      </c>
      <c r="D46" s="166">
        <v>2052000</v>
      </c>
      <c r="E46" s="166">
        <v>2042000</v>
      </c>
      <c r="F46" s="167">
        <v>2472000</v>
      </c>
      <c r="G46" s="160">
        <f ca="1">+F46+G103</f>
        <v>3157517.0000000005</v>
      </c>
      <c r="H46" s="160">
        <f t="shared" ref="H46:K46" ca="1" si="25">+G46+H103</f>
        <v>4483513.6246518726</v>
      </c>
      <c r="I46" s="160">
        <f t="shared" ca="1" si="25"/>
        <v>5979017.0668863673</v>
      </c>
      <c r="J46" s="160">
        <f t="shared" ca="1" si="25"/>
        <v>6901480.0830701338</v>
      </c>
      <c r="K46" s="160">
        <f t="shared" ca="1" si="25"/>
        <v>8655804.9976474084</v>
      </c>
      <c r="M46" s="53">
        <f ca="1">+_xlfn.RRI(YEAR($K$12)-YEAR($F$12),F46,K46)</f>
        <v>0.28484813804211129</v>
      </c>
    </row>
    <row r="47" spans="3:13" ht="14.4" customHeight="1">
      <c r="C47" s="321" t="s">
        <v>61</v>
      </c>
      <c r="D47" s="166">
        <v>735000</v>
      </c>
      <c r="E47" s="166">
        <v>905000</v>
      </c>
      <c r="F47" s="167">
        <v>900000</v>
      </c>
      <c r="G47" s="160">
        <f t="shared" ref="G47" si="26">G113</f>
        <v>945616.03221083444</v>
      </c>
      <c r="H47" s="160">
        <f t="shared" ref="H47:K47" si="27">H113</f>
        <v>1005825.4062957539</v>
      </c>
      <c r="I47" s="160">
        <f t="shared" si="27"/>
        <v>1070797.8673133233</v>
      </c>
      <c r="J47" s="160">
        <f t="shared" si="27"/>
        <v>1135946.2920845533</v>
      </c>
      <c r="K47" s="160">
        <f t="shared" si="27"/>
        <v>1206102.9154406113</v>
      </c>
    </row>
    <row r="48" spans="3:13" ht="14.4" customHeight="1">
      <c r="C48" s="321" t="s">
        <v>62</v>
      </c>
      <c r="D48" s="166">
        <v>777000</v>
      </c>
      <c r="E48" s="166">
        <v>1057000</v>
      </c>
      <c r="F48" s="167">
        <v>1195000</v>
      </c>
      <c r="G48" s="160">
        <f t="shared" ref="G48" si="28">G124</f>
        <v>1234523.473007712</v>
      </c>
      <c r="H48" s="160">
        <f t="shared" ref="H48:K48" si="29">H124</f>
        <v>1313128.1952956298</v>
      </c>
      <c r="I48" s="160">
        <f t="shared" si="29"/>
        <v>1397951.23709383</v>
      </c>
      <c r="J48" s="160">
        <f t="shared" si="29"/>
        <v>1483004.0036184448</v>
      </c>
      <c r="K48" s="160">
        <f t="shared" si="29"/>
        <v>1574595.0885512179</v>
      </c>
    </row>
    <row r="49" spans="3:13" ht="14.4" customHeight="1">
      <c r="C49" s="321" t="s">
        <v>63</v>
      </c>
      <c r="D49" s="166">
        <v>270000</v>
      </c>
      <c r="E49" s="166">
        <v>230000</v>
      </c>
      <c r="F49" s="167">
        <v>242000</v>
      </c>
      <c r="G49" s="160">
        <f>+F49*(1+G34)</f>
        <v>254265.64421669106</v>
      </c>
      <c r="H49" s="160">
        <f t="shared" ref="H49:K49" si="30">+G49*(1+H34)</f>
        <v>270455.27591508051</v>
      </c>
      <c r="I49" s="160">
        <f t="shared" si="30"/>
        <v>287925.64876647142</v>
      </c>
      <c r="J49" s="160">
        <f t="shared" si="30"/>
        <v>305443.33631606883</v>
      </c>
      <c r="K49" s="160">
        <f t="shared" si="30"/>
        <v>324307.67281847558</v>
      </c>
    </row>
    <row r="50" spans="3:13" ht="14.4" customHeight="1">
      <c r="C50" s="321" t="s">
        <v>64</v>
      </c>
      <c r="D50" s="166">
        <v>3834000</v>
      </c>
      <c r="E50" s="166">
        <v>4234000</v>
      </c>
      <c r="F50" s="167">
        <v>4809000</v>
      </c>
      <c r="G50" s="160">
        <f ca="1">+SUM(G46:G49)</f>
        <v>5591922.149435238</v>
      </c>
      <c r="H50" s="160">
        <f t="shared" ref="H50:K50" ca="1" si="31">+SUM(H46:H49)</f>
        <v>7072922.5021583373</v>
      </c>
      <c r="I50" s="160">
        <f t="shared" ca="1" si="31"/>
        <v>8735691.8200599924</v>
      </c>
      <c r="J50" s="160">
        <f t="shared" ca="1" si="31"/>
        <v>9825873.7150892019</v>
      </c>
      <c r="K50" s="160">
        <f t="shared" ca="1" si="31"/>
        <v>11760810.674457714</v>
      </c>
    </row>
    <row r="51" spans="3:13" ht="14.4" customHeight="1">
      <c r="C51" s="321" t="s">
        <v>65</v>
      </c>
      <c r="D51" s="166">
        <v>877000</v>
      </c>
      <c r="E51" s="166">
        <v>910000</v>
      </c>
      <c r="F51" s="167">
        <v>987000</v>
      </c>
      <c r="G51" s="160">
        <f>+G156+G237</f>
        <v>1050102.9624331431</v>
      </c>
      <c r="H51" s="160">
        <f>+H156+H237</f>
        <v>1121280.4139594601</v>
      </c>
      <c r="I51" s="160">
        <f>+I156+I237</f>
        <v>1196725.4690919835</v>
      </c>
      <c r="J51" s="160">
        <f>+J156+J237</f>
        <v>1276081.6560838872</v>
      </c>
      <c r="K51" s="160">
        <f>+K156+K237</f>
        <v>1360436.3257113837</v>
      </c>
      <c r="M51" s="20"/>
    </row>
    <row r="52" spans="3:13" ht="14.4" customHeight="1">
      <c r="C52" s="321" t="s">
        <v>66</v>
      </c>
      <c r="D52" s="166">
        <v>134000</v>
      </c>
      <c r="E52" s="166">
        <v>210000</v>
      </c>
      <c r="F52" s="167">
        <v>97000</v>
      </c>
      <c r="G52" s="160">
        <f>+F52*(1+G$34)</f>
        <v>101916.39458272327</v>
      </c>
      <c r="H52" s="160">
        <f t="shared" ref="H52:K52" si="32">+G52*(1+H$34)</f>
        <v>108405.62712298681</v>
      </c>
      <c r="I52" s="160">
        <f t="shared" si="32"/>
        <v>115408.21458821374</v>
      </c>
      <c r="J52" s="160">
        <f t="shared" si="32"/>
        <v>122429.76703577963</v>
      </c>
      <c r="K52" s="160">
        <f t="shared" si="32"/>
        <v>129991.09199748811</v>
      </c>
      <c r="M52" s="20"/>
    </row>
    <row r="53" spans="3:13" ht="14.4" customHeight="1">
      <c r="C53" s="321" t="s">
        <v>67</v>
      </c>
      <c r="D53" s="166">
        <v>1900000</v>
      </c>
      <c r="E53" s="166">
        <v>1771000</v>
      </c>
      <c r="F53" s="167">
        <v>1795000</v>
      </c>
      <c r="G53" s="160">
        <f>+G141+G147</f>
        <v>1742000</v>
      </c>
      <c r="H53" s="160">
        <f t="shared" ref="H53:K53" si="33">+H141+H147</f>
        <v>1707000</v>
      </c>
      <c r="I53" s="160">
        <f t="shared" si="33"/>
        <v>1683000</v>
      </c>
      <c r="J53" s="160">
        <f t="shared" si="33"/>
        <v>1665000</v>
      </c>
      <c r="K53" s="160">
        <f t="shared" si="33"/>
        <v>1651000</v>
      </c>
      <c r="M53" s="20"/>
    </row>
    <row r="54" spans="3:13" ht="14.4" customHeight="1">
      <c r="C54" s="321" t="s">
        <v>68</v>
      </c>
      <c r="D54" s="166">
        <v>711000</v>
      </c>
      <c r="E54" s="166">
        <v>667000</v>
      </c>
      <c r="F54" s="167">
        <v>671000</v>
      </c>
      <c r="G54" s="160">
        <f>+F54*(1+G$34)</f>
        <v>705009.28623718885</v>
      </c>
      <c r="H54" s="160">
        <f t="shared" ref="H54:K55" si="34">+G54*(1+H$34)</f>
        <v>749898.71958272334</v>
      </c>
      <c r="I54" s="160">
        <f t="shared" si="34"/>
        <v>798339.29885248898</v>
      </c>
      <c r="J54" s="160">
        <f t="shared" si="34"/>
        <v>846911.06887637265</v>
      </c>
      <c r="K54" s="160">
        <f t="shared" si="34"/>
        <v>899216.72917850036</v>
      </c>
      <c r="M54" s="20"/>
    </row>
    <row r="55" spans="3:13" ht="14.4" customHeight="1">
      <c r="C55" s="321" t="s">
        <v>69</v>
      </c>
      <c r="D55" s="166">
        <v>325000</v>
      </c>
      <c r="E55" s="166">
        <v>306000</v>
      </c>
      <c r="F55" s="167">
        <v>324000</v>
      </c>
      <c r="G55" s="160">
        <f>+F55*(1+G$34)</f>
        <v>340421.77159590041</v>
      </c>
      <c r="H55" s="160">
        <f t="shared" si="34"/>
        <v>362097.14626647142</v>
      </c>
      <c r="I55" s="160">
        <f t="shared" si="34"/>
        <v>385487.23223279644</v>
      </c>
      <c r="J55" s="160">
        <f t="shared" si="34"/>
        <v>408940.66515043919</v>
      </c>
      <c r="K55" s="160">
        <f t="shared" si="34"/>
        <v>434197.04955862009</v>
      </c>
      <c r="M55" s="20"/>
    </row>
    <row r="56" spans="3:13" ht="14.4" customHeight="1">
      <c r="C56" s="313" t="s">
        <v>70</v>
      </c>
      <c r="D56" s="168">
        <v>7781000</v>
      </c>
      <c r="E56" s="168">
        <v>8098000</v>
      </c>
      <c r="F56" s="172">
        <v>8683000</v>
      </c>
      <c r="G56" s="168">
        <f ca="1">+SUM(G50:G55)</f>
        <v>9531372.5642841943</v>
      </c>
      <c r="H56" s="168">
        <f ca="1">+SUM(H50:H55)</f>
        <v>11121604.409089981</v>
      </c>
      <c r="I56" s="168">
        <f ca="1">+SUM(I50:I55)</f>
        <v>12914652.034825474</v>
      </c>
      <c r="J56" s="168">
        <f ca="1">+SUM(J50:J55)</f>
        <v>14145236.872235682</v>
      </c>
      <c r="K56" s="168">
        <f ca="1">+SUM(K50:K55)</f>
        <v>16235651.870903708</v>
      </c>
    </row>
    <row r="57" spans="3:13" ht="14.4" customHeight="1">
      <c r="D57" s="169"/>
      <c r="E57" s="169"/>
      <c r="F57" s="306"/>
      <c r="G57" s="160"/>
      <c r="H57" s="160"/>
      <c r="I57" s="160"/>
      <c r="J57" s="160"/>
      <c r="K57" s="160"/>
    </row>
    <row r="58" spans="3:13" ht="14.4" customHeight="1">
      <c r="C58" s="321" t="s">
        <v>71</v>
      </c>
      <c r="D58" s="166">
        <v>41000</v>
      </c>
      <c r="E58" s="166">
        <v>39000</v>
      </c>
      <c r="F58" s="167">
        <v>639000</v>
      </c>
      <c r="G58" s="154">
        <f ca="1">+G192+G200+G229</f>
        <v>99559.190103680434</v>
      </c>
      <c r="H58" s="154">
        <f ca="1">+H192+H200+H229</f>
        <v>44703.351390922406</v>
      </c>
      <c r="I58" s="154">
        <f ca="1">+I192+I200+I229</f>
        <v>745591.01632503665</v>
      </c>
      <c r="J58" s="154">
        <f ca="1">+J192+J200+J229</f>
        <v>50486.501870424596</v>
      </c>
      <c r="K58" s="154">
        <f ca="1">+K192+K200+K229</f>
        <v>550604.57401958271</v>
      </c>
    </row>
    <row r="59" spans="3:13" ht="14.4" customHeight="1">
      <c r="C59" s="321" t="s">
        <v>72</v>
      </c>
      <c r="D59" s="166">
        <v>287000</v>
      </c>
      <c r="E59" s="166">
        <v>348000</v>
      </c>
      <c r="F59" s="167">
        <v>286000</v>
      </c>
      <c r="G59" s="154">
        <f>+F59*(1+(G15/F15-1))</f>
        <v>295459.17429305916</v>
      </c>
      <c r="H59" s="154">
        <f t="shared" ref="H59:K59" si="35">+G59*(1+(H15/G15-1))</f>
        <v>314271.68523393321</v>
      </c>
      <c r="I59" s="154">
        <f t="shared" si="35"/>
        <v>334572.42996555264</v>
      </c>
      <c r="J59" s="154">
        <f t="shared" si="35"/>
        <v>354928.15484089981</v>
      </c>
      <c r="K59" s="154">
        <f t="shared" si="35"/>
        <v>376848.69901727897</v>
      </c>
    </row>
    <row r="60" spans="3:13" ht="14.4" customHeight="1">
      <c r="C60" s="321" t="s">
        <v>73</v>
      </c>
      <c r="D60" s="166">
        <v>74000</v>
      </c>
      <c r="E60" s="166">
        <v>96000</v>
      </c>
      <c r="F60" s="167">
        <v>90000</v>
      </c>
      <c r="G60" s="279">
        <v>0</v>
      </c>
      <c r="H60" s="279">
        <v>0</v>
      </c>
      <c r="I60" s="279">
        <v>0</v>
      </c>
      <c r="J60" s="279">
        <v>0</v>
      </c>
      <c r="K60" s="279">
        <v>0</v>
      </c>
    </row>
    <row r="61" spans="3:13" ht="14.4" customHeight="1">
      <c r="C61" s="321" t="s">
        <v>74</v>
      </c>
      <c r="D61" s="166">
        <v>907000</v>
      </c>
      <c r="E61" s="166">
        <v>924000</v>
      </c>
      <c r="F61" s="167">
        <v>1034000</v>
      </c>
      <c r="G61" s="154">
        <f>+F61*(1+G34)</f>
        <v>1086407.7525622253</v>
      </c>
      <c r="H61" s="154">
        <f t="shared" ref="H61:K61" si="36">+G61*(1+H34)</f>
        <v>1155581.633455344</v>
      </c>
      <c r="I61" s="154">
        <f t="shared" si="36"/>
        <v>1230227.7720021959</v>
      </c>
      <c r="J61" s="154">
        <f t="shared" si="36"/>
        <v>1305076.0733504756</v>
      </c>
      <c r="K61" s="154">
        <f t="shared" si="36"/>
        <v>1385678.2384062135</v>
      </c>
    </row>
    <row r="62" spans="3:13" ht="14.4" customHeight="1">
      <c r="C62" s="27" t="s">
        <v>75</v>
      </c>
      <c r="D62" s="170">
        <v>1309000</v>
      </c>
      <c r="E62" s="170">
        <v>1407000</v>
      </c>
      <c r="F62" s="171">
        <v>2049000</v>
      </c>
      <c r="G62" s="157">
        <f ca="1">+SUM(G58:G61)</f>
        <v>1481426.1169589648</v>
      </c>
      <c r="H62" s="157">
        <f t="shared" ref="H62:K62" ca="1" si="37">+SUM(H58:H61)</f>
        <v>1514556.6700801996</v>
      </c>
      <c r="I62" s="157">
        <f t="shared" ca="1" si="37"/>
        <v>2310391.2182927853</v>
      </c>
      <c r="J62" s="157">
        <f t="shared" ca="1" si="37"/>
        <v>1710490.7300618</v>
      </c>
      <c r="K62" s="157">
        <f t="shared" ca="1" si="37"/>
        <v>2313131.5114430753</v>
      </c>
    </row>
    <row r="63" spans="3:13" ht="14.4" customHeight="1">
      <c r="C63" s="321"/>
      <c r="D63" s="166"/>
      <c r="E63" s="166"/>
      <c r="F63" s="167"/>
      <c r="G63" s="154"/>
      <c r="H63" s="154"/>
      <c r="I63" s="154"/>
      <c r="J63" s="154"/>
      <c r="K63" s="154"/>
    </row>
    <row r="64" spans="3:13" ht="14.4" customHeight="1">
      <c r="C64" s="321" t="s">
        <v>76</v>
      </c>
      <c r="D64" s="166">
        <v>1982000</v>
      </c>
      <c r="E64" s="166">
        <v>1979000</v>
      </c>
      <c r="F64" s="167">
        <v>1387000</v>
      </c>
      <c r="G64" s="154">
        <f>+G201+G232</f>
        <v>1396731.420204978</v>
      </c>
      <c r="H64" s="154">
        <f>+H201+H232</f>
        <v>1409576.0866764276</v>
      </c>
      <c r="I64" s="154">
        <f>+I201+I232</f>
        <v>725436.87836017576</v>
      </c>
      <c r="J64" s="154">
        <f>+J201+J232</f>
        <v>739335.20897803805</v>
      </c>
      <c r="K64" s="154">
        <f>+K201+K232</f>
        <v>257301.9552939971</v>
      </c>
      <c r="M64" s="14"/>
    </row>
    <row r="65" spans="3:13" ht="14.4" customHeight="1">
      <c r="C65" s="321" t="s">
        <v>77</v>
      </c>
      <c r="D65" s="166">
        <v>180000</v>
      </c>
      <c r="E65" s="166">
        <v>70000</v>
      </c>
      <c r="F65" s="167">
        <v>78000</v>
      </c>
      <c r="G65" s="154">
        <f>+F65*(1+G34)</f>
        <v>81953.389458272315</v>
      </c>
      <c r="H65" s="154">
        <f t="shared" ref="H65:K65" si="38">+G65*(1+H34)</f>
        <v>87171.535212298666</v>
      </c>
      <c r="I65" s="154">
        <f t="shared" si="38"/>
        <v>92802.481833821352</v>
      </c>
      <c r="J65" s="154">
        <f t="shared" si="38"/>
        <v>98448.67864732795</v>
      </c>
      <c r="K65" s="154">
        <f t="shared" si="38"/>
        <v>104528.91933818632</v>
      </c>
      <c r="M65" s="14"/>
    </row>
    <row r="66" spans="3:13" ht="14.4" customHeight="1">
      <c r="C66" s="321" t="s">
        <v>78</v>
      </c>
      <c r="D66" s="166">
        <v>0</v>
      </c>
      <c r="E66" s="166">
        <v>0</v>
      </c>
      <c r="F66" s="167">
        <v>0</v>
      </c>
      <c r="G66" s="154">
        <f>+F66*(1+G34)</f>
        <v>0</v>
      </c>
      <c r="H66" s="154">
        <f t="shared" ref="H66:K66" si="39">+G66*(1+H34)</f>
        <v>0</v>
      </c>
      <c r="I66" s="154">
        <f t="shared" si="39"/>
        <v>0</v>
      </c>
      <c r="J66" s="154">
        <f t="shared" si="39"/>
        <v>0</v>
      </c>
      <c r="K66" s="154">
        <f t="shared" si="39"/>
        <v>0</v>
      </c>
      <c r="M66" s="14"/>
    </row>
    <row r="67" spans="3:13" ht="14.4" customHeight="1">
      <c r="C67" s="321" t="s">
        <v>79</v>
      </c>
      <c r="D67" s="166">
        <v>526000</v>
      </c>
      <c r="E67" s="166">
        <v>481000</v>
      </c>
      <c r="F67" s="167">
        <v>515000</v>
      </c>
      <c r="G67" s="154">
        <f>+F67*(1+G34)</f>
        <v>541102.50732064422</v>
      </c>
      <c r="H67" s="154">
        <f t="shared" ref="H67:K67" si="40">+G67*(1+H34)</f>
        <v>575555.64915812598</v>
      </c>
      <c r="I67" s="154">
        <f t="shared" si="40"/>
        <v>612734.33518484631</v>
      </c>
      <c r="J67" s="154">
        <f t="shared" si="40"/>
        <v>650013.71158171678</v>
      </c>
      <c r="K67" s="154">
        <f t="shared" si="40"/>
        <v>690158.89050212782</v>
      </c>
    </row>
    <row r="68" spans="3:13" ht="14.4" customHeight="1">
      <c r="C68" s="12" t="s">
        <v>80</v>
      </c>
      <c r="D68" s="173">
        <v>3997000</v>
      </c>
      <c r="E68" s="173">
        <v>3937000</v>
      </c>
      <c r="F68" s="174">
        <v>4029000</v>
      </c>
      <c r="G68" s="157">
        <f ca="1">+SUM(G64:G67,G62)</f>
        <v>3501213.4339428591</v>
      </c>
      <c r="H68" s="157">
        <f t="shared" ref="H68:K68" ca="1" si="41">+SUM(H64:H67,H62)</f>
        <v>3586859.9411270516</v>
      </c>
      <c r="I68" s="157">
        <f t="shared" ca="1" si="41"/>
        <v>3741364.9136716286</v>
      </c>
      <c r="J68" s="157">
        <f t="shared" ca="1" si="41"/>
        <v>3198288.329268883</v>
      </c>
      <c r="K68" s="157">
        <f t="shared" ca="1" si="41"/>
        <v>3365121.2765773865</v>
      </c>
    </row>
    <row r="69" spans="3:13" ht="14.4" customHeight="1">
      <c r="D69" s="169"/>
      <c r="E69" s="169"/>
      <c r="F69" s="167"/>
      <c r="G69" s="160"/>
      <c r="H69" s="160"/>
      <c r="I69" s="160"/>
      <c r="J69" s="160"/>
      <c r="K69" s="160"/>
    </row>
    <row r="70" spans="3:13" ht="14.4" customHeight="1">
      <c r="C70" s="12" t="s">
        <v>81</v>
      </c>
      <c r="D70" s="170">
        <v>3784000</v>
      </c>
      <c r="E70" s="170">
        <v>4161000</v>
      </c>
      <c r="F70" s="171">
        <v>4654000</v>
      </c>
      <c r="G70" s="157">
        <f ca="1">+F70+G31+G164-G165+G95</f>
        <v>6030159.1303413343</v>
      </c>
      <c r="H70" s="157">
        <f t="shared" ref="H70:K70" ca="1" si="42">+G70+H31+H164-H165+H95</f>
        <v>7534744.4679629263</v>
      </c>
      <c r="I70" s="157">
        <f t="shared" ca="1" si="42"/>
        <v>9173287.1211538464</v>
      </c>
      <c r="J70" s="157">
        <f t="shared" ca="1" si="42"/>
        <v>10946948.542966796</v>
      </c>
      <c r="K70" s="157">
        <f t="shared" ca="1" si="42"/>
        <v>12870530.594326317</v>
      </c>
    </row>
    <row r="71" spans="3:13" ht="14.4" customHeight="1">
      <c r="C71" s="12" t="s">
        <v>82</v>
      </c>
      <c r="D71" s="170">
        <v>3784000</v>
      </c>
      <c r="E71" s="170">
        <v>4161000</v>
      </c>
      <c r="F71" s="171">
        <v>4654000</v>
      </c>
      <c r="G71" s="157">
        <f ca="1">+G70+G177</f>
        <v>6030159.1303413343</v>
      </c>
      <c r="H71" s="157">
        <f t="shared" ref="H71:K71" ca="1" si="43">+H70+H177</f>
        <v>7534744.4679629263</v>
      </c>
      <c r="I71" s="157">
        <f t="shared" ca="1" si="43"/>
        <v>9173287.1211538464</v>
      </c>
      <c r="J71" s="157">
        <f t="shared" ca="1" si="43"/>
        <v>10946948.542966796</v>
      </c>
      <c r="K71" s="157">
        <f t="shared" ca="1" si="43"/>
        <v>12870530.594326317</v>
      </c>
    </row>
    <row r="72" spans="3:13" ht="14.4" customHeight="1">
      <c r="D72" s="169"/>
      <c r="E72" s="169"/>
      <c r="F72" s="167"/>
      <c r="G72" s="160"/>
      <c r="H72" s="160"/>
      <c r="I72" s="160"/>
      <c r="J72" s="160"/>
      <c r="K72" s="160"/>
    </row>
    <row r="73" spans="3:13" ht="14.4" customHeight="1">
      <c r="C73" s="313" t="s">
        <v>83</v>
      </c>
      <c r="D73" s="168">
        <v>7781000</v>
      </c>
      <c r="E73" s="168">
        <v>8098000</v>
      </c>
      <c r="F73" s="172">
        <v>8683000</v>
      </c>
      <c r="G73" s="168">
        <f ca="1">+G71+G68</f>
        <v>9531372.5642841943</v>
      </c>
      <c r="H73" s="168">
        <f t="shared" ref="H73:K73" ca="1" si="44">+H71+H68</f>
        <v>11121604.409089979</v>
      </c>
      <c r="I73" s="168">
        <f t="shared" ca="1" si="44"/>
        <v>12914652.034825474</v>
      </c>
      <c r="J73" s="168">
        <f t="shared" ca="1" si="44"/>
        <v>14145236.872235678</v>
      </c>
      <c r="K73" s="168">
        <f t="shared" ca="1" si="44"/>
        <v>16235651.870903704</v>
      </c>
    </row>
    <row r="74" spans="3:13" ht="14.4" customHeight="1">
      <c r="C74" s="12"/>
      <c r="D74" s="169"/>
      <c r="E74" s="169"/>
      <c r="F74" s="167"/>
      <c r="G74" s="160"/>
      <c r="H74" s="160"/>
      <c r="I74" s="160"/>
      <c r="J74" s="160"/>
      <c r="K74" s="160"/>
    </row>
    <row r="75" spans="3:13" ht="14.4" customHeight="1">
      <c r="C75" s="13" t="s">
        <v>84</v>
      </c>
      <c r="D75" s="166">
        <f>+D56-D73</f>
        <v>0</v>
      </c>
      <c r="E75" s="166">
        <f t="shared" ref="E75:K75" si="45">+E56-E73</f>
        <v>0</v>
      </c>
      <c r="F75" s="167">
        <f t="shared" si="45"/>
        <v>0</v>
      </c>
      <c r="G75" s="154">
        <f t="shared" ca="1" si="45"/>
        <v>0</v>
      </c>
      <c r="H75" s="154">
        <f t="shared" ca="1" si="45"/>
        <v>0</v>
      </c>
      <c r="I75" s="154">
        <f t="shared" ca="1" si="45"/>
        <v>0</v>
      </c>
      <c r="J75" s="154">
        <f t="shared" ca="1" si="45"/>
        <v>0</v>
      </c>
      <c r="K75" s="154">
        <f t="shared" ca="1" si="45"/>
        <v>0</v>
      </c>
    </row>
    <row r="76" spans="3:13" ht="14.4" customHeight="1">
      <c r="H76" s="20"/>
      <c r="I76" s="20"/>
      <c r="J76" s="20"/>
      <c r="K76" s="20"/>
    </row>
    <row r="77" spans="3:13" ht="14.4" customHeight="1">
      <c r="C77" s="55" t="s">
        <v>85</v>
      </c>
      <c r="D77" s="335" t="s">
        <v>9</v>
      </c>
      <c r="E77" s="336"/>
      <c r="F77" s="337"/>
      <c r="G77" s="335" t="s">
        <v>10</v>
      </c>
      <c r="H77" s="336"/>
      <c r="I77" s="336"/>
      <c r="J77" s="336"/>
      <c r="K77" s="336"/>
    </row>
    <row r="78" spans="3:13" ht="14.4" customHeight="1">
      <c r="C78" s="55"/>
      <c r="D78" s="10">
        <f>+D$12</f>
        <v>44500</v>
      </c>
      <c r="E78" s="10">
        <f t="shared" ref="E78:K78" si="46">+E$12</f>
        <v>44865</v>
      </c>
      <c r="F78" s="11">
        <f t="shared" si="46"/>
        <v>45230</v>
      </c>
      <c r="G78" s="10">
        <f t="shared" si="46"/>
        <v>45596</v>
      </c>
      <c r="H78" s="10">
        <f t="shared" si="46"/>
        <v>45961</v>
      </c>
      <c r="I78" s="10">
        <f t="shared" si="46"/>
        <v>46326</v>
      </c>
      <c r="J78" s="10">
        <f t="shared" si="46"/>
        <v>46691</v>
      </c>
      <c r="K78" s="10">
        <f t="shared" si="46"/>
        <v>47057</v>
      </c>
    </row>
    <row r="80" spans="3:13" ht="14.4" customHeight="1">
      <c r="C80" s="321" t="s">
        <v>48</v>
      </c>
      <c r="D80" s="166">
        <v>894000</v>
      </c>
      <c r="E80" s="166">
        <v>1124000</v>
      </c>
      <c r="F80" s="167">
        <v>1057000</v>
      </c>
      <c r="G80" s="154">
        <f ca="1">+G26+G25</f>
        <v>1255159.1303413343</v>
      </c>
      <c r="H80" s="154">
        <f t="shared" ref="H80:K80" ca="1" si="47">+H26+H25</f>
        <v>1377585.3376215925</v>
      </c>
      <c r="I80" s="154">
        <f t="shared" ca="1" si="47"/>
        <v>1510875.9865242525</v>
      </c>
      <c r="J80" s="154">
        <f t="shared" ca="1" si="47"/>
        <v>1648439.1995907277</v>
      </c>
      <c r="K80" s="154">
        <f t="shared" ca="1" si="47"/>
        <v>1796952.421729892</v>
      </c>
    </row>
    <row r="81" spans="3:13" ht="14.4" customHeight="1">
      <c r="C81" s="321" t="s">
        <v>86</v>
      </c>
      <c r="D81" s="166">
        <v>293000</v>
      </c>
      <c r="E81" s="166">
        <v>223000</v>
      </c>
      <c r="F81" s="167">
        <v>212000</v>
      </c>
      <c r="G81" s="154">
        <f>+G28</f>
        <v>173968.0917396241</v>
      </c>
      <c r="H81" s="154">
        <f>+H28</f>
        <v>162626.92782946635</v>
      </c>
      <c r="I81" s="154">
        <f>+I28</f>
        <v>160426.56841798915</v>
      </c>
      <c r="J81" s="154">
        <f>+J28</f>
        <v>162432.28684008744</v>
      </c>
      <c r="K81" s="154">
        <f>+K28</f>
        <v>167508.90231790996</v>
      </c>
    </row>
    <row r="82" spans="3:13" ht="14.4" customHeight="1">
      <c r="C82" s="321" t="s">
        <v>87</v>
      </c>
      <c r="D82" s="166">
        <v>-53000</v>
      </c>
      <c r="E82" s="166">
        <v>7000</v>
      </c>
      <c r="F82" s="167">
        <v>-3000</v>
      </c>
      <c r="G82" s="166">
        <f>+F54-G54+G66-F66</f>
        <v>-34009.286237188848</v>
      </c>
      <c r="H82" s="166">
        <f t="shared" ref="H82:K82" si="48">+G54-H54+H66-G66</f>
        <v>-44889.433345534489</v>
      </c>
      <c r="I82" s="166">
        <f t="shared" si="48"/>
        <v>-48440.579269765643</v>
      </c>
      <c r="J82" s="166">
        <f t="shared" si="48"/>
        <v>-48571.77002388367</v>
      </c>
      <c r="K82" s="166">
        <f t="shared" si="48"/>
        <v>-52305.660302127711</v>
      </c>
    </row>
    <row r="83" spans="3:13" ht="14.4" customHeight="1">
      <c r="C83" s="321" t="s">
        <v>88</v>
      </c>
      <c r="D83" s="166">
        <v>152000</v>
      </c>
      <c r="E83" s="166">
        <v>194000</v>
      </c>
      <c r="F83" s="167">
        <v>161000</v>
      </c>
      <c r="G83" s="166">
        <f>+G31+F55-G55+G65-F65+G67-F67+G214-G217</f>
        <v>156698.49926793555</v>
      </c>
      <c r="H83" s="166">
        <f t="shared" ref="H83:K83" si="49">+H31+G55-H55+H65-G65+H67-G67+H214-H217</f>
        <v>168465.17240117132</v>
      </c>
      <c r="I83" s="166">
        <f t="shared" si="49"/>
        <v>172071.49691922893</v>
      </c>
      <c r="J83" s="166">
        <f t="shared" si="49"/>
        <v>171199.77599692944</v>
      </c>
      <c r="K83" s="166">
        <f t="shared" si="49"/>
        <v>175741.06619299902</v>
      </c>
    </row>
    <row r="84" spans="3:13" ht="14.4" customHeight="1">
      <c r="C84" s="321" t="s">
        <v>89</v>
      </c>
      <c r="D84" s="166">
        <v>1286000</v>
      </c>
      <c r="E84" s="166">
        <v>1548000</v>
      </c>
      <c r="F84" s="167">
        <v>1427000</v>
      </c>
      <c r="G84" s="166">
        <f ca="1">+SUM(G80:G83)</f>
        <v>1551816.435111705</v>
      </c>
      <c r="H84" s="166">
        <f t="shared" ref="H84:K84" ca="1" si="50">+SUM(H80:H83)</f>
        <v>1663788.0045066958</v>
      </c>
      <c r="I84" s="166">
        <f t="shared" ca="1" si="50"/>
        <v>1794933.4725917049</v>
      </c>
      <c r="J84" s="166">
        <f t="shared" ca="1" si="50"/>
        <v>1933499.4924038611</v>
      </c>
      <c r="K84" s="166">
        <f t="shared" ca="1" si="50"/>
        <v>2087896.7299386733</v>
      </c>
    </row>
    <row r="85" spans="3:13" ht="14.4" customHeight="1">
      <c r="C85" s="321" t="s">
        <v>90</v>
      </c>
      <c r="D85" s="166">
        <v>36000</v>
      </c>
      <c r="E85" s="166">
        <v>-404000</v>
      </c>
      <c r="F85" s="167">
        <v>-19000</v>
      </c>
      <c r="G85" s="166">
        <f>+F47-G47+F48-G48+F49-G49+G59-F59+G60-F60+G61-F61</f>
        <v>-125538.22257995291</v>
      </c>
      <c r="H85" s="166">
        <f t="shared" ref="H85:K85" si="51">+G47-H47+G48-H48+G49-H49+H59-G59+H60-G60+H61-G61</f>
        <v>-67017.336237233947</v>
      </c>
      <c r="I85" s="166">
        <f t="shared" si="51"/>
        <v>-72318.992388688959</v>
      </c>
      <c r="J85" s="166">
        <f t="shared" si="51"/>
        <v>-72514.852621815167</v>
      </c>
      <c r="K85" s="166">
        <f t="shared" si="51"/>
        <v>-78089.335559120867</v>
      </c>
    </row>
    <row r="86" spans="3:13" ht="14.4" customHeight="1">
      <c r="C86" s="27" t="s">
        <v>91</v>
      </c>
      <c r="D86" s="170">
        <v>1322000</v>
      </c>
      <c r="E86" s="170">
        <v>1144000</v>
      </c>
      <c r="F86" s="171">
        <v>1408000</v>
      </c>
      <c r="G86" s="170">
        <f ca="1">+SUM(G84:G85)</f>
        <v>1426278.212531752</v>
      </c>
      <c r="H86" s="170">
        <f t="shared" ref="H86:K86" ca="1" si="52">+SUM(H84:H85)</f>
        <v>1596770.668269462</v>
      </c>
      <c r="I86" s="170">
        <f t="shared" ca="1" si="52"/>
        <v>1722614.480203016</v>
      </c>
      <c r="J86" s="170">
        <f t="shared" ca="1" si="52"/>
        <v>1860984.639782046</v>
      </c>
      <c r="K86" s="170">
        <f t="shared" ca="1" si="52"/>
        <v>2009807.3943795525</v>
      </c>
    </row>
    <row r="87" spans="3:13" ht="14.4" customHeight="1">
      <c r="D87" s="166"/>
      <c r="E87" s="166"/>
      <c r="F87" s="167"/>
      <c r="G87" s="169"/>
      <c r="H87" s="160"/>
      <c r="I87" s="160"/>
      <c r="J87" s="160"/>
      <c r="K87" s="160"/>
    </row>
    <row r="88" spans="3:13" ht="14.4" customHeight="1">
      <c r="C88" s="321" t="s">
        <v>92</v>
      </c>
      <c r="D88" s="166">
        <v>-174000</v>
      </c>
      <c r="E88" s="166">
        <v>-185000</v>
      </c>
      <c r="F88" s="167">
        <v>-196000</v>
      </c>
      <c r="G88" s="166">
        <f>-G154</f>
        <v>-194376.6288433382</v>
      </c>
      <c r="H88" s="154">
        <f t="shared" ref="H88:K88" si="53">-H154</f>
        <v>-206753.00018301609</v>
      </c>
      <c r="I88" s="154">
        <f t="shared" si="53"/>
        <v>-220108.45050329427</v>
      </c>
      <c r="J88" s="154">
        <f t="shared" si="53"/>
        <v>-233500.07115071375</v>
      </c>
      <c r="K88" s="154">
        <f t="shared" si="53"/>
        <v>-247921.15484057012</v>
      </c>
    </row>
    <row r="89" spans="3:13" ht="14.4" customHeight="1">
      <c r="C89" s="321" t="s">
        <v>93</v>
      </c>
      <c r="D89" s="166">
        <v>-178000</v>
      </c>
      <c r="E89" s="166">
        <v>-33000</v>
      </c>
      <c r="F89" s="167">
        <v>-85000</v>
      </c>
      <c r="G89" s="227">
        <v>0</v>
      </c>
      <c r="H89" s="227">
        <v>0</v>
      </c>
      <c r="I89" s="227">
        <v>0</v>
      </c>
      <c r="J89" s="227">
        <v>0</v>
      </c>
      <c r="K89" s="227">
        <v>0</v>
      </c>
    </row>
    <row r="90" spans="3:13" ht="14.4" customHeight="1">
      <c r="C90" s="321" t="s">
        <v>94</v>
      </c>
      <c r="D90" s="166">
        <v>0</v>
      </c>
      <c r="E90" s="166">
        <v>0</v>
      </c>
      <c r="F90" s="167">
        <v>0</v>
      </c>
      <c r="G90" s="227">
        <v>0</v>
      </c>
      <c r="H90" s="227">
        <v>0</v>
      </c>
      <c r="I90" s="227">
        <v>0</v>
      </c>
      <c r="J90" s="227">
        <v>0</v>
      </c>
      <c r="K90" s="227">
        <v>0</v>
      </c>
    </row>
    <row r="91" spans="3:13" ht="14.4" customHeight="1">
      <c r="C91" s="321" t="s">
        <v>95</v>
      </c>
      <c r="D91" s="166">
        <v>0</v>
      </c>
      <c r="E91" s="166">
        <v>-33000</v>
      </c>
      <c r="F91" s="167">
        <v>-7000</v>
      </c>
      <c r="G91" s="166">
        <f>+F52-G52</f>
        <v>-4916.3945827232674</v>
      </c>
      <c r="H91" s="154">
        <f t="shared" ref="H91:K91" si="54">+G52-H52</f>
        <v>-6489.232540263547</v>
      </c>
      <c r="I91" s="154">
        <f t="shared" si="54"/>
        <v>-7002.5874652269267</v>
      </c>
      <c r="J91" s="154">
        <f t="shared" si="54"/>
        <v>-7021.5524475658895</v>
      </c>
      <c r="K91" s="154">
        <f t="shared" si="54"/>
        <v>-7561.3249617084803</v>
      </c>
    </row>
    <row r="92" spans="3:13" ht="14.4" customHeight="1">
      <c r="C92" s="321" t="s">
        <v>88</v>
      </c>
      <c r="D92" s="166">
        <v>-1000</v>
      </c>
      <c r="E92" s="166">
        <v>0</v>
      </c>
      <c r="F92" s="167">
        <v>0</v>
      </c>
      <c r="G92" s="227">
        <v>0</v>
      </c>
      <c r="H92" s="279">
        <v>0</v>
      </c>
      <c r="I92" s="279">
        <v>0</v>
      </c>
      <c r="J92" s="279">
        <v>0</v>
      </c>
      <c r="K92" s="279">
        <v>0</v>
      </c>
    </row>
    <row r="93" spans="3:13" ht="14.4" customHeight="1">
      <c r="C93" s="27" t="s">
        <v>96</v>
      </c>
      <c r="D93" s="170">
        <v>-353000</v>
      </c>
      <c r="E93" s="170">
        <v>-251000</v>
      </c>
      <c r="F93" s="171">
        <v>-288000</v>
      </c>
      <c r="G93" s="170">
        <f>+SUM(G88:G92)</f>
        <v>-199293.02342606147</v>
      </c>
      <c r="H93" s="170">
        <f t="shared" ref="H93:K93" si="55">+SUM(H88:H92)</f>
        <v>-213242.23272327962</v>
      </c>
      <c r="I93" s="170">
        <f t="shared" si="55"/>
        <v>-227111.03796852118</v>
      </c>
      <c r="J93" s="170">
        <f t="shared" si="55"/>
        <v>-240521.62359827964</v>
      </c>
      <c r="K93" s="170">
        <f t="shared" si="55"/>
        <v>-255482.4798022786</v>
      </c>
    </row>
    <row r="94" spans="3:13" ht="14.4" customHeight="1">
      <c r="C94" s="321"/>
      <c r="D94" s="175"/>
      <c r="E94" s="175"/>
      <c r="F94" s="176"/>
      <c r="G94" s="166"/>
      <c r="H94" s="154"/>
      <c r="I94" s="154"/>
      <c r="J94" s="154"/>
      <c r="K94" s="154"/>
    </row>
    <row r="95" spans="3:13" ht="14.4" customHeight="1">
      <c r="C95" s="321" t="s">
        <v>97</v>
      </c>
      <c r="D95" s="166">
        <v>-614000</v>
      </c>
      <c r="E95" s="166">
        <v>-786000</v>
      </c>
      <c r="F95" s="167">
        <v>-635000</v>
      </c>
      <c r="G95" s="227">
        <v>0</v>
      </c>
      <c r="H95" s="227">
        <v>0</v>
      </c>
      <c r="I95" s="227">
        <v>0</v>
      </c>
      <c r="J95" s="227">
        <v>0</v>
      </c>
      <c r="K95" s="227">
        <v>0</v>
      </c>
    </row>
    <row r="96" spans="3:13" ht="14.4" customHeight="1">
      <c r="C96" s="321" t="s">
        <v>98</v>
      </c>
      <c r="D96" s="166">
        <v>0</v>
      </c>
      <c r="E96" s="166">
        <v>0</v>
      </c>
      <c r="F96" s="167">
        <v>0</v>
      </c>
      <c r="G96" s="166">
        <f ca="1">+G192-F192+G200-F200+G201-F201</f>
        <v>-541468.18910568999</v>
      </c>
      <c r="H96" s="166">
        <f t="shared" ref="H96:K96" ca="1" si="56">+H192-G192+H200-G200+H201-G201</f>
        <v>-57531.810894310009</v>
      </c>
      <c r="I96" s="166">
        <f t="shared" ca="1" si="56"/>
        <v>0</v>
      </c>
      <c r="J96" s="166">
        <f t="shared" ca="1" si="56"/>
        <v>-698000</v>
      </c>
      <c r="K96" s="166">
        <f t="shared" ca="1" si="56"/>
        <v>0</v>
      </c>
      <c r="M96" s="321"/>
    </row>
    <row r="97" spans="3:13" ht="14.4" customHeight="1">
      <c r="C97" s="321" t="s">
        <v>99</v>
      </c>
      <c r="D97" s="166">
        <v>0</v>
      </c>
      <c r="E97" s="166">
        <v>0</v>
      </c>
      <c r="F97" s="167">
        <v>0</v>
      </c>
      <c r="G97" s="166">
        <f ca="1">-G165</f>
        <v>0</v>
      </c>
      <c r="H97" s="166">
        <f t="shared" ref="H97:K97" ca="1" si="57">-H165</f>
        <v>0</v>
      </c>
      <c r="I97" s="166">
        <f t="shared" ca="1" si="57"/>
        <v>0</v>
      </c>
      <c r="J97" s="166">
        <f t="shared" ca="1" si="57"/>
        <v>0</v>
      </c>
      <c r="K97" s="166">
        <f t="shared" ca="1" si="57"/>
        <v>0</v>
      </c>
      <c r="M97" s="321"/>
    </row>
    <row r="98" spans="3:13" ht="14.4" customHeight="1">
      <c r="C98" s="321" t="s">
        <v>88</v>
      </c>
      <c r="D98" s="166">
        <v>-57000</v>
      </c>
      <c r="E98" s="166">
        <v>-75000</v>
      </c>
      <c r="F98" s="167">
        <v>-52000</v>
      </c>
      <c r="G98" s="227">
        <v>0</v>
      </c>
      <c r="H98" s="227">
        <v>0</v>
      </c>
      <c r="I98" s="227">
        <v>0</v>
      </c>
      <c r="J98" s="227">
        <v>0</v>
      </c>
      <c r="K98" s="227">
        <v>0</v>
      </c>
    </row>
    <row r="99" spans="3:13" ht="14.4" customHeight="1">
      <c r="C99" s="27" t="s">
        <v>100</v>
      </c>
      <c r="D99" s="170">
        <v>-671000</v>
      </c>
      <c r="E99" s="170">
        <v>-861000</v>
      </c>
      <c r="F99" s="171">
        <v>-687000</v>
      </c>
      <c r="G99" s="170">
        <f ca="1">+SUM(G95:G98)</f>
        <v>-541468.18910568999</v>
      </c>
      <c r="H99" s="170">
        <f t="shared" ref="H99:K99" ca="1" si="58">+SUM(H95:H98)</f>
        <v>-57531.810894310009</v>
      </c>
      <c r="I99" s="170">
        <f t="shared" ca="1" si="58"/>
        <v>0</v>
      </c>
      <c r="J99" s="170">
        <f t="shared" ca="1" si="58"/>
        <v>-698000</v>
      </c>
      <c r="K99" s="170">
        <f t="shared" ca="1" si="58"/>
        <v>0</v>
      </c>
    </row>
    <row r="100" spans="3:13" ht="14.4" customHeight="1">
      <c r="C100" s="12"/>
      <c r="D100" s="177"/>
      <c r="E100" s="177"/>
      <c r="F100" s="171"/>
      <c r="G100" s="170"/>
      <c r="H100" s="157"/>
      <c r="I100" s="157"/>
      <c r="J100" s="157"/>
      <c r="K100" s="157"/>
    </row>
    <row r="101" spans="3:13" ht="14.4" customHeight="1">
      <c r="C101" s="19" t="s">
        <v>101</v>
      </c>
      <c r="D101" s="166">
        <v>3000</v>
      </c>
      <c r="E101" s="166">
        <v>-43000</v>
      </c>
      <c r="F101" s="167">
        <v>-2000</v>
      </c>
      <c r="G101" s="227">
        <v>0</v>
      </c>
      <c r="H101" s="227">
        <v>0</v>
      </c>
      <c r="I101" s="227">
        <v>0</v>
      </c>
      <c r="J101" s="227">
        <v>0</v>
      </c>
      <c r="K101" s="227">
        <v>0</v>
      </c>
    </row>
    <row r="102" spans="3:13" ht="14.4" customHeight="1">
      <c r="D102" s="178"/>
      <c r="E102" s="178"/>
      <c r="F102" s="167"/>
      <c r="G102" s="169"/>
      <c r="H102" s="160"/>
      <c r="I102" s="160"/>
      <c r="J102" s="160"/>
      <c r="K102" s="160"/>
    </row>
    <row r="103" spans="3:13" ht="14.4" customHeight="1">
      <c r="C103" s="75" t="s">
        <v>102</v>
      </c>
      <c r="D103" s="179">
        <v>301000</v>
      </c>
      <c r="E103" s="179">
        <v>-11000</v>
      </c>
      <c r="F103" s="180">
        <v>431000</v>
      </c>
      <c r="G103" s="179">
        <f ca="1">+G86+G93+G99+G101</f>
        <v>685517.00000000047</v>
      </c>
      <c r="H103" s="179">
        <f t="shared" ref="H103:K103" ca="1" si="59">+H86+H93+H99+H101</f>
        <v>1325996.6246518723</v>
      </c>
      <c r="I103" s="179">
        <f t="shared" ca="1" si="59"/>
        <v>1495503.4422344947</v>
      </c>
      <c r="J103" s="179">
        <f t="shared" ca="1" si="59"/>
        <v>922463.0161837663</v>
      </c>
      <c r="K103" s="179">
        <f t="shared" ca="1" si="59"/>
        <v>1754324.9145772739</v>
      </c>
      <c r="L103" s="25"/>
    </row>
    <row r="104" spans="3:13" ht="14.4" customHeight="1"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3:13" ht="14.4" customHeight="1" thickBot="1">
      <c r="C105" s="54" t="s">
        <v>103</v>
      </c>
      <c r="D105" s="4"/>
      <c r="E105" s="4"/>
      <c r="F105" s="4"/>
      <c r="G105" s="4"/>
      <c r="H105" s="4"/>
      <c r="I105" s="4"/>
      <c r="J105" s="4"/>
      <c r="K105" s="4"/>
      <c r="L105" s="22"/>
    </row>
    <row r="106" spans="3:13" ht="14.4" customHeight="1">
      <c r="L106" s="22"/>
    </row>
    <row r="107" spans="3:13" ht="14.4" customHeight="1">
      <c r="C107" s="55" t="s">
        <v>104</v>
      </c>
      <c r="D107" s="335" t="s">
        <v>9</v>
      </c>
      <c r="E107" s="336"/>
      <c r="F107" s="337"/>
      <c r="G107" s="335" t="s">
        <v>10</v>
      </c>
      <c r="H107" s="336"/>
      <c r="I107" s="336"/>
      <c r="J107" s="336"/>
      <c r="K107" s="336"/>
      <c r="L107" s="22"/>
    </row>
    <row r="108" spans="3:13" ht="14.4" customHeight="1">
      <c r="C108" s="55"/>
      <c r="D108" s="10">
        <f>+D$12</f>
        <v>44500</v>
      </c>
      <c r="E108" s="10">
        <f t="shared" ref="E108:K108" si="60">+E$12</f>
        <v>44865</v>
      </c>
      <c r="F108" s="11">
        <f t="shared" si="60"/>
        <v>45230</v>
      </c>
      <c r="G108" s="10">
        <f t="shared" si="60"/>
        <v>45596</v>
      </c>
      <c r="H108" s="10">
        <f t="shared" si="60"/>
        <v>45961</v>
      </c>
      <c r="I108" s="10">
        <f t="shared" si="60"/>
        <v>46326</v>
      </c>
      <c r="J108" s="10">
        <f t="shared" si="60"/>
        <v>46691</v>
      </c>
      <c r="K108" s="10">
        <f t="shared" si="60"/>
        <v>47057</v>
      </c>
      <c r="L108" s="22"/>
    </row>
    <row r="109" spans="3:13" ht="14.4" customHeight="1">
      <c r="L109" s="22"/>
    </row>
    <row r="110" spans="3:13" ht="14.4" customHeight="1">
      <c r="C110" s="7" t="s">
        <v>105</v>
      </c>
      <c r="F110" s="56"/>
      <c r="G110" s="14"/>
      <c r="L110" s="22"/>
    </row>
    <row r="111" spans="3:13" ht="14.4" customHeight="1">
      <c r="C111" s="6" t="s">
        <v>106</v>
      </c>
      <c r="D111" s="181"/>
      <c r="E111" s="154">
        <f>+D113</f>
        <v>735000</v>
      </c>
      <c r="F111" s="182">
        <f>+E113</f>
        <v>905000</v>
      </c>
      <c r="G111" s="154">
        <f>+F113</f>
        <v>900000</v>
      </c>
      <c r="H111" s="154">
        <f t="shared" ref="H111:K111" si="61">+G113</f>
        <v>945616.03221083444</v>
      </c>
      <c r="I111" s="154">
        <f t="shared" si="61"/>
        <v>1005825.4062957539</v>
      </c>
      <c r="J111" s="154">
        <f t="shared" si="61"/>
        <v>1070797.8673133233</v>
      </c>
      <c r="K111" s="154">
        <f t="shared" si="61"/>
        <v>1135946.2920845533</v>
      </c>
      <c r="L111" s="22"/>
    </row>
    <row r="112" spans="3:13" ht="14.4" customHeight="1">
      <c r="C112" s="6" t="s">
        <v>107</v>
      </c>
      <c r="D112" s="181"/>
      <c r="E112" s="154">
        <f>+E113-E111</f>
        <v>170000</v>
      </c>
      <c r="F112" s="182">
        <f>+F113-F111</f>
        <v>-5000</v>
      </c>
      <c r="G112" s="154">
        <f t="shared" ref="G112:K112" si="62">+G113-G111</f>
        <v>45616.032210834441</v>
      </c>
      <c r="H112" s="154">
        <f t="shared" si="62"/>
        <v>60209.374084919458</v>
      </c>
      <c r="I112" s="154">
        <f t="shared" si="62"/>
        <v>64972.461017569411</v>
      </c>
      <c r="J112" s="154">
        <f t="shared" si="62"/>
        <v>65148.424771229969</v>
      </c>
      <c r="K112" s="154">
        <f t="shared" si="62"/>
        <v>70156.623356058029</v>
      </c>
      <c r="L112" s="22"/>
    </row>
    <row r="113" spans="3:12" ht="14.4" customHeight="1">
      <c r="C113" s="58" t="s">
        <v>108</v>
      </c>
      <c r="D113" s="157">
        <f>+D47</f>
        <v>735000</v>
      </c>
      <c r="E113" s="157">
        <f>+E47</f>
        <v>905000</v>
      </c>
      <c r="F113" s="183">
        <f>+F47</f>
        <v>900000</v>
      </c>
      <c r="G113" s="157">
        <f>+IF($E$115=1,F113*(1+G117),IF($E$115=2,G119*G118/365,"NA"))</f>
        <v>945616.03221083444</v>
      </c>
      <c r="H113" s="157">
        <f t="shared" ref="H113:K113" si="63">+IF($E$115=1,G113*(1+H117),IF($E$115=2,H119*H118/365,"NA"))</f>
        <v>1005825.4062957539</v>
      </c>
      <c r="I113" s="157">
        <f t="shared" si="63"/>
        <v>1070797.8673133233</v>
      </c>
      <c r="J113" s="157">
        <f t="shared" si="63"/>
        <v>1135946.2920845533</v>
      </c>
      <c r="K113" s="157">
        <f t="shared" si="63"/>
        <v>1206102.9154406113</v>
      </c>
      <c r="L113" s="22"/>
    </row>
    <row r="114" spans="3:12" ht="14.4" customHeight="1">
      <c r="F114" s="56"/>
      <c r="L114" s="22"/>
    </row>
    <row r="115" spans="3:12" ht="14.4" customHeight="1">
      <c r="C115" s="6" t="s">
        <v>109</v>
      </c>
      <c r="E115" s="16">
        <v>1</v>
      </c>
      <c r="F115" s="56"/>
      <c r="L115" s="22"/>
    </row>
    <row r="116" spans="3:12" ht="14.4" customHeight="1">
      <c r="C116" s="6"/>
      <c r="F116" s="56"/>
      <c r="L116" s="22"/>
    </row>
    <row r="117" spans="3:12" ht="14.4" customHeight="1">
      <c r="C117" s="6" t="s">
        <v>110</v>
      </c>
      <c r="D117" s="184"/>
      <c r="E117" s="150">
        <f t="shared" ref="E117:K117" si="64">+E34</f>
        <v>9.6943938473993185E-2</v>
      </c>
      <c r="F117" s="185">
        <f t="shared" si="64"/>
        <v>8.1180811808116982E-3</v>
      </c>
      <c r="G117" s="186">
        <f t="shared" si="64"/>
        <v>5.0684480234260532E-2</v>
      </c>
      <c r="H117" s="186">
        <f t="shared" si="64"/>
        <v>6.3672116412991642E-2</v>
      </c>
      <c r="I117" s="186">
        <f t="shared" si="64"/>
        <v>6.4596162128027323E-2</v>
      </c>
      <c r="J117" s="186">
        <f t="shared" si="64"/>
        <v>6.0841010950731578E-2</v>
      </c>
      <c r="K117" s="186">
        <f t="shared" si="64"/>
        <v>6.176051090172141E-2</v>
      </c>
      <c r="L117" s="22"/>
    </row>
    <row r="118" spans="3:12" ht="14.4" customHeight="1">
      <c r="C118" s="6" t="s">
        <v>111</v>
      </c>
      <c r="D118" s="59">
        <f>+D113*365/D119</f>
        <v>54.295689131754706</v>
      </c>
      <c r="E118" s="59">
        <f t="shared" ref="E118:F118" si="65">+E113*365/E119</f>
        <v>60.945571955719558</v>
      </c>
      <c r="F118" s="60">
        <f t="shared" si="65"/>
        <v>60.120790629575403</v>
      </c>
      <c r="G118" s="225">
        <f>+'Revenue Build &amp; Growth Drivers'!G48</f>
        <v>60</v>
      </c>
      <c r="H118" s="225">
        <f>+'Revenue Build &amp; Growth Drivers'!H48</f>
        <v>60</v>
      </c>
      <c r="I118" s="225">
        <f>+'Revenue Build &amp; Growth Drivers'!I48</f>
        <v>60</v>
      </c>
      <c r="J118" s="225">
        <f>+'Revenue Build &amp; Growth Drivers'!J48</f>
        <v>60</v>
      </c>
      <c r="K118" s="225">
        <f>+'Revenue Build &amp; Growth Drivers'!K48</f>
        <v>60</v>
      </c>
      <c r="L118" s="22"/>
    </row>
    <row r="119" spans="3:12" ht="14.4" customHeight="1">
      <c r="C119" s="6" t="s">
        <v>112</v>
      </c>
      <c r="D119" s="154">
        <f t="shared" ref="D119:K119" si="66">+D14</f>
        <v>4941000</v>
      </c>
      <c r="E119" s="154">
        <f t="shared" si="66"/>
        <v>5420000</v>
      </c>
      <c r="F119" s="182">
        <f t="shared" si="66"/>
        <v>5464000</v>
      </c>
      <c r="G119" s="154">
        <f t="shared" si="66"/>
        <v>5740940</v>
      </c>
      <c r="H119" s="154">
        <f t="shared" si="66"/>
        <v>6106477.7999999998</v>
      </c>
      <c r="I119" s="154">
        <f t="shared" si="66"/>
        <v>6500932.8299999991</v>
      </c>
      <c r="J119" s="154">
        <f t="shared" si="66"/>
        <v>6896456.1554999994</v>
      </c>
      <c r="K119" s="154">
        <f t="shared" si="66"/>
        <v>7322384.811075001</v>
      </c>
      <c r="L119" s="22"/>
    </row>
    <row r="120" spans="3:12" ht="14.4" customHeight="1">
      <c r="C120" s="6"/>
      <c r="D120" s="14"/>
      <c r="E120" s="14"/>
      <c r="F120" s="57"/>
      <c r="G120" s="14"/>
      <c r="H120" s="14"/>
      <c r="I120" s="14"/>
      <c r="J120" s="14"/>
      <c r="K120" s="14"/>
      <c r="L120" s="22"/>
    </row>
    <row r="121" spans="3:12" ht="14.4" customHeight="1">
      <c r="C121" s="61" t="s">
        <v>62</v>
      </c>
      <c r="F121" s="56"/>
      <c r="L121" s="22"/>
    </row>
    <row r="122" spans="3:12" ht="14.4" customHeight="1">
      <c r="C122" s="6" t="s">
        <v>106</v>
      </c>
      <c r="D122" s="181"/>
      <c r="E122" s="154">
        <f>+D124</f>
        <v>777000</v>
      </c>
      <c r="F122" s="182">
        <f t="shared" ref="F122:K122" si="67">+E124</f>
        <v>1057000</v>
      </c>
      <c r="G122" s="154">
        <f t="shared" si="67"/>
        <v>1195000</v>
      </c>
      <c r="H122" s="154">
        <f t="shared" si="67"/>
        <v>1234523.473007712</v>
      </c>
      <c r="I122" s="154">
        <f t="shared" si="67"/>
        <v>1313128.1952956298</v>
      </c>
      <c r="J122" s="154">
        <f t="shared" si="67"/>
        <v>1397951.23709383</v>
      </c>
      <c r="K122" s="154">
        <f t="shared" si="67"/>
        <v>1483004.0036184448</v>
      </c>
      <c r="L122" s="22"/>
    </row>
    <row r="123" spans="3:12" ht="14.4" customHeight="1">
      <c r="C123" s="6" t="s">
        <v>107</v>
      </c>
      <c r="D123" s="181"/>
      <c r="E123" s="154">
        <f>+E124-E122</f>
        <v>280000</v>
      </c>
      <c r="F123" s="182">
        <f t="shared" ref="F123:K123" si="68">+F124-F122</f>
        <v>138000</v>
      </c>
      <c r="G123" s="154">
        <f t="shared" si="68"/>
        <v>39523.473007712048</v>
      </c>
      <c r="H123" s="154">
        <f t="shared" si="68"/>
        <v>78604.722287917743</v>
      </c>
      <c r="I123" s="154">
        <f t="shared" si="68"/>
        <v>84823.041798200225</v>
      </c>
      <c r="J123" s="154">
        <f t="shared" si="68"/>
        <v>85052.766524614766</v>
      </c>
      <c r="K123" s="154">
        <f t="shared" si="68"/>
        <v>91591.084932773141</v>
      </c>
      <c r="L123" s="22"/>
    </row>
    <row r="124" spans="3:12" ht="14.4" customHeight="1">
      <c r="C124" s="58" t="s">
        <v>108</v>
      </c>
      <c r="D124" s="157">
        <f>+D48</f>
        <v>777000</v>
      </c>
      <c r="E124" s="157">
        <f>+E48</f>
        <v>1057000</v>
      </c>
      <c r="F124" s="183">
        <f>+F48</f>
        <v>1195000</v>
      </c>
      <c r="G124" s="157">
        <f>+IF($E$126=1,F124*(1+G128),IF($E$126=2,G130/G129,"NA"))</f>
        <v>1234523.473007712</v>
      </c>
      <c r="H124" s="157">
        <f t="shared" ref="H124:K124" si="69">+IF($E$126=1,G124*(1+H128),IF($E$126=2,H130/H129,"NA"))</f>
        <v>1313128.1952956298</v>
      </c>
      <c r="I124" s="157">
        <f t="shared" si="69"/>
        <v>1397951.23709383</v>
      </c>
      <c r="J124" s="157">
        <f t="shared" si="69"/>
        <v>1483004.0036184448</v>
      </c>
      <c r="K124" s="157">
        <f t="shared" si="69"/>
        <v>1574595.0885512179</v>
      </c>
      <c r="L124" s="22"/>
    </row>
    <row r="125" spans="3:12" ht="14.4" customHeight="1">
      <c r="F125" s="56"/>
      <c r="L125" s="22"/>
    </row>
    <row r="126" spans="3:12" ht="14.4" customHeight="1">
      <c r="C126" s="6" t="s">
        <v>113</v>
      </c>
      <c r="E126" s="16">
        <v>1</v>
      </c>
      <c r="F126" s="56"/>
      <c r="L126" s="22"/>
    </row>
    <row r="127" spans="3:12" ht="14.4" customHeight="1">
      <c r="C127" s="6"/>
      <c r="F127" s="56"/>
      <c r="L127" s="22"/>
    </row>
    <row r="128" spans="3:12" ht="14.4" customHeight="1">
      <c r="C128" s="6" t="s">
        <v>114</v>
      </c>
      <c r="D128" s="184"/>
      <c r="E128" s="187">
        <f>+E130/D130-1</f>
        <v>5.9797116924719784E-2</v>
      </c>
      <c r="F128" s="188">
        <f t="shared" ref="F128:K128" si="70">+F130/E130-1</f>
        <v>-2.0151133501259411E-2</v>
      </c>
      <c r="G128" s="187">
        <f t="shared" si="70"/>
        <v>3.3074035989717254E-2</v>
      </c>
      <c r="H128" s="187">
        <f t="shared" si="70"/>
        <v>6.3672116412991642E-2</v>
      </c>
      <c r="I128" s="187">
        <f t="shared" si="70"/>
        <v>6.4596162128027101E-2</v>
      </c>
      <c r="J128" s="187">
        <f t="shared" si="70"/>
        <v>6.08410109507318E-2</v>
      </c>
      <c r="K128" s="187">
        <f t="shared" si="70"/>
        <v>6.1760510901721188E-2</v>
      </c>
      <c r="L128" s="22"/>
    </row>
    <row r="129" spans="3:12" ht="14.4" customHeight="1">
      <c r="C129" s="6" t="s">
        <v>115</v>
      </c>
      <c r="D129" s="189"/>
      <c r="E129" s="190">
        <f>+E130/E124</f>
        <v>1.8779564806054871</v>
      </c>
      <c r="F129" s="191">
        <f t="shared" ref="F129" si="71">+F130/F124</f>
        <v>1.6276150627615062</v>
      </c>
      <c r="G129" s="226">
        <f>'Revenue Build &amp; Growth Drivers'!G49</f>
        <v>1.5</v>
      </c>
      <c r="H129" s="226">
        <f>'Revenue Build &amp; Growth Drivers'!H49</f>
        <v>1.5</v>
      </c>
      <c r="I129" s="226">
        <f>'Revenue Build &amp; Growth Drivers'!I49</f>
        <v>1.5</v>
      </c>
      <c r="J129" s="226">
        <f>'Revenue Build &amp; Growth Drivers'!J49</f>
        <v>1.5</v>
      </c>
      <c r="K129" s="226">
        <f>'Revenue Build &amp; Growth Drivers'!K49</f>
        <v>1.5</v>
      </c>
      <c r="L129" s="22"/>
    </row>
    <row r="130" spans="3:12" ht="14.4" customHeight="1">
      <c r="C130" s="6" t="s">
        <v>116</v>
      </c>
      <c r="D130" s="154">
        <f t="shared" ref="D130:K130" si="72">+D15</f>
        <v>1873000</v>
      </c>
      <c r="E130" s="154">
        <f t="shared" si="72"/>
        <v>1985000</v>
      </c>
      <c r="F130" s="182">
        <f t="shared" si="72"/>
        <v>1945000</v>
      </c>
      <c r="G130" s="154">
        <f t="shared" si="72"/>
        <v>2009329</v>
      </c>
      <c r="H130" s="154">
        <f t="shared" si="72"/>
        <v>2137267.23</v>
      </c>
      <c r="I130" s="154">
        <f t="shared" si="72"/>
        <v>2275326.4904999994</v>
      </c>
      <c r="J130" s="154">
        <f t="shared" si="72"/>
        <v>2413759.6544249998</v>
      </c>
      <c r="K130" s="154">
        <f t="shared" si="72"/>
        <v>2562834.6838762499</v>
      </c>
      <c r="L130" s="22"/>
    </row>
    <row r="131" spans="3:12" ht="14.4" customHeight="1">
      <c r="C131" s="6"/>
      <c r="D131" s="14"/>
      <c r="E131" s="14"/>
      <c r="F131" s="57"/>
      <c r="G131" s="14"/>
      <c r="H131" s="14"/>
      <c r="I131" s="14"/>
      <c r="J131" s="14"/>
      <c r="K131" s="14"/>
      <c r="L131" s="22"/>
    </row>
    <row r="132" spans="3:12" ht="14.4" customHeight="1">
      <c r="C132" s="63" t="s">
        <v>117</v>
      </c>
      <c r="D132" s="168">
        <f>+D113+D124</f>
        <v>1512000</v>
      </c>
      <c r="E132" s="168">
        <f t="shared" ref="E132:K132" si="73">+E113+E124</f>
        <v>1962000</v>
      </c>
      <c r="F132" s="192">
        <f t="shared" si="73"/>
        <v>2095000</v>
      </c>
      <c r="G132" s="168">
        <f t="shared" si="73"/>
        <v>2180139.5052185464</v>
      </c>
      <c r="H132" s="168">
        <f t="shared" si="73"/>
        <v>2318953.6015913836</v>
      </c>
      <c r="I132" s="168">
        <f t="shared" si="73"/>
        <v>2468749.1044071531</v>
      </c>
      <c r="J132" s="168">
        <f t="shared" si="73"/>
        <v>2618950.2957029981</v>
      </c>
      <c r="K132" s="168">
        <f t="shared" si="73"/>
        <v>2780698.0039918292</v>
      </c>
      <c r="L132" s="22"/>
    </row>
    <row r="133" spans="3:12" ht="14.4" customHeight="1">
      <c r="D133" s="20"/>
      <c r="L133" s="22"/>
    </row>
    <row r="134" spans="3:12" ht="14.4" customHeight="1">
      <c r="C134" s="55" t="s">
        <v>118</v>
      </c>
      <c r="D134" s="335" t="s">
        <v>9</v>
      </c>
      <c r="E134" s="336"/>
      <c r="F134" s="337"/>
      <c r="G134" s="335" t="s">
        <v>10</v>
      </c>
      <c r="H134" s="336"/>
      <c r="I134" s="336"/>
      <c r="J134" s="336"/>
      <c r="K134" s="336"/>
      <c r="L134" s="22"/>
    </row>
    <row r="135" spans="3:12" ht="14.4" customHeight="1">
      <c r="C135" s="55"/>
      <c r="D135" s="10">
        <f>+D$12</f>
        <v>44500</v>
      </c>
      <c r="E135" s="10">
        <f t="shared" ref="E135:K135" si="74">+E$12</f>
        <v>44865</v>
      </c>
      <c r="F135" s="11">
        <f t="shared" si="74"/>
        <v>45230</v>
      </c>
      <c r="G135" s="10">
        <f t="shared" si="74"/>
        <v>45596</v>
      </c>
      <c r="H135" s="10">
        <f t="shared" si="74"/>
        <v>45961</v>
      </c>
      <c r="I135" s="10">
        <f t="shared" si="74"/>
        <v>46326</v>
      </c>
      <c r="J135" s="10">
        <f t="shared" si="74"/>
        <v>46691</v>
      </c>
      <c r="K135" s="10">
        <f t="shared" si="74"/>
        <v>47057</v>
      </c>
      <c r="L135" s="22"/>
    </row>
    <row r="136" spans="3:12" ht="14.4" customHeight="1">
      <c r="L136" s="22"/>
    </row>
    <row r="137" spans="3:12" ht="14.4" customHeight="1">
      <c r="C137" s="7" t="s">
        <v>119</v>
      </c>
      <c r="E137" s="20"/>
      <c r="F137" s="56"/>
      <c r="L137" s="22"/>
    </row>
    <row r="138" spans="3:12" ht="14.4" customHeight="1">
      <c r="C138" s="6" t="s">
        <v>106</v>
      </c>
      <c r="D138" s="227">
        <v>1537000</v>
      </c>
      <c r="E138" s="154">
        <f>+D141</f>
        <v>1628000</v>
      </c>
      <c r="F138" s="182">
        <f>+E141</f>
        <v>1582000</v>
      </c>
      <c r="G138" s="154">
        <f>+F141</f>
        <v>1640000</v>
      </c>
      <c r="H138" s="154">
        <f t="shared" ref="H138:K138" si="75">+G141</f>
        <v>1640000</v>
      </c>
      <c r="I138" s="154">
        <f t="shared" si="75"/>
        <v>1640000</v>
      </c>
      <c r="J138" s="154">
        <f t="shared" si="75"/>
        <v>1640000</v>
      </c>
      <c r="K138" s="154">
        <f t="shared" si="75"/>
        <v>1640000</v>
      </c>
      <c r="L138" s="22"/>
    </row>
    <row r="139" spans="3:12" ht="14.4" customHeight="1">
      <c r="C139" s="6" t="s">
        <v>120</v>
      </c>
      <c r="D139" s="227">
        <v>100000</v>
      </c>
      <c r="E139" s="227">
        <v>20000</v>
      </c>
      <c r="F139" s="228">
        <v>56000</v>
      </c>
      <c r="G139" s="279">
        <v>0</v>
      </c>
      <c r="H139" s="279">
        <v>0</v>
      </c>
      <c r="I139" s="279">
        <v>0</v>
      </c>
      <c r="J139" s="279">
        <v>0</v>
      </c>
      <c r="K139" s="279">
        <v>0</v>
      </c>
      <c r="L139" s="22"/>
    </row>
    <row r="140" spans="3:12" ht="14.4" customHeight="1">
      <c r="C140" s="6" t="s">
        <v>121</v>
      </c>
      <c r="D140" s="227">
        <v>9000</v>
      </c>
      <c r="E140" s="227">
        <v>66000</v>
      </c>
      <c r="F140" s="228">
        <v>-2000</v>
      </c>
      <c r="G140" s="279">
        <v>0</v>
      </c>
      <c r="H140" s="279">
        <v>0</v>
      </c>
      <c r="I140" s="279">
        <v>0</v>
      </c>
      <c r="J140" s="279">
        <v>0</v>
      </c>
      <c r="K140" s="279">
        <v>0</v>
      </c>
      <c r="L140" s="22"/>
    </row>
    <row r="141" spans="3:12" ht="14.4" customHeight="1">
      <c r="C141" s="58" t="s">
        <v>108</v>
      </c>
      <c r="D141" s="157">
        <f>+D138+D139-D140</f>
        <v>1628000</v>
      </c>
      <c r="E141" s="157">
        <f>+E138+E139-E140</f>
        <v>1582000</v>
      </c>
      <c r="F141" s="183">
        <f t="shared" ref="F141" si="76">+F138+F139-F140</f>
        <v>1640000</v>
      </c>
      <c r="G141" s="193">
        <f t="shared" ref="G141" si="77">+G138+G139-G140</f>
        <v>1640000</v>
      </c>
      <c r="H141" s="193">
        <f t="shared" ref="H141" si="78">+H138+H139-H140</f>
        <v>1640000</v>
      </c>
      <c r="I141" s="193">
        <f t="shared" ref="I141" si="79">+I138+I139-I140</f>
        <v>1640000</v>
      </c>
      <c r="J141" s="193">
        <f t="shared" ref="J141" si="80">+J138+J139-J140</f>
        <v>1640000</v>
      </c>
      <c r="K141" s="193">
        <f t="shared" ref="K141" si="81">+K138+K139-K140</f>
        <v>1640000</v>
      </c>
      <c r="L141" s="22"/>
    </row>
    <row r="142" spans="3:12" ht="14.4" customHeight="1">
      <c r="D142" s="160"/>
      <c r="E142" s="154"/>
      <c r="F142" s="182"/>
      <c r="G142" s="160"/>
      <c r="H142" s="160"/>
      <c r="I142" s="160"/>
      <c r="J142" s="160"/>
      <c r="K142" s="160"/>
      <c r="L142" s="22"/>
    </row>
    <row r="143" spans="3:12" ht="14.4" customHeight="1">
      <c r="C143" s="7" t="s">
        <v>122</v>
      </c>
      <c r="D143" s="160"/>
      <c r="E143" s="160"/>
      <c r="F143" s="182"/>
      <c r="G143" s="160"/>
      <c r="H143" s="160"/>
      <c r="I143" s="160"/>
      <c r="J143" s="160"/>
      <c r="K143" s="160"/>
      <c r="L143" s="22"/>
    </row>
    <row r="144" spans="3:12" ht="14.4" customHeight="1">
      <c r="C144" s="6" t="s">
        <v>106</v>
      </c>
      <c r="D144" s="227">
        <v>361000</v>
      </c>
      <c r="E144" s="154">
        <f>+D147</f>
        <v>272000</v>
      </c>
      <c r="F144" s="182">
        <f>+E147</f>
        <v>189000</v>
      </c>
      <c r="G144" s="154">
        <f>+F147</f>
        <v>155000</v>
      </c>
      <c r="H144" s="154">
        <f t="shared" ref="H144:K144" si="82">+G147</f>
        <v>102000</v>
      </c>
      <c r="I144" s="154">
        <f t="shared" si="82"/>
        <v>67000</v>
      </c>
      <c r="J144" s="154">
        <f t="shared" si="82"/>
        <v>43000</v>
      </c>
      <c r="K144" s="154">
        <f t="shared" si="82"/>
        <v>25000</v>
      </c>
      <c r="L144" s="22"/>
    </row>
    <row r="145" spans="3:13" ht="14.4" customHeight="1">
      <c r="C145" s="6" t="s">
        <v>123</v>
      </c>
      <c r="D145" s="154">
        <f>+D147+D146-D144</f>
        <v>85000</v>
      </c>
      <c r="E145" s="154">
        <f>+E147+E146-E144</f>
        <v>20000</v>
      </c>
      <c r="F145" s="182">
        <f t="shared" ref="F145" si="83">+F147+F146-F144</f>
        <v>56000</v>
      </c>
      <c r="G145" s="279">
        <v>0</v>
      </c>
      <c r="H145" s="279">
        <v>0</v>
      </c>
      <c r="I145" s="279">
        <v>0</v>
      </c>
      <c r="J145" s="279">
        <v>0</v>
      </c>
      <c r="K145" s="279">
        <v>0</v>
      </c>
      <c r="L145" s="22"/>
    </row>
    <row r="146" spans="3:13" ht="14.4" customHeight="1">
      <c r="C146" s="6" t="s">
        <v>124</v>
      </c>
      <c r="D146" s="227">
        <v>174000</v>
      </c>
      <c r="E146" s="227">
        <v>103000</v>
      </c>
      <c r="F146" s="228">
        <v>90000</v>
      </c>
      <c r="G146" s="227">
        <v>53000</v>
      </c>
      <c r="H146" s="227">
        <v>35000</v>
      </c>
      <c r="I146" s="227">
        <v>24000</v>
      </c>
      <c r="J146" s="227">
        <v>18000</v>
      </c>
      <c r="K146" s="227">
        <v>14000</v>
      </c>
      <c r="L146" s="22"/>
    </row>
    <row r="147" spans="3:13" ht="14.4" customHeight="1">
      <c r="C147" s="64" t="s">
        <v>108</v>
      </c>
      <c r="D147" s="179">
        <f>+D53-D141</f>
        <v>272000</v>
      </c>
      <c r="E147" s="179">
        <f>+E53-E141</f>
        <v>189000</v>
      </c>
      <c r="F147" s="194">
        <f>+F53-F141</f>
        <v>155000</v>
      </c>
      <c r="G147" s="195">
        <f t="shared" ref="G147" si="84">+G144+G145-G146</f>
        <v>102000</v>
      </c>
      <c r="H147" s="195">
        <f t="shared" ref="H147" si="85">+H144+H145-H146</f>
        <v>67000</v>
      </c>
      <c r="I147" s="195">
        <f t="shared" ref="I147" si="86">+I144+I145-I146</f>
        <v>43000</v>
      </c>
      <c r="J147" s="195">
        <f t="shared" ref="J147" si="87">+J144+J145-J146</f>
        <v>25000</v>
      </c>
      <c r="K147" s="195">
        <f t="shared" ref="K147" si="88">+K144+K145-K146</f>
        <v>11000</v>
      </c>
      <c r="L147" s="22"/>
    </row>
    <row r="148" spans="3:13" ht="14.4" customHeight="1">
      <c r="E148" s="14"/>
      <c r="F148" s="160"/>
      <c r="L148" s="22"/>
    </row>
    <row r="149" spans="3:13" ht="14.4" customHeight="1">
      <c r="C149" s="55" t="s">
        <v>125</v>
      </c>
      <c r="D149" s="335" t="s">
        <v>9</v>
      </c>
      <c r="E149" s="336"/>
      <c r="F149" s="337"/>
      <c r="G149" s="335" t="s">
        <v>10</v>
      </c>
      <c r="H149" s="336"/>
      <c r="I149" s="336"/>
      <c r="J149" s="336"/>
      <c r="K149" s="336"/>
      <c r="L149" s="22"/>
      <c r="M149" s="52" t="s">
        <v>35</v>
      </c>
    </row>
    <row r="150" spans="3:13" ht="14.4" customHeight="1">
      <c r="C150" s="55"/>
      <c r="D150" s="10">
        <f>+D$12</f>
        <v>44500</v>
      </c>
      <c r="E150" s="10">
        <f t="shared" ref="E150:K150" si="89">+E$12</f>
        <v>44865</v>
      </c>
      <c r="F150" s="11">
        <f t="shared" si="89"/>
        <v>45230</v>
      </c>
      <c r="G150" s="10">
        <f t="shared" si="89"/>
        <v>45596</v>
      </c>
      <c r="H150" s="10">
        <f t="shared" si="89"/>
        <v>45961</v>
      </c>
      <c r="I150" s="10">
        <f t="shared" si="89"/>
        <v>46326</v>
      </c>
      <c r="J150" s="10">
        <f t="shared" si="89"/>
        <v>46691</v>
      </c>
      <c r="K150" s="10">
        <f t="shared" si="89"/>
        <v>47057</v>
      </c>
      <c r="L150" s="22"/>
      <c r="M150" s="10" t="s">
        <v>36</v>
      </c>
    </row>
    <row r="151" spans="3:13" ht="14.4" customHeight="1">
      <c r="L151" s="22"/>
    </row>
    <row r="152" spans="3:13" ht="14.4" customHeight="1">
      <c r="C152" s="7" t="s">
        <v>126</v>
      </c>
      <c r="E152" s="20"/>
      <c r="F152" s="56"/>
      <c r="L152" s="22"/>
      <c r="M152" s="22"/>
    </row>
    <row r="153" spans="3:13" ht="14.4" customHeight="1">
      <c r="C153" s="6" t="s">
        <v>106</v>
      </c>
      <c r="D153" s="196"/>
      <c r="E153" s="181"/>
      <c r="F153" s="197"/>
      <c r="G153" s="154">
        <f t="shared" ref="G153:K153" si="90">+F156</f>
        <v>761000</v>
      </c>
      <c r="H153" s="154">
        <f t="shared" si="90"/>
        <v>834408.53710371419</v>
      </c>
      <c r="I153" s="154">
        <f t="shared" si="90"/>
        <v>913534.60945726396</v>
      </c>
      <c r="J153" s="154">
        <f t="shared" si="90"/>
        <v>997216.49154256913</v>
      </c>
      <c r="K153" s="154">
        <f t="shared" si="90"/>
        <v>1086284.2758531955</v>
      </c>
      <c r="L153" s="22"/>
      <c r="M153" s="22"/>
    </row>
    <row r="154" spans="3:13" ht="14.4" customHeight="1">
      <c r="C154" s="6" t="s">
        <v>127</v>
      </c>
      <c r="D154" s="227">
        <v>174000</v>
      </c>
      <c r="E154" s="227">
        <v>185000</v>
      </c>
      <c r="F154" s="228">
        <v>196000</v>
      </c>
      <c r="G154" s="154">
        <f>+AVERAGE(D154:$F$154)*(1+G34)</f>
        <v>194376.6288433382</v>
      </c>
      <c r="H154" s="154">
        <f>+G154*(1+H34)</f>
        <v>206753.00018301609</v>
      </c>
      <c r="I154" s="154">
        <f t="shared" ref="I154:K154" si="91">+H154*(1+I34)</f>
        <v>220108.45050329427</v>
      </c>
      <c r="J154" s="154">
        <f t="shared" si="91"/>
        <v>233500.07115071375</v>
      </c>
      <c r="K154" s="154">
        <f t="shared" si="91"/>
        <v>247921.15484057012</v>
      </c>
      <c r="L154" s="22"/>
    </row>
    <row r="155" spans="3:13" ht="14.4" customHeight="1">
      <c r="C155" s="6" t="s">
        <v>128</v>
      </c>
      <c r="D155" s="227">
        <v>117000</v>
      </c>
      <c r="E155" s="227">
        <v>117000</v>
      </c>
      <c r="F155" s="228">
        <v>120000</v>
      </c>
      <c r="G155" s="154">
        <f>+G158*G154</f>
        <v>120968.0917396241</v>
      </c>
      <c r="H155" s="154">
        <f>+H158*H154</f>
        <v>127626.92782946634</v>
      </c>
      <c r="I155" s="154">
        <f>+I158*I154</f>
        <v>136426.56841798915</v>
      </c>
      <c r="J155" s="154">
        <f>+J158*J154</f>
        <v>144432.28684008744</v>
      </c>
      <c r="K155" s="154">
        <f>+K158*K154</f>
        <v>153508.90231790996</v>
      </c>
      <c r="L155" s="22"/>
    </row>
    <row r="156" spans="3:13" ht="14.4" customHeight="1">
      <c r="C156" s="58" t="s">
        <v>108</v>
      </c>
      <c r="D156" s="229">
        <v>650000</v>
      </c>
      <c r="E156" s="229">
        <v>690000</v>
      </c>
      <c r="F156" s="230">
        <v>761000</v>
      </c>
      <c r="G156" s="193">
        <f>+G153+G154-G155</f>
        <v>834408.53710371419</v>
      </c>
      <c r="H156" s="193">
        <f>+H153+H154-H155</f>
        <v>913534.60945726396</v>
      </c>
      <c r="I156" s="193">
        <f>+I153+I154-I155</f>
        <v>997216.49154256913</v>
      </c>
      <c r="J156" s="193">
        <f>+J153+J154-J155</f>
        <v>1086284.2758531955</v>
      </c>
      <c r="K156" s="193">
        <f>+K153+K154-K155</f>
        <v>1180696.5283758556</v>
      </c>
      <c r="L156" s="22"/>
      <c r="M156" s="53">
        <f>+_xlfn.RRI(YEAR($K$12)-YEAR($F$12),F156,K156)</f>
        <v>9.1819196613285525E-2</v>
      </c>
    </row>
    <row r="157" spans="3:13" ht="14.4" customHeight="1">
      <c r="D157" s="20"/>
      <c r="E157" s="20"/>
      <c r="F157" s="57"/>
      <c r="G157" s="20"/>
      <c r="H157" s="20"/>
      <c r="L157" s="22"/>
    </row>
    <row r="158" spans="3:13" ht="14.4" customHeight="1">
      <c r="C158" s="324" t="s">
        <v>129</v>
      </c>
      <c r="D158" s="198"/>
      <c r="E158" s="199">
        <f>+E155/E154</f>
        <v>0.63243243243243241</v>
      </c>
      <c r="F158" s="200">
        <f>+F155/F154</f>
        <v>0.61224489795918369</v>
      </c>
      <c r="G158" s="199">
        <f>+AVERAGE(E158:F158)</f>
        <v>0.62233866519580805</v>
      </c>
      <c r="H158" s="199">
        <f t="shared" ref="H158:K158" si="92">+AVERAGE(F158:G158)</f>
        <v>0.61729178157749587</v>
      </c>
      <c r="I158" s="199">
        <f t="shared" si="92"/>
        <v>0.61981522338665196</v>
      </c>
      <c r="J158" s="199">
        <f t="shared" si="92"/>
        <v>0.61855350248207386</v>
      </c>
      <c r="K158" s="199">
        <f t="shared" si="92"/>
        <v>0.61918436293436296</v>
      </c>
      <c r="L158" s="22"/>
    </row>
    <row r="159" spans="3:13" ht="14.4" customHeight="1">
      <c r="C159" s="23"/>
      <c r="D159" s="24"/>
      <c r="E159" s="24"/>
      <c r="F159" s="24"/>
      <c r="G159" s="24"/>
      <c r="H159" s="24"/>
      <c r="I159" s="24"/>
      <c r="J159" s="24"/>
      <c r="K159" s="24"/>
      <c r="L159" s="22"/>
    </row>
    <row r="160" spans="3:13" ht="14.4" customHeight="1">
      <c r="C160" s="55" t="s">
        <v>130</v>
      </c>
      <c r="D160" s="335" t="s">
        <v>9</v>
      </c>
      <c r="E160" s="336"/>
      <c r="F160" s="337"/>
      <c r="G160" s="335" t="s">
        <v>10</v>
      </c>
      <c r="H160" s="336"/>
      <c r="I160" s="336"/>
      <c r="J160" s="336"/>
      <c r="K160" s="336"/>
      <c r="L160" s="22"/>
    </row>
    <row r="161" spans="3:12" ht="14.4" customHeight="1">
      <c r="C161" s="55"/>
      <c r="D161" s="10">
        <f>+D$12</f>
        <v>44500</v>
      </c>
      <c r="E161" s="10">
        <f t="shared" ref="E161:K161" si="93">+E$12</f>
        <v>44865</v>
      </c>
      <c r="F161" s="11">
        <f t="shared" si="93"/>
        <v>45230</v>
      </c>
      <c r="G161" s="10">
        <f t="shared" si="93"/>
        <v>45596</v>
      </c>
      <c r="H161" s="10">
        <f t="shared" si="93"/>
        <v>45961</v>
      </c>
      <c r="I161" s="10">
        <f t="shared" si="93"/>
        <v>46326</v>
      </c>
      <c r="J161" s="10">
        <f t="shared" si="93"/>
        <v>46691</v>
      </c>
      <c r="K161" s="10">
        <f t="shared" si="93"/>
        <v>47057</v>
      </c>
      <c r="L161" s="22"/>
    </row>
    <row r="162" spans="3:12" ht="14.4" customHeight="1">
      <c r="L162" s="22"/>
    </row>
    <row r="163" spans="3:12" ht="14.4" customHeight="1">
      <c r="C163" s="321" t="s">
        <v>106</v>
      </c>
      <c r="D163" s="227">
        <v>2536000</v>
      </c>
      <c r="E163" s="154">
        <f>+D167</f>
        <v>3430000</v>
      </c>
      <c r="F163" s="182">
        <f t="shared" ref="F163:K163" si="94">+E167</f>
        <v>4554000</v>
      </c>
      <c r="G163" s="154">
        <f t="shared" si="94"/>
        <v>5611000</v>
      </c>
      <c r="H163" s="154">
        <f t="shared" ca="1" si="94"/>
        <v>6866159.1303413343</v>
      </c>
      <c r="I163" s="154">
        <f t="shared" ca="1" si="94"/>
        <v>8243744.4679629263</v>
      </c>
      <c r="J163" s="154">
        <f t="shared" ca="1" si="94"/>
        <v>9754620.4544871785</v>
      </c>
      <c r="K163" s="154">
        <f t="shared" ca="1" si="94"/>
        <v>11403059.654077906</v>
      </c>
      <c r="L163" s="22"/>
    </row>
    <row r="164" spans="3:12" ht="14.4" customHeight="1">
      <c r="C164" s="6" t="s">
        <v>131</v>
      </c>
      <c r="D164" s="154">
        <f t="shared" ref="D164:K164" si="95">+D26</f>
        <v>894000</v>
      </c>
      <c r="E164" s="154">
        <f t="shared" si="95"/>
        <v>1124000</v>
      </c>
      <c r="F164" s="182">
        <f t="shared" si="95"/>
        <v>1057000</v>
      </c>
      <c r="G164" s="154">
        <f t="shared" ca="1" si="95"/>
        <v>1255159.1303413343</v>
      </c>
      <c r="H164" s="154">
        <f t="shared" ca="1" si="95"/>
        <v>1377585.3376215925</v>
      </c>
      <c r="I164" s="154">
        <f t="shared" ca="1" si="95"/>
        <v>1510875.9865242525</v>
      </c>
      <c r="J164" s="154">
        <f t="shared" ca="1" si="95"/>
        <v>1648439.1995907277</v>
      </c>
      <c r="K164" s="154">
        <f t="shared" ca="1" si="95"/>
        <v>1796952.421729892</v>
      </c>
      <c r="L164" s="22"/>
    </row>
    <row r="165" spans="3:12" ht="14.4" customHeight="1">
      <c r="C165" s="6" t="s">
        <v>132</v>
      </c>
      <c r="D165" s="227">
        <v>0</v>
      </c>
      <c r="E165" s="227">
        <v>0</v>
      </c>
      <c r="F165" s="228">
        <v>0</v>
      </c>
      <c r="G165" s="154">
        <f ca="1">+G164*G169</f>
        <v>0</v>
      </c>
      <c r="H165" s="154">
        <f t="shared" ref="H165:K165" ca="1" si="96">+H164*H169</f>
        <v>0</v>
      </c>
      <c r="I165" s="154">
        <f t="shared" ca="1" si="96"/>
        <v>0</v>
      </c>
      <c r="J165" s="154">
        <f t="shared" ca="1" si="96"/>
        <v>0</v>
      </c>
      <c r="K165" s="154">
        <f t="shared" ca="1" si="96"/>
        <v>0</v>
      </c>
      <c r="L165" s="22"/>
    </row>
    <row r="166" spans="3:12" ht="14.4" customHeight="1">
      <c r="C166" s="6" t="s">
        <v>133</v>
      </c>
      <c r="D166" s="227">
        <v>0</v>
      </c>
      <c r="E166" s="227">
        <v>0</v>
      </c>
      <c r="F166" s="228">
        <v>0</v>
      </c>
      <c r="G166" s="279">
        <v>0</v>
      </c>
      <c r="H166" s="279">
        <v>0</v>
      </c>
      <c r="I166" s="279">
        <v>0</v>
      </c>
      <c r="J166" s="279">
        <v>0</v>
      </c>
      <c r="K166" s="279">
        <v>0</v>
      </c>
      <c r="L166" s="22"/>
    </row>
    <row r="167" spans="3:12" ht="14.4" customHeight="1">
      <c r="C167" s="58" t="s">
        <v>108</v>
      </c>
      <c r="D167" s="157">
        <f>+D163+D164-D165-D166</f>
        <v>3430000</v>
      </c>
      <c r="E167" s="157">
        <f t="shared" ref="E167:K167" si="97">+E163+E164-E165-E166</f>
        <v>4554000</v>
      </c>
      <c r="F167" s="183">
        <f t="shared" si="97"/>
        <v>5611000</v>
      </c>
      <c r="G167" s="157">
        <f t="shared" ca="1" si="97"/>
        <v>6866159.1303413343</v>
      </c>
      <c r="H167" s="157">
        <f t="shared" ca="1" si="97"/>
        <v>8243744.4679629263</v>
      </c>
      <c r="I167" s="157">
        <f t="shared" ca="1" si="97"/>
        <v>9754620.4544871785</v>
      </c>
      <c r="J167" s="157">
        <f t="shared" ca="1" si="97"/>
        <v>11403059.654077906</v>
      </c>
      <c r="K167" s="157">
        <f t="shared" ca="1" si="97"/>
        <v>13200012.075807799</v>
      </c>
      <c r="L167" s="22"/>
    </row>
    <row r="168" spans="3:12" ht="14.4" customHeight="1">
      <c r="D168" s="17"/>
      <c r="E168" s="17"/>
      <c r="F168" s="57"/>
      <c r="L168" s="22"/>
    </row>
    <row r="169" spans="3:12" ht="14.4" customHeight="1">
      <c r="C169" s="310" t="s">
        <v>134</v>
      </c>
      <c r="D169" s="311">
        <f>+D165/D164</f>
        <v>0</v>
      </c>
      <c r="E169" s="311">
        <f t="shared" ref="E169:F169" si="98">+E165/E164</f>
        <v>0</v>
      </c>
      <c r="F169" s="188">
        <f t="shared" si="98"/>
        <v>0</v>
      </c>
      <c r="G169" s="311">
        <f>+AVERAGE(D169:F169)</f>
        <v>0</v>
      </c>
      <c r="H169" s="311">
        <f t="shared" ref="H169:K169" si="99">+AVERAGE(E169:G169)</f>
        <v>0</v>
      </c>
      <c r="I169" s="311">
        <f t="shared" si="99"/>
        <v>0</v>
      </c>
      <c r="J169" s="311">
        <f t="shared" si="99"/>
        <v>0</v>
      </c>
      <c r="K169" s="311">
        <f t="shared" si="99"/>
        <v>0</v>
      </c>
      <c r="L169" s="22"/>
    </row>
    <row r="170" spans="3:12" ht="14.4" customHeight="1">
      <c r="C170" s="310"/>
      <c r="D170" s="311"/>
      <c r="E170" s="311"/>
      <c r="F170" s="311"/>
      <c r="G170" s="311"/>
      <c r="H170" s="311"/>
      <c r="I170" s="311"/>
      <c r="J170" s="311"/>
      <c r="K170" s="311"/>
      <c r="L170" s="22"/>
    </row>
    <row r="171" spans="3:12" ht="14.4" customHeight="1">
      <c r="C171" s="55" t="s">
        <v>135</v>
      </c>
      <c r="D171" s="335" t="s">
        <v>9</v>
      </c>
      <c r="E171" s="336"/>
      <c r="F171" s="337"/>
      <c r="G171" s="335" t="s">
        <v>10</v>
      </c>
      <c r="H171" s="336"/>
      <c r="I171" s="336"/>
      <c r="J171" s="336"/>
      <c r="K171" s="336"/>
      <c r="L171" s="22"/>
    </row>
    <row r="172" spans="3:12" ht="14.4" customHeight="1">
      <c r="C172" s="55"/>
      <c r="D172" s="10">
        <f>+D$12</f>
        <v>44500</v>
      </c>
      <c r="E172" s="10">
        <f t="shared" ref="E172:K172" si="100">+E$12</f>
        <v>44865</v>
      </c>
      <c r="F172" s="11">
        <f t="shared" si="100"/>
        <v>45230</v>
      </c>
      <c r="G172" s="10">
        <f t="shared" si="100"/>
        <v>45596</v>
      </c>
      <c r="H172" s="10">
        <f t="shared" si="100"/>
        <v>45961</v>
      </c>
      <c r="I172" s="10">
        <f t="shared" si="100"/>
        <v>46326</v>
      </c>
      <c r="J172" s="10">
        <f t="shared" si="100"/>
        <v>46691</v>
      </c>
      <c r="K172" s="10">
        <f t="shared" si="100"/>
        <v>47057</v>
      </c>
      <c r="L172" s="22"/>
    </row>
    <row r="173" spans="3:12" ht="14.4" customHeight="1">
      <c r="L173" s="22"/>
    </row>
    <row r="174" spans="3:12" ht="14.4" customHeight="1">
      <c r="C174" s="321" t="s">
        <v>106</v>
      </c>
      <c r="D174" s="227">
        <v>0</v>
      </c>
      <c r="E174" s="154">
        <f>+D177</f>
        <v>0</v>
      </c>
      <c r="F174" s="182">
        <f t="shared" ref="F174" si="101">+E177</f>
        <v>0</v>
      </c>
      <c r="G174" s="154">
        <f t="shared" ref="G174" si="102">+F177</f>
        <v>0</v>
      </c>
      <c r="H174" s="154">
        <f t="shared" ref="H174" ca="1" si="103">+G177</f>
        <v>0</v>
      </c>
      <c r="I174" s="154">
        <f t="shared" ref="I174" ca="1" si="104">+H177</f>
        <v>0</v>
      </c>
      <c r="J174" s="154">
        <f t="shared" ref="J174" ca="1" si="105">+I177</f>
        <v>0</v>
      </c>
      <c r="K174" s="154">
        <f t="shared" ref="K174" ca="1" si="106">+J177</f>
        <v>0</v>
      </c>
      <c r="L174" s="22"/>
    </row>
    <row r="175" spans="3:12" ht="14.4" customHeight="1">
      <c r="C175" s="6" t="s">
        <v>136</v>
      </c>
      <c r="D175" s="279">
        <v>0</v>
      </c>
      <c r="E175" s="279">
        <v>0</v>
      </c>
      <c r="F175" s="228">
        <v>0</v>
      </c>
      <c r="G175" s="154">
        <f ca="1">+G179*(G23-G24)</f>
        <v>0</v>
      </c>
      <c r="H175" s="154">
        <f t="shared" ref="H175:K175" ca="1" si="107">+H179*(H23-H24)</f>
        <v>0</v>
      </c>
      <c r="I175" s="154">
        <f t="shared" ca="1" si="107"/>
        <v>0</v>
      </c>
      <c r="J175" s="154">
        <f t="shared" ca="1" si="107"/>
        <v>0</v>
      </c>
      <c r="K175" s="154">
        <f t="shared" ca="1" si="107"/>
        <v>0</v>
      </c>
      <c r="L175" s="22"/>
    </row>
    <row r="176" spans="3:12" ht="14.4" customHeight="1">
      <c r="C176" s="6" t="s">
        <v>133</v>
      </c>
      <c r="D176" s="227">
        <v>0</v>
      </c>
      <c r="E176" s="227">
        <v>0</v>
      </c>
      <c r="F176" s="228">
        <v>0</v>
      </c>
      <c r="G176" s="279">
        <v>0</v>
      </c>
      <c r="H176" s="279">
        <v>0</v>
      </c>
      <c r="I176" s="279">
        <v>0</v>
      </c>
      <c r="J176" s="279">
        <v>0</v>
      </c>
      <c r="K176" s="279">
        <v>0</v>
      </c>
      <c r="L176" s="22"/>
    </row>
    <row r="177" spans="3:24" ht="14.4" customHeight="1">
      <c r="C177" s="58" t="s">
        <v>108</v>
      </c>
      <c r="D177" s="157">
        <f>+D174+D175-D176</f>
        <v>0</v>
      </c>
      <c r="E177" s="157">
        <f t="shared" ref="E177:K177" si="108">+E174+E175-E176</f>
        <v>0</v>
      </c>
      <c r="F177" s="183">
        <f t="shared" si="108"/>
        <v>0</v>
      </c>
      <c r="G177" s="157">
        <f t="shared" ca="1" si="108"/>
        <v>0</v>
      </c>
      <c r="H177" s="157">
        <f t="shared" ca="1" si="108"/>
        <v>0</v>
      </c>
      <c r="I177" s="157">
        <f t="shared" ca="1" si="108"/>
        <v>0</v>
      </c>
      <c r="J177" s="157">
        <f t="shared" ca="1" si="108"/>
        <v>0</v>
      </c>
      <c r="K177" s="157">
        <f t="shared" ca="1" si="108"/>
        <v>0</v>
      </c>
      <c r="L177" s="22"/>
      <c r="N177" s="321"/>
      <c r="O177" s="321"/>
    </row>
    <row r="178" spans="3:24" ht="14.4" customHeight="1">
      <c r="D178" s="17"/>
      <c r="E178" s="17"/>
      <c r="F178" s="57"/>
      <c r="L178" s="22"/>
      <c r="N178" s="321"/>
      <c r="O178" s="321"/>
    </row>
    <row r="179" spans="3:24" ht="14.4" customHeight="1">
      <c r="C179" s="310" t="s">
        <v>137</v>
      </c>
      <c r="D179" s="311">
        <f>+D175/SUM(D175,D164)</f>
        <v>0</v>
      </c>
      <c r="E179" s="311">
        <f t="shared" ref="E179:F179" si="109">+E175/SUM(E175,E164)</f>
        <v>0</v>
      </c>
      <c r="F179" s="188">
        <f t="shared" si="109"/>
        <v>0</v>
      </c>
      <c r="G179" s="311">
        <f>+AVERAGE(D179:F179)</f>
        <v>0</v>
      </c>
      <c r="H179" s="311">
        <f t="shared" ref="H179" si="110">+AVERAGE(E179:G179)</f>
        <v>0</v>
      </c>
      <c r="I179" s="311">
        <f t="shared" ref="I179" si="111">+AVERAGE(F179:H179)</f>
        <v>0</v>
      </c>
      <c r="J179" s="311">
        <f t="shared" ref="J179" si="112">+AVERAGE(G179:I179)</f>
        <v>0</v>
      </c>
      <c r="K179" s="311">
        <f t="shared" ref="K179" si="113">+AVERAGE(H179:J179)</f>
        <v>0</v>
      </c>
      <c r="L179" s="22"/>
      <c r="N179" s="321"/>
      <c r="O179" s="321"/>
    </row>
    <row r="180" spans="3:24" ht="14.4" customHeight="1">
      <c r="L180" s="22"/>
    </row>
    <row r="181" spans="3:24" ht="14.4" customHeight="1">
      <c r="C181" s="55" t="s">
        <v>138</v>
      </c>
      <c r="D181" s="335" t="s">
        <v>9</v>
      </c>
      <c r="E181" s="336"/>
      <c r="F181" s="337"/>
      <c r="G181" s="335" t="s">
        <v>10</v>
      </c>
      <c r="H181" s="336"/>
      <c r="I181" s="336"/>
      <c r="J181" s="336"/>
      <c r="K181" s="336"/>
      <c r="L181" s="22"/>
    </row>
    <row r="182" spans="3:24" ht="14.4" customHeight="1">
      <c r="C182" s="55"/>
      <c r="D182" s="10">
        <f>+D$12</f>
        <v>44500</v>
      </c>
      <c r="E182" s="10">
        <f t="shared" ref="E182:K182" si="114">+E$12</f>
        <v>44865</v>
      </c>
      <c r="F182" s="11">
        <f t="shared" si="114"/>
        <v>45230</v>
      </c>
      <c r="G182" s="10">
        <f t="shared" si="114"/>
        <v>45596</v>
      </c>
      <c r="H182" s="10">
        <f t="shared" si="114"/>
        <v>45961</v>
      </c>
      <c r="I182" s="10">
        <f t="shared" si="114"/>
        <v>46326</v>
      </c>
      <c r="J182" s="10">
        <f t="shared" si="114"/>
        <v>46691</v>
      </c>
      <c r="K182" s="10">
        <f t="shared" si="114"/>
        <v>47057</v>
      </c>
      <c r="L182" s="22"/>
    </row>
    <row r="183" spans="3:24" ht="14.4" customHeight="1">
      <c r="D183" s="14"/>
      <c r="L183" s="22"/>
    </row>
    <row r="184" spans="3:24" ht="14.4" customHeight="1">
      <c r="C184" s="7" t="s">
        <v>139</v>
      </c>
      <c r="D184" s="14"/>
      <c r="G184" s="160"/>
      <c r="L184" s="22"/>
    </row>
    <row r="185" spans="3:24" ht="14.4" customHeight="1">
      <c r="C185" s="6" t="s">
        <v>140</v>
      </c>
      <c r="D185" s="196"/>
      <c r="E185" s="196"/>
      <c r="F185" s="197"/>
      <c r="G185" s="154">
        <f ca="1">+G86+G93+G95+G98+F46+G200-F200+G201-F201+G97</f>
        <v>3099985.1891056905</v>
      </c>
      <c r="H185" s="154">
        <f t="shared" ref="H185:K185" ca="1" si="115">+H86+H93+H95+H98+G46+H200-G200+H201-G201+H97</f>
        <v>4541045.435546183</v>
      </c>
      <c r="I185" s="154">
        <f t="shared" ca="1" si="115"/>
        <v>5979017.0668863673</v>
      </c>
      <c r="J185" s="154">
        <f t="shared" ca="1" si="115"/>
        <v>6901480.0830701338</v>
      </c>
      <c r="K185" s="154">
        <f t="shared" ca="1" si="115"/>
        <v>8655804.9976474084</v>
      </c>
      <c r="L185" s="22"/>
    </row>
    <row r="186" spans="3:24" ht="14.4" customHeight="1">
      <c r="C186" s="6" t="s">
        <v>141</v>
      </c>
      <c r="D186" s="196"/>
      <c r="E186" s="196"/>
      <c r="F186" s="197"/>
      <c r="G186" s="154">
        <f>+G187*G14</f>
        <v>3157517.0000000005</v>
      </c>
      <c r="H186" s="154">
        <f>+H187*H14</f>
        <v>1526619.45</v>
      </c>
      <c r="I186" s="154">
        <f>+I187*I14</f>
        <v>1625233.2074999998</v>
      </c>
      <c r="J186" s="154">
        <f>+J187*J14</f>
        <v>1724114.0388749999</v>
      </c>
      <c r="K186" s="154">
        <f>+K187*K14</f>
        <v>1830596.2027687503</v>
      </c>
      <c r="L186" s="22"/>
    </row>
    <row r="187" spans="3:24" ht="14.4" customHeight="1">
      <c r="C187" s="5" t="s">
        <v>142</v>
      </c>
      <c r="D187" s="202"/>
      <c r="E187" s="202"/>
      <c r="F187" s="197"/>
      <c r="G187" s="276">
        <v>0.55000000000000004</v>
      </c>
      <c r="H187" s="276">
        <v>0.25</v>
      </c>
      <c r="I187" s="276">
        <v>0.25</v>
      </c>
      <c r="J187" s="276">
        <v>0.25</v>
      </c>
      <c r="K187" s="276">
        <v>0.25</v>
      </c>
      <c r="L187" s="22"/>
    </row>
    <row r="188" spans="3:24" ht="14.4" customHeight="1">
      <c r="C188" s="58"/>
      <c r="D188" s="160"/>
      <c r="E188" s="160"/>
      <c r="F188" s="182"/>
      <c r="G188" s="160"/>
      <c r="H188" s="160"/>
      <c r="I188" s="160"/>
      <c r="J188" s="160"/>
      <c r="K188" s="160"/>
      <c r="L188" s="22"/>
    </row>
    <row r="189" spans="3:24" ht="14.4" customHeight="1">
      <c r="C189" s="7" t="s">
        <v>143</v>
      </c>
      <c r="D189" s="160"/>
      <c r="E189" s="160"/>
      <c r="F189" s="182"/>
      <c r="G189" s="160"/>
      <c r="H189" s="160"/>
      <c r="I189" s="160"/>
      <c r="J189" s="160"/>
      <c r="K189" s="160"/>
      <c r="L189" s="22"/>
      <c r="M189" s="325"/>
      <c r="N189" s="325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</row>
    <row r="190" spans="3:24" ht="14.4" customHeight="1">
      <c r="C190" s="6" t="s">
        <v>144</v>
      </c>
      <c r="D190" s="196"/>
      <c r="E190" s="196"/>
      <c r="F190" s="197"/>
      <c r="G190" s="154">
        <f>+F192</f>
        <v>0</v>
      </c>
      <c r="H190" s="154">
        <f t="shared" ref="H190:K190" ca="1" si="116">+G192</f>
        <v>57531.810894310009</v>
      </c>
      <c r="I190" s="154">
        <f t="shared" ca="1" si="116"/>
        <v>0</v>
      </c>
      <c r="J190" s="154">
        <f t="shared" ca="1" si="116"/>
        <v>0</v>
      </c>
      <c r="K190" s="154">
        <f t="shared" ca="1" si="116"/>
        <v>0</v>
      </c>
      <c r="L190" s="22"/>
      <c r="M190" s="325"/>
      <c r="N190" s="325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</row>
    <row r="191" spans="3:24" ht="14.4" customHeight="1">
      <c r="C191" s="6" t="s">
        <v>145</v>
      </c>
      <c r="D191" s="196"/>
      <c r="E191" s="196"/>
      <c r="F191" s="197"/>
      <c r="G191" s="154">
        <f ca="1">+IF(G185-G186&gt;0,-MIN(G190,G185-G186),MAX(0,G186-G185))</f>
        <v>57531.810894310009</v>
      </c>
      <c r="H191" s="154">
        <f t="shared" ref="H191:K191" ca="1" si="117">+IF(H185-H186&gt;0,-MIN(H190,H185-H186),MAX(0,H186-H185))</f>
        <v>-57531.810894310009</v>
      </c>
      <c r="I191" s="154">
        <f t="shared" ca="1" si="117"/>
        <v>0</v>
      </c>
      <c r="J191" s="154">
        <f t="shared" ca="1" si="117"/>
        <v>0</v>
      </c>
      <c r="K191" s="154">
        <f t="shared" ca="1" si="117"/>
        <v>0</v>
      </c>
      <c r="L191" s="22"/>
      <c r="M191" s="325"/>
      <c r="N191" s="325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</row>
    <row r="192" spans="3:24" ht="14.4" customHeight="1">
      <c r="C192" s="58" t="s">
        <v>108</v>
      </c>
      <c r="D192" s="229">
        <v>0</v>
      </c>
      <c r="E192" s="229">
        <v>0</v>
      </c>
      <c r="F192" s="230">
        <v>0</v>
      </c>
      <c r="G192" s="157">
        <f ca="1">+G190+G191</f>
        <v>57531.810894310009</v>
      </c>
      <c r="H192" s="157">
        <f t="shared" ref="H192:K192" ca="1" si="118">+H190+H191</f>
        <v>0</v>
      </c>
      <c r="I192" s="157">
        <f t="shared" ca="1" si="118"/>
        <v>0</v>
      </c>
      <c r="J192" s="157">
        <f t="shared" ca="1" si="118"/>
        <v>0</v>
      </c>
      <c r="K192" s="157">
        <f t="shared" ca="1" si="118"/>
        <v>0</v>
      </c>
      <c r="L192" s="22"/>
      <c r="M192" s="325"/>
      <c r="N192" s="325"/>
      <c r="O192" s="321"/>
      <c r="P192" s="325"/>
      <c r="Q192" s="325"/>
      <c r="R192" s="325"/>
    </row>
    <row r="193" spans="3:27" ht="14.4" customHeight="1">
      <c r="F193" s="56"/>
      <c r="L193" s="22"/>
      <c r="M193" s="325"/>
    </row>
    <row r="194" spans="3:27" ht="14.4" customHeight="1">
      <c r="C194" s="6" t="s">
        <v>146</v>
      </c>
      <c r="D194" s="65"/>
      <c r="E194" s="277">
        <v>0.03</v>
      </c>
      <c r="F194" s="278">
        <v>0.03</v>
      </c>
      <c r="G194" s="187">
        <f>+F194</f>
        <v>0.03</v>
      </c>
      <c r="H194" s="187">
        <f t="shared" ref="H194:K194" si="119">+G194</f>
        <v>0.03</v>
      </c>
      <c r="I194" s="187">
        <f t="shared" si="119"/>
        <v>0.03</v>
      </c>
      <c r="J194" s="187">
        <f t="shared" si="119"/>
        <v>0.03</v>
      </c>
      <c r="K194" s="187">
        <f t="shared" si="119"/>
        <v>0.03</v>
      </c>
      <c r="L194" s="22"/>
      <c r="O194" s="321"/>
    </row>
    <row r="195" spans="3:27" ht="14.4" customHeight="1">
      <c r="C195" s="58" t="s">
        <v>43</v>
      </c>
      <c r="D195" s="66"/>
      <c r="E195" s="157">
        <f>+E194*AVERAGE(D192:E192)</f>
        <v>0</v>
      </c>
      <c r="F195" s="183">
        <f>+F194*AVERAGE(E192:F192)</f>
        <v>0</v>
      </c>
      <c r="G195" s="157">
        <f ca="1">+IF($J$5=1,G194*AVERAGE(F192:G192),0)</f>
        <v>862.97716341465014</v>
      </c>
      <c r="H195" s="157">
        <f t="shared" ref="H195:K195" ca="1" si="120">+IF($J$5=1,H194*AVERAGE(G192:H192),0)</f>
        <v>862.97716341465014</v>
      </c>
      <c r="I195" s="157">
        <f t="shared" ca="1" si="120"/>
        <v>0</v>
      </c>
      <c r="J195" s="157">
        <f t="shared" ca="1" si="120"/>
        <v>0</v>
      </c>
      <c r="K195" s="157">
        <f t="shared" ca="1" si="120"/>
        <v>0</v>
      </c>
      <c r="L195" s="22"/>
    </row>
    <row r="196" spans="3:27" ht="14.4" customHeight="1">
      <c r="F196" s="56"/>
      <c r="L196" s="22"/>
    </row>
    <row r="197" spans="3:27" ht="14.4" customHeight="1">
      <c r="C197" s="7" t="s">
        <v>147</v>
      </c>
      <c r="F197" s="56"/>
      <c r="L197" s="22"/>
    </row>
    <row r="198" spans="3:27" ht="14.4" customHeight="1">
      <c r="C198" s="6" t="s">
        <v>146</v>
      </c>
      <c r="D198" s="65"/>
      <c r="E198" s="186">
        <f>+E202/AVERAGE(D201+D200,E200+E201)</f>
        <v>4.4084821428571432E-2</v>
      </c>
      <c r="F198" s="185">
        <f>+F202/AVERAGE(E201+E200,F200+F201)</f>
        <v>4.3490381934764427E-2</v>
      </c>
      <c r="G198" s="187">
        <f>+F198</f>
        <v>4.3490381934764427E-2</v>
      </c>
      <c r="H198" s="187">
        <f t="shared" ref="H198:K198" si="121">+G198</f>
        <v>4.3490381934764427E-2</v>
      </c>
      <c r="I198" s="187">
        <f t="shared" si="121"/>
        <v>4.3490381934764427E-2</v>
      </c>
      <c r="J198" s="187">
        <f t="shared" si="121"/>
        <v>4.3490381934764427E-2</v>
      </c>
      <c r="K198" s="187">
        <f t="shared" si="121"/>
        <v>4.3490381934764427E-2</v>
      </c>
      <c r="L198" s="22"/>
      <c r="O198" s="321"/>
    </row>
    <row r="199" spans="3:27" ht="14.4" customHeight="1">
      <c r="C199" s="6" t="s">
        <v>148</v>
      </c>
      <c r="D199" s="14"/>
      <c r="E199" s="14"/>
      <c r="F199" s="57"/>
      <c r="G199" s="14"/>
      <c r="H199" s="14"/>
      <c r="I199" s="14"/>
      <c r="J199" s="14"/>
      <c r="K199" s="14"/>
      <c r="L199" s="22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</row>
    <row r="200" spans="3:27" ht="14.4" customHeight="1">
      <c r="C200" s="67" t="s">
        <v>149</v>
      </c>
      <c r="D200" s="227">
        <v>0</v>
      </c>
      <c r="E200" s="227">
        <v>0</v>
      </c>
      <c r="F200" s="228">
        <v>599000</v>
      </c>
      <c r="G200" s="279">
        <v>0</v>
      </c>
      <c r="H200" s="279">
        <v>0</v>
      </c>
      <c r="I200" s="279">
        <v>698000</v>
      </c>
      <c r="J200" s="279">
        <v>0</v>
      </c>
      <c r="K200" s="279">
        <v>497000</v>
      </c>
      <c r="L200" s="22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</row>
    <row r="201" spans="3:27" ht="14.4" customHeight="1">
      <c r="C201" s="67" t="s">
        <v>150</v>
      </c>
      <c r="D201" s="227">
        <v>1791000</v>
      </c>
      <c r="E201" s="227">
        <v>1793000</v>
      </c>
      <c r="F201" s="228">
        <v>1195000</v>
      </c>
      <c r="G201" s="307">
        <f>+F201-G200</f>
        <v>1195000</v>
      </c>
      <c r="H201" s="307">
        <f t="shared" ref="H201:K201" si="122">+G201-H200</f>
        <v>1195000</v>
      </c>
      <c r="I201" s="307">
        <f t="shared" si="122"/>
        <v>497000</v>
      </c>
      <c r="J201" s="307">
        <f t="shared" si="122"/>
        <v>497000</v>
      </c>
      <c r="K201" s="307">
        <f t="shared" si="122"/>
        <v>0</v>
      </c>
      <c r="L201" s="22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</row>
    <row r="202" spans="3:27" ht="14.4" customHeight="1">
      <c r="C202" s="58" t="s">
        <v>43</v>
      </c>
      <c r="D202" s="202"/>
      <c r="E202" s="157">
        <f>E21-E195</f>
        <v>79000</v>
      </c>
      <c r="F202" s="183">
        <f>F21-F195</f>
        <v>78000</v>
      </c>
      <c r="G202" s="157">
        <f>+IF($J$5=1,AVERAGE(G201+G200,F201+F200)*G198,0)</f>
        <v>64996.375801505434</v>
      </c>
      <c r="H202" s="157">
        <f t="shared" ref="H202:K202" si="123">+IF($J$5=1,AVERAGE(H201+H200,G201+G200)*H198,0)</f>
        <v>51971.006412043491</v>
      </c>
      <c r="I202" s="157">
        <f t="shared" si="123"/>
        <v>51971.006412043491</v>
      </c>
      <c r="J202" s="157">
        <f t="shared" si="123"/>
        <v>36792.863116810702</v>
      </c>
      <c r="K202" s="157">
        <f t="shared" si="123"/>
        <v>21614.719821577921</v>
      </c>
      <c r="L202" s="22"/>
    </row>
    <row r="203" spans="3:27" ht="14.4" customHeight="1">
      <c r="D203" s="160"/>
      <c r="E203" s="160"/>
      <c r="F203" s="182"/>
      <c r="G203" s="160"/>
      <c r="H203" s="160"/>
      <c r="I203" s="160"/>
      <c r="J203" s="160"/>
      <c r="K203" s="160"/>
      <c r="L203" s="22"/>
    </row>
    <row r="204" spans="3:27" ht="14.4" customHeight="1">
      <c r="C204" s="12" t="s">
        <v>151</v>
      </c>
      <c r="D204" s="202"/>
      <c r="E204" s="157">
        <f>+E202+E195</f>
        <v>79000</v>
      </c>
      <c r="F204" s="183">
        <f t="shared" ref="F204:K204" si="124">+F202+F195</f>
        <v>78000</v>
      </c>
      <c r="G204" s="157">
        <f t="shared" ca="1" si="124"/>
        <v>65859.352964920079</v>
      </c>
      <c r="H204" s="157">
        <f t="shared" ca="1" si="124"/>
        <v>52833.983575458144</v>
      </c>
      <c r="I204" s="157">
        <f t="shared" ca="1" si="124"/>
        <v>51971.006412043491</v>
      </c>
      <c r="J204" s="157">
        <f t="shared" ca="1" si="124"/>
        <v>36792.863116810702</v>
      </c>
      <c r="K204" s="157">
        <f t="shared" ca="1" si="124"/>
        <v>21614.719821577921</v>
      </c>
      <c r="L204" s="22"/>
    </row>
    <row r="205" spans="3:27" ht="14.4" customHeight="1">
      <c r="F205" s="56"/>
      <c r="L205" s="22"/>
    </row>
    <row r="206" spans="3:27" ht="14.4" customHeight="1">
      <c r="C206" s="7" t="s">
        <v>152</v>
      </c>
      <c r="F206" s="56"/>
      <c r="L206" s="22"/>
    </row>
    <row r="207" spans="3:27" ht="14.4" customHeight="1">
      <c r="C207" s="6" t="s">
        <v>146</v>
      </c>
      <c r="D207" s="184"/>
      <c r="E207" s="186">
        <f>+E209/AVERAGE(D208:E208)</f>
        <v>7.816316560820713E-3</v>
      </c>
      <c r="F207" s="185">
        <f>+F209/AVERAGE(E208:F208)</f>
        <v>4.519273371732388E-2</v>
      </c>
      <c r="G207" s="187">
        <f>+F207</f>
        <v>4.519273371732388E-2</v>
      </c>
      <c r="H207" s="187">
        <f t="shared" ref="H207:K207" si="125">+G207</f>
        <v>4.519273371732388E-2</v>
      </c>
      <c r="I207" s="187">
        <f t="shared" si="125"/>
        <v>4.519273371732388E-2</v>
      </c>
      <c r="J207" s="187">
        <f t="shared" si="125"/>
        <v>4.519273371732388E-2</v>
      </c>
      <c r="K207" s="187">
        <f t="shared" si="125"/>
        <v>4.519273371732388E-2</v>
      </c>
      <c r="L207" s="22"/>
      <c r="N207" s="68"/>
      <c r="O207" s="321"/>
      <c r="P207" s="68"/>
      <c r="Q207" s="68"/>
      <c r="R207" s="68"/>
    </row>
    <row r="208" spans="3:27" ht="14.4" customHeight="1">
      <c r="C208" s="6" t="s">
        <v>153</v>
      </c>
      <c r="D208" s="154">
        <f t="shared" ref="D208:K208" si="126">+D46</f>
        <v>2052000</v>
      </c>
      <c r="E208" s="154">
        <f t="shared" si="126"/>
        <v>2042000</v>
      </c>
      <c r="F208" s="182">
        <f t="shared" si="126"/>
        <v>2472000</v>
      </c>
      <c r="G208" s="154">
        <f t="shared" ca="1" si="126"/>
        <v>3157517.0000000005</v>
      </c>
      <c r="H208" s="154">
        <f t="shared" ca="1" si="126"/>
        <v>4483513.6246518726</v>
      </c>
      <c r="I208" s="154">
        <f t="shared" ca="1" si="126"/>
        <v>5979017.0668863673</v>
      </c>
      <c r="J208" s="154">
        <f t="shared" ca="1" si="126"/>
        <v>6901480.0830701338</v>
      </c>
      <c r="K208" s="154">
        <f t="shared" ca="1" si="126"/>
        <v>8655804.9976474084</v>
      </c>
      <c r="L208" s="22"/>
      <c r="N208" s="68"/>
      <c r="O208" s="326"/>
      <c r="P208" s="68"/>
      <c r="Q208" s="68"/>
      <c r="R208" s="68"/>
    </row>
    <row r="209" spans="3:15" ht="14.4" customHeight="1">
      <c r="C209" s="63" t="s">
        <v>154</v>
      </c>
      <c r="D209" s="203"/>
      <c r="E209" s="280">
        <v>16000</v>
      </c>
      <c r="F209" s="281">
        <v>102000</v>
      </c>
      <c r="G209" s="168">
        <f ca="1">+IF($J$5=1,G207*AVERAGE(F208:G208),0)</f>
        <v>127206.63136907399</v>
      </c>
      <c r="H209" s="168">
        <f t="shared" ref="H209:K209" ca="1" si="127">+IF($J$5=1,H207*AVERAGE(G208:H208),0)</f>
        <v>172659.53117290454</v>
      </c>
      <c r="I209" s="168">
        <f t="shared" ca="1" si="127"/>
        <v>236415.1817760081</v>
      </c>
      <c r="J209" s="168">
        <f t="shared" ca="1" si="127"/>
        <v>291052.43892236665</v>
      </c>
      <c r="K209" s="168">
        <f t="shared" ca="1" si="127"/>
        <v>351538.12100868172</v>
      </c>
      <c r="L209" s="22"/>
    </row>
    <row r="210" spans="3:15" ht="14.4" customHeight="1">
      <c r="C210" s="22"/>
      <c r="D210" s="22"/>
      <c r="E210" s="22"/>
      <c r="F210" s="22"/>
      <c r="G210" s="22"/>
      <c r="H210" s="22"/>
      <c r="I210" s="22"/>
      <c r="J210" s="22"/>
      <c r="K210" s="22"/>
      <c r="L210" s="22"/>
    </row>
    <row r="211" spans="3:15" ht="14.4" customHeight="1">
      <c r="C211" s="55" t="s">
        <v>155</v>
      </c>
      <c r="D211" s="335" t="s">
        <v>9</v>
      </c>
      <c r="E211" s="336"/>
      <c r="F211" s="337"/>
      <c r="G211" s="335" t="s">
        <v>10</v>
      </c>
      <c r="H211" s="336"/>
      <c r="I211" s="336"/>
      <c r="J211" s="336"/>
      <c r="K211" s="336"/>
      <c r="L211" s="22"/>
    </row>
    <row r="212" spans="3:15" ht="14.4" customHeight="1">
      <c r="C212" s="55"/>
      <c r="D212" s="10">
        <f>+D$12</f>
        <v>44500</v>
      </c>
      <c r="E212" s="10">
        <f t="shared" ref="E212:K212" si="128">+E$12</f>
        <v>44865</v>
      </c>
      <c r="F212" s="11">
        <f t="shared" si="128"/>
        <v>45230</v>
      </c>
      <c r="G212" s="10">
        <f t="shared" si="128"/>
        <v>45596</v>
      </c>
      <c r="H212" s="10">
        <f t="shared" si="128"/>
        <v>45961</v>
      </c>
      <c r="I212" s="10">
        <f t="shared" si="128"/>
        <v>46326</v>
      </c>
      <c r="J212" s="10">
        <f t="shared" si="128"/>
        <v>46691</v>
      </c>
      <c r="K212" s="10">
        <f t="shared" si="128"/>
        <v>47057</v>
      </c>
      <c r="L212" s="22"/>
    </row>
    <row r="213" spans="3:15" ht="14.4" customHeight="1">
      <c r="D213" s="14"/>
      <c r="L213" s="22"/>
    </row>
    <row r="214" spans="3:15" ht="14.4" customHeight="1">
      <c r="C214" s="6" t="s">
        <v>156</v>
      </c>
      <c r="D214" s="279">
        <f>51000+14000</f>
        <v>65000</v>
      </c>
      <c r="E214" s="279">
        <f>51000+17000</f>
        <v>68000</v>
      </c>
      <c r="F214" s="315">
        <f>52000+22000</f>
        <v>74000</v>
      </c>
      <c r="G214" s="154">
        <f>+G215*G14</f>
        <v>77750.651537335289</v>
      </c>
      <c r="H214" s="154">
        <f>+H215*H14</f>
        <v>82701.200073206448</v>
      </c>
      <c r="I214" s="154">
        <f>+I215*I14</f>
        <v>88043.380201317705</v>
      </c>
      <c r="J214" s="154">
        <f>+J215*J14</f>
        <v>93400.028460285495</v>
      </c>
      <c r="K214" s="154">
        <f>+K215*K14</f>
        <v>99168.46193622805</v>
      </c>
      <c r="L214" s="22"/>
    </row>
    <row r="215" spans="3:15" ht="14.4" customHeight="1">
      <c r="C215" s="6" t="s">
        <v>157</v>
      </c>
      <c r="D215" s="187">
        <f>+D214/D14</f>
        <v>1.3155231734466708E-2</v>
      </c>
      <c r="E215" s="187">
        <f>+E214/E14</f>
        <v>1.2546125461254613E-2</v>
      </c>
      <c r="F215" s="316">
        <f>+F214/F14</f>
        <v>1.3543191800878478E-2</v>
      </c>
      <c r="G215" s="186">
        <f>+F215</f>
        <v>1.3543191800878478E-2</v>
      </c>
      <c r="H215" s="186">
        <f t="shared" ref="H215:K215" si="129">+G215</f>
        <v>1.3543191800878478E-2</v>
      </c>
      <c r="I215" s="186">
        <f t="shared" si="129"/>
        <v>1.3543191800878478E-2</v>
      </c>
      <c r="J215" s="186">
        <f t="shared" si="129"/>
        <v>1.3543191800878478E-2</v>
      </c>
      <c r="K215" s="186">
        <f t="shared" si="129"/>
        <v>1.3543191800878478E-2</v>
      </c>
      <c r="L215" s="22"/>
    </row>
    <row r="216" spans="3:15" ht="14.4" customHeight="1">
      <c r="C216" s="6"/>
      <c r="D216" s="279"/>
      <c r="E216" s="279"/>
      <c r="F216" s="315"/>
      <c r="G216" s="154"/>
      <c r="H216" s="154"/>
      <c r="I216" s="154"/>
      <c r="J216" s="154"/>
      <c r="K216" s="154"/>
      <c r="L216" s="22"/>
    </row>
    <row r="217" spans="3:15" ht="14.4" customHeight="1">
      <c r="C217" s="6" t="s">
        <v>158</v>
      </c>
      <c r="D217" s="279">
        <v>53000</v>
      </c>
      <c r="E217" s="279">
        <v>51000</v>
      </c>
      <c r="F217" s="315">
        <v>53000</v>
      </c>
      <c r="G217" s="154">
        <f>+G218*G214</f>
        <v>55686.277452415816</v>
      </c>
      <c r="H217" s="154">
        <f t="shared" ref="H217:K217" si="130">+H218*H214</f>
        <v>59231.940592972183</v>
      </c>
      <c r="I217" s="154">
        <f t="shared" si="130"/>
        <v>63058.096630673492</v>
      </c>
      <c r="J217" s="154">
        <f t="shared" si="130"/>
        <v>66894.614978312587</v>
      </c>
      <c r="K217" s="154">
        <f t="shared" si="130"/>
        <v>71026.060575947122</v>
      </c>
      <c r="L217" s="22"/>
    </row>
    <row r="218" spans="3:15" ht="14.4" customHeight="1">
      <c r="C218" s="6" t="s">
        <v>159</v>
      </c>
      <c r="D218" s="186">
        <f>+D217/D214</f>
        <v>0.81538461538461537</v>
      </c>
      <c r="E218" s="186">
        <f>+E217/E214</f>
        <v>0.75</v>
      </c>
      <c r="F218" s="204">
        <f>+F217/F214</f>
        <v>0.71621621621621623</v>
      </c>
      <c r="G218" s="187">
        <f>+F218</f>
        <v>0.71621621621621623</v>
      </c>
      <c r="H218" s="187">
        <f t="shared" ref="H218:K218" si="131">+G218</f>
        <v>0.71621621621621623</v>
      </c>
      <c r="I218" s="187">
        <f t="shared" si="131"/>
        <v>0.71621621621621623</v>
      </c>
      <c r="J218" s="187">
        <f t="shared" si="131"/>
        <v>0.71621621621621623</v>
      </c>
      <c r="K218" s="187">
        <f t="shared" si="131"/>
        <v>0.71621621621621623</v>
      </c>
      <c r="L218" s="22"/>
    </row>
    <row r="219" spans="3:15" ht="14.4" customHeight="1">
      <c r="C219" s="6"/>
      <c r="D219" s="186"/>
      <c r="E219" s="186"/>
      <c r="F219" s="204"/>
      <c r="G219" s="187"/>
      <c r="H219" s="187"/>
      <c r="I219" s="187"/>
      <c r="J219" s="187"/>
      <c r="K219" s="187"/>
      <c r="L219" s="22"/>
    </row>
    <row r="220" spans="3:15" ht="14.4" customHeight="1">
      <c r="C220" s="6" t="s">
        <v>160</v>
      </c>
      <c r="D220" s="317"/>
      <c r="E220" s="317"/>
      <c r="F220" s="318"/>
      <c r="G220" s="276">
        <v>0.03</v>
      </c>
      <c r="H220" s="276">
        <v>0.03</v>
      </c>
      <c r="I220" s="276">
        <v>0.03</v>
      </c>
      <c r="J220" s="276">
        <v>0.03</v>
      </c>
      <c r="K220" s="276">
        <v>0.03</v>
      </c>
    </row>
    <row r="221" spans="3:15" ht="14.4" customHeight="1">
      <c r="C221" s="6"/>
      <c r="D221" s="186"/>
      <c r="E221" s="186"/>
      <c r="F221" s="204"/>
      <c r="G221" s="187"/>
      <c r="H221" s="187"/>
      <c r="I221" s="187"/>
      <c r="J221" s="187"/>
      <c r="K221" s="187"/>
    </row>
    <row r="222" spans="3:15" ht="14.4" customHeight="1">
      <c r="C222" s="6" t="s">
        <v>161</v>
      </c>
      <c r="D222" s="317"/>
      <c r="E222" s="317"/>
      <c r="F222" s="318"/>
      <c r="G222" s="307">
        <f>+F226</f>
        <v>232000</v>
      </c>
      <c r="H222" s="307">
        <f t="shared" ref="H222:K222" si="132">+G226</f>
        <v>243758.79941434847</v>
      </c>
      <c r="I222" s="307">
        <f t="shared" si="132"/>
        <v>259279.43806734993</v>
      </c>
      <c r="J222" s="307">
        <f t="shared" si="132"/>
        <v>276027.89468521229</v>
      </c>
      <c r="K222" s="307">
        <f t="shared" si="132"/>
        <v>292821.71084846265</v>
      </c>
    </row>
    <row r="223" spans="3:15" ht="14.4" customHeight="1">
      <c r="C223" s="6" t="s">
        <v>162</v>
      </c>
      <c r="D223" s="317"/>
      <c r="E223" s="317"/>
      <c r="F223" s="318"/>
      <c r="G223" s="307">
        <f>+G226+G225-G224-G222</f>
        <v>60308.694875549059</v>
      </c>
      <c r="H223" s="307">
        <f t="shared" ref="H223:K223" si="133">+H226+H225-H224-H222</f>
        <v>67207.005683748139</v>
      </c>
      <c r="I223" s="307">
        <f t="shared" si="133"/>
        <v>71776.943257247418</v>
      </c>
      <c r="J223" s="307">
        <f t="shared" si="133"/>
        <v>75155.687058557814</v>
      </c>
      <c r="K223" s="307">
        <f t="shared" si="133"/>
        <v>80054.955438633682</v>
      </c>
      <c r="O223" s="320"/>
    </row>
    <row r="224" spans="3:15" ht="14.4" customHeight="1">
      <c r="C224" s="6" t="s">
        <v>163</v>
      </c>
      <c r="D224" s="317"/>
      <c r="E224" s="317"/>
      <c r="F224" s="318"/>
      <c r="G224" s="307">
        <f>+IF($J$5=0,0,G220*AVERAGE(G226,F226))</f>
        <v>7136.3819912152267</v>
      </c>
      <c r="H224" s="307">
        <f t="shared" ref="H224:K224" si="134">+IF($J$5=0,0,H220*AVERAGE(H226,G226))</f>
        <v>7545.5735622254761</v>
      </c>
      <c r="I224" s="307">
        <f t="shared" si="134"/>
        <v>8029.6099912884338</v>
      </c>
      <c r="J224" s="307">
        <f t="shared" si="134"/>
        <v>8532.7440830051237</v>
      </c>
      <c r="K224" s="307">
        <f t="shared" si="134"/>
        <v>9055.9236024306356</v>
      </c>
      <c r="O224" s="320"/>
    </row>
    <row r="225" spans="1:15" ht="14.4" customHeight="1">
      <c r="C225" s="6" t="s">
        <v>164</v>
      </c>
      <c r="D225" s="317"/>
      <c r="E225" s="317"/>
      <c r="F225" s="318"/>
      <c r="G225" s="307">
        <f>G217</f>
        <v>55686.277452415816</v>
      </c>
      <c r="H225" s="307">
        <f t="shared" ref="H225:K225" si="135">H217</f>
        <v>59231.940592972183</v>
      </c>
      <c r="I225" s="307">
        <f t="shared" si="135"/>
        <v>63058.096630673492</v>
      </c>
      <c r="J225" s="307">
        <f t="shared" si="135"/>
        <v>66894.614978312587</v>
      </c>
      <c r="K225" s="307">
        <f t="shared" si="135"/>
        <v>71026.060575947122</v>
      </c>
      <c r="O225" s="320"/>
    </row>
    <row r="226" spans="1:15" ht="14.4" customHeight="1">
      <c r="C226" s="6" t="s">
        <v>165</v>
      </c>
      <c r="D226" s="154">
        <f>+D229+D232</f>
        <v>232000</v>
      </c>
      <c r="E226" s="154">
        <f>+E229+E232</f>
        <v>225000</v>
      </c>
      <c r="F226" s="167">
        <f>+F229+F232</f>
        <v>232000</v>
      </c>
      <c r="G226" s="154">
        <f>+G227*G14</f>
        <v>243758.79941434847</v>
      </c>
      <c r="H226" s="154">
        <f t="shared" ref="H226:K226" si="136">+H227*H14</f>
        <v>259279.43806734993</v>
      </c>
      <c r="I226" s="154">
        <f t="shared" si="136"/>
        <v>276027.89468521229</v>
      </c>
      <c r="J226" s="154">
        <f t="shared" si="136"/>
        <v>292821.71084846265</v>
      </c>
      <c r="K226" s="154">
        <f t="shared" si="136"/>
        <v>310906.52931357984</v>
      </c>
      <c r="O226" s="320"/>
    </row>
    <row r="227" spans="1:15" ht="14.4" customHeight="1">
      <c r="C227" s="6" t="s">
        <v>166</v>
      </c>
      <c r="D227" s="186">
        <f>+D226/D14</f>
        <v>4.695405788301963E-2</v>
      </c>
      <c r="E227" s="186">
        <f t="shared" ref="E227:F227" si="137">+E226/E14</f>
        <v>4.1512915129151291E-2</v>
      </c>
      <c r="F227" s="204">
        <f t="shared" si="137"/>
        <v>4.24597364568082E-2</v>
      </c>
      <c r="G227" s="186">
        <f>+F227</f>
        <v>4.24597364568082E-2</v>
      </c>
      <c r="H227" s="186">
        <f t="shared" ref="H227:K227" si="138">+G227</f>
        <v>4.24597364568082E-2</v>
      </c>
      <c r="I227" s="186">
        <f t="shared" si="138"/>
        <v>4.24597364568082E-2</v>
      </c>
      <c r="J227" s="186">
        <f t="shared" si="138"/>
        <v>4.24597364568082E-2</v>
      </c>
      <c r="K227" s="186">
        <f t="shared" si="138"/>
        <v>4.24597364568082E-2</v>
      </c>
    </row>
    <row r="228" spans="1:15" ht="14.4" customHeight="1">
      <c r="C228" s="6"/>
      <c r="D228" s="154"/>
      <c r="E228" s="154"/>
      <c r="F228" s="167"/>
      <c r="G228" s="154"/>
      <c r="H228" s="154"/>
      <c r="I228" s="154"/>
      <c r="J228" s="154"/>
      <c r="K228" s="154"/>
      <c r="O228" s="320"/>
    </row>
    <row r="229" spans="1:15" ht="14.4" customHeight="1">
      <c r="C229" s="6" t="s">
        <v>167</v>
      </c>
      <c r="D229" s="154">
        <f>+D58-D192-D200</f>
        <v>41000</v>
      </c>
      <c r="E229" s="154">
        <f>+E58-E192-E200</f>
        <v>39000</v>
      </c>
      <c r="F229" s="167">
        <f>+F58-F192-F200</f>
        <v>40000</v>
      </c>
      <c r="G229" s="154">
        <f>+G230*G226</f>
        <v>42027.379209370425</v>
      </c>
      <c r="H229" s="154">
        <f>+H230*H226</f>
        <v>44703.351390922406</v>
      </c>
      <c r="I229" s="154">
        <f>+I230*I226</f>
        <v>47591.016325036602</v>
      </c>
      <c r="J229" s="154">
        <f>+J230*J226</f>
        <v>50486.501870424596</v>
      </c>
      <c r="K229" s="154">
        <f>+K230*K226</f>
        <v>53604.574019582738</v>
      </c>
      <c r="O229" s="320"/>
    </row>
    <row r="230" spans="1:15" ht="14.4" customHeight="1">
      <c r="C230" s="6" t="s">
        <v>168</v>
      </c>
      <c r="D230" s="15">
        <f>+D229/D226</f>
        <v>0.17672413793103448</v>
      </c>
      <c r="E230" s="15">
        <f>+E229/E226</f>
        <v>0.17333333333333334</v>
      </c>
      <c r="F230" s="151">
        <f>+F229/F226</f>
        <v>0.17241379310344829</v>
      </c>
      <c r="G230" s="62">
        <f>+F230</f>
        <v>0.17241379310344829</v>
      </c>
      <c r="H230" s="62">
        <f>+G230</f>
        <v>0.17241379310344829</v>
      </c>
      <c r="I230" s="62">
        <f t="shared" ref="I230:K230" si="139">+H230</f>
        <v>0.17241379310344829</v>
      </c>
      <c r="J230" s="62">
        <f t="shared" si="139"/>
        <v>0.17241379310344829</v>
      </c>
      <c r="K230" s="62">
        <f t="shared" si="139"/>
        <v>0.17241379310344829</v>
      </c>
    </row>
    <row r="231" spans="1:15" ht="14.4" customHeight="1">
      <c r="C231" s="6"/>
      <c r="D231" s="15"/>
      <c r="E231" s="15"/>
      <c r="F231" s="151"/>
      <c r="G231" s="62"/>
      <c r="H231" s="62"/>
      <c r="I231" s="62"/>
      <c r="J231" s="62"/>
      <c r="K231" s="62"/>
      <c r="O231" s="320"/>
    </row>
    <row r="232" spans="1:15" ht="14.4" customHeight="1">
      <c r="A232" t="s">
        <v>23</v>
      </c>
      <c r="C232" s="6" t="s">
        <v>169</v>
      </c>
      <c r="D232" s="154">
        <f>+D64-D201</f>
        <v>191000</v>
      </c>
      <c r="E232" s="154">
        <f>+E64-E201</f>
        <v>186000</v>
      </c>
      <c r="F232" s="167">
        <f>+F64-F201</f>
        <v>192000</v>
      </c>
      <c r="G232" s="154">
        <f>+G226-G229</f>
        <v>201731.42020497803</v>
      </c>
      <c r="H232" s="154">
        <f t="shared" ref="H232:K232" si="140">+H226-H229</f>
        <v>214576.08667642751</v>
      </c>
      <c r="I232" s="154">
        <f t="shared" si="140"/>
        <v>228436.8783601757</v>
      </c>
      <c r="J232" s="154">
        <f t="shared" si="140"/>
        <v>242335.20897803805</v>
      </c>
      <c r="K232" s="154">
        <f t="shared" si="140"/>
        <v>257301.9552939971</v>
      </c>
      <c r="O232" s="320"/>
    </row>
    <row r="233" spans="1:15" ht="14.4" customHeight="1">
      <c r="C233" s="6"/>
      <c r="D233" s="186"/>
      <c r="E233" s="186"/>
      <c r="F233" s="204"/>
      <c r="G233" s="187"/>
      <c r="H233" s="187"/>
      <c r="I233" s="187"/>
      <c r="J233" s="187"/>
      <c r="K233" s="187"/>
      <c r="O233" s="320"/>
    </row>
    <row r="234" spans="1:15" ht="14.4" customHeight="1">
      <c r="C234" s="321" t="s">
        <v>170</v>
      </c>
      <c r="D234" s="181"/>
      <c r="E234" s="181"/>
      <c r="F234" s="319"/>
      <c r="G234" s="154">
        <f>+F237</f>
        <v>226000</v>
      </c>
      <c r="H234" s="154">
        <f t="shared" ref="H234:K234" si="141">+G237</f>
        <v>215694.42532942898</v>
      </c>
      <c r="I234" s="154">
        <f t="shared" si="141"/>
        <v>207745.80450219617</v>
      </c>
      <c r="J234" s="154">
        <f t="shared" si="141"/>
        <v>199508.97754941433</v>
      </c>
      <c r="K234" s="154">
        <f t="shared" si="141"/>
        <v>189797.38023069175</v>
      </c>
      <c r="O234" s="320"/>
    </row>
    <row r="235" spans="1:15" ht="14.4" customHeight="1">
      <c r="C235" s="321" t="s">
        <v>162</v>
      </c>
      <c r="D235" s="181"/>
      <c r="E235" s="181"/>
      <c r="F235" s="319"/>
      <c r="G235" s="154">
        <f>+G223</f>
        <v>60308.694875549059</v>
      </c>
      <c r="H235" s="154">
        <f t="shared" ref="H235:K235" si="142">+H223</f>
        <v>67207.005683748139</v>
      </c>
      <c r="I235" s="154">
        <f t="shared" si="142"/>
        <v>71776.943257247418</v>
      </c>
      <c r="J235" s="154">
        <f t="shared" si="142"/>
        <v>75155.687058557814</v>
      </c>
      <c r="K235" s="154">
        <f t="shared" si="142"/>
        <v>80054.955438633682</v>
      </c>
      <c r="O235" s="320"/>
    </row>
    <row r="236" spans="1:15" ht="14.4" customHeight="1">
      <c r="C236" s="321" t="s">
        <v>171</v>
      </c>
      <c r="D236" s="181"/>
      <c r="E236" s="181"/>
      <c r="F236" s="319"/>
      <c r="G236" s="154">
        <f>+G214-G224</f>
        <v>70614.269546120064</v>
      </c>
      <c r="H236" s="154">
        <f t="shared" ref="H236:K236" si="143">+H214-H224</f>
        <v>75155.626510980976</v>
      </c>
      <c r="I236" s="154">
        <f t="shared" si="143"/>
        <v>80013.770210029266</v>
      </c>
      <c r="J236" s="154">
        <f t="shared" si="143"/>
        <v>84867.284377280375</v>
      </c>
      <c r="K236" s="154">
        <f t="shared" si="143"/>
        <v>90112.53833379742</v>
      </c>
      <c r="O236" s="320"/>
    </row>
    <row r="237" spans="1:15" ht="14.4" customHeight="1">
      <c r="C237" s="324" t="s">
        <v>172</v>
      </c>
      <c r="D237" s="330">
        <f>+D51-D156</f>
        <v>227000</v>
      </c>
      <c r="E237" s="330">
        <f>+E51-E156</f>
        <v>220000</v>
      </c>
      <c r="F237" s="331">
        <f>+F51-F156</f>
        <v>226000</v>
      </c>
      <c r="G237" s="330">
        <f>+G234+G235-G236</f>
        <v>215694.42532942898</v>
      </c>
      <c r="H237" s="330">
        <f t="shared" ref="H237:K237" si="144">+H234+H235-H236</f>
        <v>207745.80450219617</v>
      </c>
      <c r="I237" s="330">
        <f t="shared" si="144"/>
        <v>199508.97754941433</v>
      </c>
      <c r="J237" s="330">
        <f t="shared" si="144"/>
        <v>189797.38023069175</v>
      </c>
      <c r="K237" s="330">
        <f t="shared" si="144"/>
        <v>179739.79733552801</v>
      </c>
      <c r="O237" s="320"/>
    </row>
  </sheetData>
  <mergeCells count="23">
    <mergeCell ref="D211:F211"/>
    <mergeCell ref="G211:K211"/>
    <mergeCell ref="O5:W6"/>
    <mergeCell ref="O199:AA201"/>
    <mergeCell ref="G107:K107"/>
    <mergeCell ref="D181:F181"/>
    <mergeCell ref="G181:K181"/>
    <mergeCell ref="D107:F107"/>
    <mergeCell ref="D149:F149"/>
    <mergeCell ref="G149:K149"/>
    <mergeCell ref="D160:F160"/>
    <mergeCell ref="G160:K160"/>
    <mergeCell ref="D134:F134"/>
    <mergeCell ref="G134:K134"/>
    <mergeCell ref="D11:F11"/>
    <mergeCell ref="G11:K11"/>
    <mergeCell ref="D43:F43"/>
    <mergeCell ref="G43:K43"/>
    <mergeCell ref="O189:X191"/>
    <mergeCell ref="D77:F77"/>
    <mergeCell ref="G77:K77"/>
    <mergeCell ref="D171:F171"/>
    <mergeCell ref="G171:K171"/>
  </mergeCells>
  <dataValidations disablePrompts="1" count="2">
    <dataValidation type="list" allowBlank="1" showErrorMessage="1" sqref="E115 E126" xr:uid="{B8A8E992-5B10-4181-8A1D-D41BDC9054AC}">
      <formula1>"1,2"</formula1>
    </dataValidation>
    <dataValidation type="list" allowBlank="1" showErrorMessage="1" sqref="J5" xr:uid="{00000000-0002-0000-0200-000001000000}">
      <formula1>"0,1"</formula1>
    </dataValidation>
  </dataValidations>
  <printOptions horizontalCentered="1" verticalCentered="1"/>
  <pageMargins left="0.7" right="0.7" top="0.75" bottom="0.75" header="0" footer="0"/>
  <pageSetup orientation="landscape"/>
  <rowBreaks count="3" manualBreakCount="3">
    <brk id="42" man="1"/>
    <brk id="180" man="1"/>
    <brk id="10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8468-1F86-43C8-8DBC-1093473FD6B0}">
  <dimension ref="C1:T124"/>
  <sheetViews>
    <sheetView showGridLines="0" zoomScale="85" zoomScaleNormal="85" workbookViewId="0"/>
  </sheetViews>
  <sheetFormatPr defaultColWidth="14.44140625" defaultRowHeight="14.4" customHeight="1"/>
  <cols>
    <col min="1" max="1" width="1.6640625" style="83" customWidth="1"/>
    <col min="2" max="2" width="2.6640625" style="83" customWidth="1"/>
    <col min="3" max="3" width="45.6640625" style="83" customWidth="1"/>
    <col min="4" max="12" width="12.5546875" style="83" bestFit="1" customWidth="1"/>
    <col min="13" max="13" width="2.6640625" style="83" customWidth="1"/>
    <col min="14" max="14" width="12.5546875" style="83" bestFit="1" customWidth="1"/>
    <col min="15" max="15" width="2.6640625" style="83" customWidth="1"/>
    <col min="16" max="19" width="11.33203125" style="83" customWidth="1"/>
    <col min="20" max="26" width="8.6640625" style="83" customWidth="1"/>
    <col min="27" max="16384" width="14.44140625" style="83"/>
  </cols>
  <sheetData>
    <row r="1" spans="3:14" ht="14.4" customHeight="1" thickBot="1"/>
    <row r="2" spans="3:14" ht="18" customHeight="1">
      <c r="C2" s="88" t="str">
        <f>"Discounted Cash Flow Model For "&amp;D5</f>
        <v>Discounted Cash Flow Model For Keysight Technologies, Inc.</v>
      </c>
      <c r="D2" s="88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3:14" ht="14.4" customHeight="1" thickBot="1">
      <c r="C3" s="90" t="s">
        <v>31</v>
      </c>
      <c r="D3" s="90"/>
      <c r="E3" s="91"/>
      <c r="F3" s="91"/>
      <c r="G3" s="91"/>
      <c r="H3" s="91"/>
      <c r="I3" s="91"/>
      <c r="J3" s="86" t="s">
        <v>173</v>
      </c>
      <c r="K3" s="91"/>
      <c r="L3" s="91"/>
      <c r="M3" s="91"/>
      <c r="N3" s="91"/>
    </row>
    <row r="4" spans="3:14" ht="14.4" customHeight="1">
      <c r="C4" s="92"/>
      <c r="D4" s="92"/>
    </row>
    <row r="5" spans="3:14" ht="14.4" customHeight="1">
      <c r="C5" s="93" t="s">
        <v>1</v>
      </c>
      <c r="D5" s="94" t="str">
        <f>'Revenue Build &amp; Growth Drivers'!D5</f>
        <v>Keysight Technologies, Inc.</v>
      </c>
      <c r="G5" s="93" t="s">
        <v>174</v>
      </c>
      <c r="J5" s="295">
        <f>+D66</f>
        <v>175044.60399999999</v>
      </c>
    </row>
    <row r="6" spans="3:14" ht="14.4" customHeight="1">
      <c r="C6" s="93" t="s">
        <v>3</v>
      </c>
      <c r="D6" s="327" t="str">
        <f>'Revenue Build &amp; Growth Drivers'!D6</f>
        <v>KEYS</v>
      </c>
      <c r="G6" s="93" t="s">
        <v>175</v>
      </c>
      <c r="J6" s="295">
        <f>+D71</f>
        <v>178193.60399999999</v>
      </c>
    </row>
    <row r="7" spans="3:14" ht="14.4" customHeight="1">
      <c r="C7" s="93" t="s">
        <v>5</v>
      </c>
      <c r="D7" s="82">
        <f>'Revenue Build &amp; Growth Drivers'!D7</f>
        <v>45394</v>
      </c>
      <c r="G7" s="93" t="s">
        <v>176</v>
      </c>
      <c r="J7" s="296">
        <f>+'WACC Build'!D45</f>
        <v>0.1068471786257682</v>
      </c>
    </row>
    <row r="8" spans="3:14" ht="14.4" customHeight="1">
      <c r="C8" s="93" t="s">
        <v>6</v>
      </c>
      <c r="D8" s="82">
        <f>'Revenue Build &amp; Growth Drivers'!D8</f>
        <v>45393</v>
      </c>
      <c r="G8" s="93" t="s">
        <v>177</v>
      </c>
      <c r="H8" s="93"/>
      <c r="I8" s="93"/>
      <c r="J8" s="95">
        <v>0</v>
      </c>
    </row>
    <row r="9" spans="3:14" ht="14.4" customHeight="1">
      <c r="C9" s="93" t="s">
        <v>7</v>
      </c>
      <c r="D9" s="259">
        <f>'Revenue Build &amp; Growth Drivers'!D9</f>
        <v>160.13999999999999</v>
      </c>
    </row>
    <row r="10" spans="3:14" ht="14.4" customHeight="1">
      <c r="H10" s="96"/>
    </row>
    <row r="11" spans="3:14" ht="14.4" customHeight="1">
      <c r="C11" s="97" t="s">
        <v>178</v>
      </c>
      <c r="D11" s="97"/>
      <c r="E11" s="344" t="s">
        <v>9</v>
      </c>
      <c r="F11" s="342"/>
      <c r="G11" s="345"/>
      <c r="H11" s="344" t="s">
        <v>10</v>
      </c>
      <c r="I11" s="342"/>
      <c r="J11" s="342"/>
      <c r="K11" s="342"/>
      <c r="L11" s="342"/>
      <c r="N11" s="98" t="s">
        <v>35</v>
      </c>
    </row>
    <row r="12" spans="3:14" ht="14.4" customHeight="1">
      <c r="C12" s="97"/>
      <c r="D12" s="97"/>
      <c r="E12" s="99">
        <f>'Financial Statement Model'!D12</f>
        <v>44500</v>
      </c>
      <c r="F12" s="99">
        <f>'Financial Statement Model'!E12</f>
        <v>44865</v>
      </c>
      <c r="G12" s="100">
        <f>'Financial Statement Model'!F12</f>
        <v>45230</v>
      </c>
      <c r="H12" s="99">
        <f>'Financial Statement Model'!G12</f>
        <v>45596</v>
      </c>
      <c r="I12" s="99">
        <f>'Financial Statement Model'!H12</f>
        <v>45961</v>
      </c>
      <c r="J12" s="99">
        <f>'Financial Statement Model'!I12</f>
        <v>46326</v>
      </c>
      <c r="K12" s="99">
        <f>'Financial Statement Model'!J12</f>
        <v>46691</v>
      </c>
      <c r="L12" s="99">
        <f>'Financial Statement Model'!K12</f>
        <v>47057</v>
      </c>
      <c r="N12" s="99" t="s">
        <v>36</v>
      </c>
    </row>
    <row r="14" spans="3:14" ht="14.4" customHeight="1">
      <c r="C14" s="83" t="s">
        <v>11</v>
      </c>
      <c r="E14" s="256">
        <f>+'Financial Statement Model'!D14</f>
        <v>4941000</v>
      </c>
      <c r="F14" s="256">
        <f>+'Financial Statement Model'!E14</f>
        <v>5420000</v>
      </c>
      <c r="G14" s="257">
        <f>+'Financial Statement Model'!F14</f>
        <v>5464000</v>
      </c>
      <c r="H14" s="256">
        <f>+'Financial Statement Model'!G14</f>
        <v>5740940</v>
      </c>
      <c r="I14" s="256">
        <f>+'Financial Statement Model'!H14</f>
        <v>6106477.7999999998</v>
      </c>
      <c r="J14" s="256">
        <f>+'Financial Statement Model'!I14</f>
        <v>6500932.8299999991</v>
      </c>
      <c r="K14" s="256">
        <f>+'Financial Statement Model'!J14</f>
        <v>6896456.1554999994</v>
      </c>
      <c r="L14" s="256">
        <f>+'Financial Statement Model'!K14</f>
        <v>7322384.811075001</v>
      </c>
    </row>
    <row r="15" spans="3:14" ht="14.4" customHeight="1">
      <c r="C15" s="92" t="s">
        <v>179</v>
      </c>
      <c r="D15" s="92"/>
      <c r="E15" s="233"/>
      <c r="F15" s="234">
        <f>+F14/E14-1</f>
        <v>9.6943938473993185E-2</v>
      </c>
      <c r="G15" s="235">
        <f t="shared" ref="G15:L15" si="0">+G14/F14-1</f>
        <v>8.1180811808116982E-3</v>
      </c>
      <c r="H15" s="234">
        <f t="shared" si="0"/>
        <v>5.0684480234260532E-2</v>
      </c>
      <c r="I15" s="234">
        <f t="shared" si="0"/>
        <v>6.3672116412991642E-2</v>
      </c>
      <c r="J15" s="234">
        <f t="shared" si="0"/>
        <v>6.4596162128027323E-2</v>
      </c>
      <c r="K15" s="234">
        <f t="shared" si="0"/>
        <v>6.0841010950731578E-2</v>
      </c>
      <c r="L15" s="234">
        <f t="shared" si="0"/>
        <v>6.176051090172141E-2</v>
      </c>
      <c r="M15" s="101"/>
    </row>
    <row r="16" spans="3:14" ht="14.4" customHeight="1">
      <c r="C16" s="92"/>
      <c r="D16" s="92"/>
      <c r="G16" s="102"/>
    </row>
    <row r="17" spans="3:14" ht="14.4" customHeight="1">
      <c r="C17" s="83" t="s">
        <v>38</v>
      </c>
      <c r="E17" s="256">
        <f>+'Financial Statement Model'!D16</f>
        <v>3068000</v>
      </c>
      <c r="F17" s="256">
        <f>+'Financial Statement Model'!E16</f>
        <v>3435000</v>
      </c>
      <c r="G17" s="257">
        <f>+'Financial Statement Model'!F16</f>
        <v>3519000</v>
      </c>
      <c r="H17" s="256">
        <f>+'Financial Statement Model'!G16</f>
        <v>3731611</v>
      </c>
      <c r="I17" s="256">
        <f>+'Financial Statement Model'!H16</f>
        <v>3969210.57</v>
      </c>
      <c r="J17" s="256">
        <f>+'Financial Statement Model'!I16</f>
        <v>4225606.3394999998</v>
      </c>
      <c r="K17" s="256">
        <f>+'Financial Statement Model'!J16</f>
        <v>4482696.5010749996</v>
      </c>
      <c r="L17" s="256">
        <f>+'Financial Statement Model'!K16</f>
        <v>4759550.1271987511</v>
      </c>
    </row>
    <row r="18" spans="3:14" ht="14.4" customHeight="1">
      <c r="C18" s="92" t="s">
        <v>180</v>
      </c>
      <c r="D18" s="92"/>
      <c r="E18" s="234">
        <f>+E17/E$14</f>
        <v>0.62092693786682862</v>
      </c>
      <c r="F18" s="234">
        <f t="shared" ref="F18:L18" si="1">+F17/F$14</f>
        <v>0.6337638376383764</v>
      </c>
      <c r="G18" s="235">
        <f t="shared" si="1"/>
        <v>0.64403367496339681</v>
      </c>
      <c r="H18" s="234">
        <f t="shared" si="1"/>
        <v>0.65</v>
      </c>
      <c r="I18" s="234">
        <f t="shared" si="1"/>
        <v>0.65</v>
      </c>
      <c r="J18" s="234">
        <f t="shared" si="1"/>
        <v>0.65</v>
      </c>
      <c r="K18" s="234">
        <f t="shared" si="1"/>
        <v>0.65</v>
      </c>
      <c r="L18" s="234">
        <f t="shared" si="1"/>
        <v>0.65</v>
      </c>
    </row>
    <row r="19" spans="3:14" ht="14.4" customHeight="1">
      <c r="C19" s="92"/>
      <c r="D19" s="92"/>
      <c r="G19" s="102"/>
    </row>
    <row r="20" spans="3:14" ht="14.4" customHeight="1">
      <c r="C20" s="83" t="s">
        <v>50</v>
      </c>
      <c r="E20" s="256">
        <f>+'Financial Statement Model'!D29</f>
        <v>1372000</v>
      </c>
      <c r="F20" s="256">
        <f>+'Financial Statement Model'!E29</f>
        <v>1556000</v>
      </c>
      <c r="G20" s="257">
        <f>+'Financial Statement Model'!F29</f>
        <v>1606000</v>
      </c>
      <c r="H20" s="256">
        <f>+'Financial Statement Model'!G29</f>
        <v>1724021.8917396239</v>
      </c>
      <c r="I20" s="256">
        <f>+'Financial Statement Model'!H29</f>
        <v>1811375.9338294663</v>
      </c>
      <c r="J20" s="256">
        <f>+'Financial Statement Model'!I29</f>
        <v>1915678.4325179891</v>
      </c>
      <c r="K20" s="256">
        <f>+'Financial Statement Model'!J29</f>
        <v>2024475.4488250872</v>
      </c>
      <c r="L20" s="256">
        <f>+'Financial Statement Model'!K29</f>
        <v>2144552.8013081606</v>
      </c>
      <c r="N20" s="258">
        <f>+_xlfn.RRI(YEAR($L$12)-YEAR($G$12),G20,L20)</f>
        <v>5.9542155641869821E-2</v>
      </c>
    </row>
    <row r="21" spans="3:14" ht="14.4" customHeight="1">
      <c r="C21" s="92" t="s">
        <v>181</v>
      </c>
      <c r="D21" s="92"/>
      <c r="E21" s="234">
        <f>+E20/E$14</f>
        <v>0.27767658368751263</v>
      </c>
      <c r="F21" s="234">
        <f t="shared" ref="F21" si="2">+F20/F$14</f>
        <v>0.28708487084870848</v>
      </c>
      <c r="G21" s="235">
        <f t="shared" ref="G21" si="3">+G20/G$14</f>
        <v>0.29392386530014641</v>
      </c>
      <c r="H21" s="234">
        <f t="shared" ref="H21" si="4">+H20/H$14</f>
        <v>0.30030306739656293</v>
      </c>
      <c r="I21" s="234">
        <f t="shared" ref="I21" si="5">+I20/I$14</f>
        <v>0.29663187080275089</v>
      </c>
      <c r="J21" s="234">
        <f t="shared" ref="J21" si="6">+J20/J$14</f>
        <v>0.29467746900531955</v>
      </c>
      <c r="K21" s="234">
        <f t="shared" ref="K21" si="7">+K20/K$14</f>
        <v>0.29355300797650191</v>
      </c>
      <c r="L21" s="234">
        <f t="shared" ref="L21" si="8">+L20/L$14</f>
        <v>0.29287627687424395</v>
      </c>
    </row>
    <row r="22" spans="3:14" ht="14.4" customHeight="1">
      <c r="C22" s="92"/>
      <c r="D22" s="92"/>
      <c r="G22" s="102"/>
    </row>
    <row r="23" spans="3:14" ht="14.4" customHeight="1">
      <c r="C23" s="83" t="s">
        <v>41</v>
      </c>
      <c r="E23" s="256">
        <f>+'Financial Statement Model'!D19</f>
        <v>1081000</v>
      </c>
      <c r="F23" s="256">
        <f>+'Financial Statement Model'!E19</f>
        <v>1336000</v>
      </c>
      <c r="G23" s="257">
        <f>+'Financial Statement Model'!F19</f>
        <v>1396000</v>
      </c>
      <c r="H23" s="256">
        <f>+'Financial Statement Model'!G19</f>
        <v>1550053.7999999998</v>
      </c>
      <c r="I23" s="256">
        <f>+'Financial Statement Model'!H19</f>
        <v>1648749.0060000001</v>
      </c>
      <c r="J23" s="256">
        <f>+'Financial Statement Model'!I19</f>
        <v>1755251.8640999999</v>
      </c>
      <c r="K23" s="256">
        <f>+'Financial Statement Model'!J19</f>
        <v>1862043.1619849997</v>
      </c>
      <c r="L23" s="256">
        <f>+'Financial Statement Model'!K19</f>
        <v>1977043.8989902507</v>
      </c>
    </row>
    <row r="24" spans="3:14" ht="14.4" customHeight="1">
      <c r="C24" s="92" t="s">
        <v>182</v>
      </c>
      <c r="D24" s="92"/>
      <c r="E24" s="234">
        <f>+E23/E$14</f>
        <v>0.21878162315320784</v>
      </c>
      <c r="F24" s="234">
        <f t="shared" ref="F24" si="9">+F23/F$14</f>
        <v>0.24649446494464944</v>
      </c>
      <c r="G24" s="235">
        <f t="shared" ref="G24" si="10">+G23/G$14</f>
        <v>0.25549048316251832</v>
      </c>
      <c r="H24" s="234">
        <f t="shared" ref="H24" si="11">+H23/H$14</f>
        <v>0.26999999999999996</v>
      </c>
      <c r="I24" s="234">
        <f t="shared" ref="I24" si="12">+I23/I$14</f>
        <v>0.27</v>
      </c>
      <c r="J24" s="234">
        <f t="shared" ref="J24" si="13">+J23/J$14</f>
        <v>0.27</v>
      </c>
      <c r="K24" s="234">
        <f t="shared" ref="K24" si="14">+K23/K$14</f>
        <v>0.26999999999999996</v>
      </c>
      <c r="L24" s="234">
        <f t="shared" ref="L24" si="15">+L23/L$14</f>
        <v>0.27000000000000007</v>
      </c>
    </row>
    <row r="25" spans="3:14" ht="14.4" customHeight="1">
      <c r="C25" s="92"/>
      <c r="D25" s="92"/>
      <c r="G25" s="102"/>
    </row>
    <row r="26" spans="3:14" ht="14.4" customHeight="1">
      <c r="C26" s="328" t="s">
        <v>183</v>
      </c>
      <c r="E26" s="245">
        <f>+E23*E27</f>
        <v>124154.45544554456</v>
      </c>
      <c r="F26" s="245">
        <f t="shared" ref="F26:L26" si="16">+F23*F27</f>
        <v>167389.88326848249</v>
      </c>
      <c r="G26" s="314">
        <f t="shared" si="16"/>
        <v>308621.96020633751</v>
      </c>
      <c r="H26" s="245">
        <f t="shared" si="16"/>
        <v>342679.54310980096</v>
      </c>
      <c r="I26" s="245">
        <f t="shared" si="16"/>
        <v>364498.67487103905</v>
      </c>
      <c r="J26" s="245">
        <f t="shared" si="16"/>
        <v>388043.8903684598</v>
      </c>
      <c r="K26" s="245">
        <f t="shared" si="16"/>
        <v>411652.87295173167</v>
      </c>
      <c r="L26" s="245">
        <f t="shared" si="16"/>
        <v>437076.7646993922</v>
      </c>
    </row>
    <row r="27" spans="3:14" ht="14.4" customHeight="1">
      <c r="C27" s="92" t="s">
        <v>184</v>
      </c>
      <c r="D27" s="92"/>
      <c r="E27" s="261">
        <f>+'Financial Statement Model'!D41</f>
        <v>0.11485148514851486</v>
      </c>
      <c r="F27" s="261">
        <f>+'Financial Statement Model'!E41</f>
        <v>0.12529182879377432</v>
      </c>
      <c r="G27" s="262">
        <f>+'Financial Statement Model'!F41</f>
        <v>0.2210759027266028</v>
      </c>
      <c r="H27" s="261">
        <f>+'Financial Statement Model'!G41</f>
        <v>0.2210759027266028</v>
      </c>
      <c r="I27" s="261">
        <f>+'Financial Statement Model'!H41</f>
        <v>0.2210759027266028</v>
      </c>
      <c r="J27" s="261">
        <f>+'Financial Statement Model'!I41</f>
        <v>0.2210759027266028</v>
      </c>
      <c r="K27" s="261">
        <f>+'Financial Statement Model'!J41</f>
        <v>0.2210759027266028</v>
      </c>
      <c r="L27" s="261">
        <f>+'Financial Statement Model'!K41</f>
        <v>0.2210759027266028</v>
      </c>
    </row>
    <row r="28" spans="3:14" ht="14.4" customHeight="1">
      <c r="G28" s="102"/>
    </row>
    <row r="29" spans="3:14" ht="14.4" customHeight="1">
      <c r="C29" s="103" t="s">
        <v>185</v>
      </c>
      <c r="D29" s="103"/>
      <c r="E29" s="236">
        <f>+E23-E26</f>
        <v>956845.54455445544</v>
      </c>
      <c r="F29" s="236">
        <f t="shared" ref="F29:L29" si="17">+F23-F26</f>
        <v>1168610.1167315175</v>
      </c>
      <c r="G29" s="237">
        <f t="shared" si="17"/>
        <v>1087378.0397936625</v>
      </c>
      <c r="H29" s="236">
        <f t="shared" si="17"/>
        <v>1207374.2568901989</v>
      </c>
      <c r="I29" s="236">
        <f t="shared" si="17"/>
        <v>1284250.3311289609</v>
      </c>
      <c r="J29" s="236">
        <f t="shared" si="17"/>
        <v>1367207.9737315401</v>
      </c>
      <c r="K29" s="236">
        <f t="shared" si="17"/>
        <v>1450390.2890332681</v>
      </c>
      <c r="L29" s="236">
        <f t="shared" si="17"/>
        <v>1539967.1342908584</v>
      </c>
    </row>
    <row r="30" spans="3:14" ht="14.4" customHeight="1">
      <c r="G30" s="102"/>
    </row>
    <row r="31" spans="3:14" ht="14.4" customHeight="1">
      <c r="C31" s="83" t="s">
        <v>186</v>
      </c>
      <c r="E31" s="238"/>
      <c r="F31" s="256">
        <f>+'Financial Statement Model'!E28</f>
        <v>220000</v>
      </c>
      <c r="G31" s="257">
        <f>+'Financial Statement Model'!F28</f>
        <v>210000</v>
      </c>
      <c r="H31" s="256">
        <f>+'Financial Statement Model'!G28</f>
        <v>173968.0917396241</v>
      </c>
      <c r="I31" s="256">
        <f>+'Financial Statement Model'!H28</f>
        <v>162626.92782946635</v>
      </c>
      <c r="J31" s="256">
        <f>+'Financial Statement Model'!I28</f>
        <v>160426.56841798915</v>
      </c>
      <c r="K31" s="256">
        <f>+'Financial Statement Model'!J28</f>
        <v>162432.28684008744</v>
      </c>
      <c r="L31" s="256">
        <f>+'Financial Statement Model'!K28</f>
        <v>167508.90231790996</v>
      </c>
    </row>
    <row r="32" spans="3:14" ht="14.4" customHeight="1">
      <c r="C32" s="83" t="s">
        <v>187</v>
      </c>
      <c r="E32" s="238"/>
      <c r="F32" s="256">
        <f>+'Financial Statement Model'!E31</f>
        <v>125000</v>
      </c>
      <c r="G32" s="257">
        <f>+'Financial Statement Model'!F31</f>
        <v>135000</v>
      </c>
      <c r="H32" s="256">
        <f>+'Financial Statement Model'!G31</f>
        <v>121000</v>
      </c>
      <c r="I32" s="256">
        <f>+'Financial Statement Model'!H31</f>
        <v>127000</v>
      </c>
      <c r="J32" s="256">
        <f>+'Financial Statement Model'!I31</f>
        <v>127666.66666666667</v>
      </c>
      <c r="K32" s="256">
        <f>+'Financial Statement Model'!J31</f>
        <v>125222.22222222223</v>
      </c>
      <c r="L32" s="256">
        <f>+'Financial Statement Model'!K31</f>
        <v>126629.62962962965</v>
      </c>
    </row>
    <row r="33" spans="3:14" ht="14.4" customHeight="1">
      <c r="C33" s="83" t="s">
        <v>188</v>
      </c>
      <c r="E33" s="238"/>
      <c r="F33" s="231">
        <f>F52</f>
        <v>332000</v>
      </c>
      <c r="G33" s="232">
        <f t="shared" ref="G33:L33" si="18">G52</f>
        <v>97000</v>
      </c>
      <c r="H33" s="231">
        <f t="shared" si="18"/>
        <v>35538.222579953028</v>
      </c>
      <c r="I33" s="231">
        <f t="shared" si="18"/>
        <v>67017.336237234063</v>
      </c>
      <c r="J33" s="231">
        <f t="shared" si="18"/>
        <v>72318.992388688959</v>
      </c>
      <c r="K33" s="231">
        <f t="shared" si="18"/>
        <v>72514.852621815167</v>
      </c>
      <c r="L33" s="231">
        <f t="shared" si="18"/>
        <v>78089.3355591211</v>
      </c>
    </row>
    <row r="34" spans="3:14" ht="14.4" customHeight="1">
      <c r="C34" s="83" t="s">
        <v>189</v>
      </c>
      <c r="E34" s="238"/>
      <c r="F34" s="256">
        <f>+'Financial Statement Model'!E154</f>
        <v>185000</v>
      </c>
      <c r="G34" s="257">
        <f>+'Financial Statement Model'!F154</f>
        <v>196000</v>
      </c>
      <c r="H34" s="256">
        <f>+'Financial Statement Model'!G154</f>
        <v>194376.6288433382</v>
      </c>
      <c r="I34" s="256">
        <f>+'Financial Statement Model'!H154</f>
        <v>206753.00018301609</v>
      </c>
      <c r="J34" s="256">
        <f>+'Financial Statement Model'!I154</f>
        <v>220108.45050329427</v>
      </c>
      <c r="K34" s="256">
        <f>+'Financial Statement Model'!J154</f>
        <v>233500.07115071375</v>
      </c>
      <c r="L34" s="256">
        <f>+'Financial Statement Model'!K154</f>
        <v>247921.15484057012</v>
      </c>
    </row>
    <row r="35" spans="3:14" ht="14.4" customHeight="1">
      <c r="E35" s="239"/>
      <c r="F35" s="239"/>
      <c r="G35" s="232"/>
      <c r="H35" s="239"/>
      <c r="I35" s="239"/>
      <c r="J35" s="239"/>
      <c r="K35" s="239"/>
      <c r="L35" s="239"/>
    </row>
    <row r="36" spans="3:14" ht="14.4" customHeight="1">
      <c r="C36" s="105" t="s">
        <v>190</v>
      </c>
      <c r="D36" s="105"/>
      <c r="E36" s="240"/>
      <c r="F36" s="241">
        <f>+F29+F31+F32-F33-F34</f>
        <v>996610.11673151748</v>
      </c>
      <c r="G36" s="242">
        <f t="shared" ref="G36:L36" si="19">+G29+G31+G32-G33-G34</f>
        <v>1139378.0397936625</v>
      </c>
      <c r="H36" s="241">
        <f t="shared" si="19"/>
        <v>1272427.4972065317</v>
      </c>
      <c r="I36" s="241">
        <f t="shared" si="19"/>
        <v>1300106.9225381771</v>
      </c>
      <c r="J36" s="241">
        <f t="shared" si="19"/>
        <v>1362873.7659242128</v>
      </c>
      <c r="K36" s="241">
        <f t="shared" si="19"/>
        <v>1432029.8743230489</v>
      </c>
      <c r="L36" s="241">
        <f t="shared" si="19"/>
        <v>1508095.1758387068</v>
      </c>
      <c r="N36" s="258">
        <f>+_xlfn.RRI(YEAR($L$12)-YEAR($G$12),G36,L36)</f>
        <v>5.7674858852434063E-2</v>
      </c>
    </row>
    <row r="37" spans="3:14" ht="14.4" customHeight="1">
      <c r="G37" s="106"/>
    </row>
    <row r="38" spans="3:14" ht="14.4" customHeight="1">
      <c r="C38" s="97" t="s">
        <v>191</v>
      </c>
      <c r="D38" s="97"/>
      <c r="E38" s="344" t="s">
        <v>9</v>
      </c>
      <c r="F38" s="342"/>
      <c r="G38" s="345"/>
      <c r="H38" s="344" t="s">
        <v>10</v>
      </c>
      <c r="I38" s="342"/>
      <c r="J38" s="342"/>
      <c r="K38" s="342"/>
      <c r="L38" s="342"/>
    </row>
    <row r="39" spans="3:14" ht="14.4" customHeight="1">
      <c r="C39" s="97"/>
      <c r="D39" s="97"/>
      <c r="E39" s="99">
        <f>'Financial Statement Model'!D12</f>
        <v>44500</v>
      </c>
      <c r="F39" s="99">
        <f>'Financial Statement Model'!E12</f>
        <v>44865</v>
      </c>
      <c r="G39" s="100">
        <f>'Financial Statement Model'!F12</f>
        <v>45230</v>
      </c>
      <c r="H39" s="99">
        <f>'Financial Statement Model'!G12</f>
        <v>45596</v>
      </c>
      <c r="I39" s="99">
        <f>'Financial Statement Model'!H12</f>
        <v>45961</v>
      </c>
      <c r="J39" s="99">
        <f>'Financial Statement Model'!I12</f>
        <v>46326</v>
      </c>
      <c r="K39" s="99">
        <f>'Financial Statement Model'!J12</f>
        <v>46691</v>
      </c>
      <c r="L39" s="99">
        <f>'Financial Statement Model'!K12</f>
        <v>47057</v>
      </c>
    </row>
    <row r="41" spans="3:14" ht="14.4" customHeight="1">
      <c r="C41" s="83" t="s">
        <v>61</v>
      </c>
      <c r="E41" s="256">
        <f>+'Financial Statement Model'!D47</f>
        <v>735000</v>
      </c>
      <c r="F41" s="256">
        <f>+'Financial Statement Model'!E47</f>
        <v>905000</v>
      </c>
      <c r="G41" s="257">
        <f>+'Financial Statement Model'!F47</f>
        <v>900000</v>
      </c>
      <c r="H41" s="256">
        <f>+'Financial Statement Model'!G47</f>
        <v>945616.03221083444</v>
      </c>
      <c r="I41" s="256">
        <f>+'Financial Statement Model'!H47</f>
        <v>1005825.4062957539</v>
      </c>
      <c r="J41" s="256">
        <f>+'Financial Statement Model'!I47</f>
        <v>1070797.8673133233</v>
      </c>
      <c r="K41" s="256">
        <f>+'Financial Statement Model'!J47</f>
        <v>1135946.2920845533</v>
      </c>
      <c r="L41" s="256">
        <f>+'Financial Statement Model'!K47</f>
        <v>1206102.9154406113</v>
      </c>
    </row>
    <row r="42" spans="3:14" ht="14.4" customHeight="1">
      <c r="C42" s="83" t="s">
        <v>62</v>
      </c>
      <c r="E42" s="256">
        <f>+'Financial Statement Model'!D48</f>
        <v>777000</v>
      </c>
      <c r="F42" s="256">
        <f>+'Financial Statement Model'!E48</f>
        <v>1057000</v>
      </c>
      <c r="G42" s="257">
        <f>+'Financial Statement Model'!F48</f>
        <v>1195000</v>
      </c>
      <c r="H42" s="256">
        <f>+'Financial Statement Model'!G48</f>
        <v>1234523.473007712</v>
      </c>
      <c r="I42" s="256">
        <f>+'Financial Statement Model'!H48</f>
        <v>1313128.1952956298</v>
      </c>
      <c r="J42" s="256">
        <f>+'Financial Statement Model'!I48</f>
        <v>1397951.23709383</v>
      </c>
      <c r="K42" s="256">
        <f>+'Financial Statement Model'!J48</f>
        <v>1483004.0036184448</v>
      </c>
      <c r="L42" s="256">
        <f>+'Financial Statement Model'!K48</f>
        <v>1574595.0885512179</v>
      </c>
    </row>
    <row r="43" spans="3:14" ht="14.4" customHeight="1">
      <c r="C43" s="83" t="s">
        <v>63</v>
      </c>
      <c r="E43" s="256">
        <f>+'Financial Statement Model'!D49</f>
        <v>270000</v>
      </c>
      <c r="F43" s="256">
        <f>+'Financial Statement Model'!E49</f>
        <v>230000</v>
      </c>
      <c r="G43" s="257">
        <f>+'Financial Statement Model'!F49</f>
        <v>242000</v>
      </c>
      <c r="H43" s="256">
        <f>+'Financial Statement Model'!G49</f>
        <v>254265.64421669106</v>
      </c>
      <c r="I43" s="256">
        <f>+'Financial Statement Model'!H49</f>
        <v>270455.27591508051</v>
      </c>
      <c r="J43" s="256">
        <f>+'Financial Statement Model'!I49</f>
        <v>287925.64876647142</v>
      </c>
      <c r="K43" s="256">
        <f>+'Financial Statement Model'!J49</f>
        <v>305443.33631606883</v>
      </c>
      <c r="L43" s="256">
        <f>+'Financial Statement Model'!K49</f>
        <v>324307.67281847558</v>
      </c>
    </row>
    <row r="44" spans="3:14" ht="14.4" customHeight="1">
      <c r="C44" s="103" t="s">
        <v>192</v>
      </c>
      <c r="D44" s="103"/>
      <c r="E44" s="236">
        <f>SUM(E41:E43)</f>
        <v>1782000</v>
      </c>
      <c r="F44" s="236">
        <f t="shared" ref="F44:L44" si="20">SUM(F41:F43)</f>
        <v>2192000</v>
      </c>
      <c r="G44" s="237">
        <f t="shared" si="20"/>
        <v>2337000</v>
      </c>
      <c r="H44" s="236">
        <f t="shared" si="20"/>
        <v>2434405.1494352375</v>
      </c>
      <c r="I44" s="236">
        <f t="shared" si="20"/>
        <v>2589408.8775064643</v>
      </c>
      <c r="J44" s="236">
        <f t="shared" si="20"/>
        <v>2756674.7531736246</v>
      </c>
      <c r="K44" s="236">
        <f t="shared" si="20"/>
        <v>2924393.6320190667</v>
      </c>
      <c r="L44" s="236">
        <f t="shared" si="20"/>
        <v>3105005.6768103046</v>
      </c>
    </row>
    <row r="45" spans="3:14" ht="14.4" customHeight="1">
      <c r="E45" s="231"/>
      <c r="F45" s="231"/>
      <c r="G45" s="232"/>
      <c r="H45" s="231"/>
      <c r="I45" s="231"/>
      <c r="J45" s="231"/>
      <c r="K45" s="231"/>
      <c r="L45" s="231"/>
    </row>
    <row r="46" spans="3:14" ht="14.4" customHeight="1">
      <c r="C46" s="83" t="s">
        <v>72</v>
      </c>
      <c r="E46" s="256">
        <f>+'Financial Statement Model'!D59</f>
        <v>287000</v>
      </c>
      <c r="F46" s="256">
        <f>+'Financial Statement Model'!E59</f>
        <v>348000</v>
      </c>
      <c r="G46" s="257">
        <f>+'Financial Statement Model'!F59</f>
        <v>286000</v>
      </c>
      <c r="H46" s="256">
        <f>+'Financial Statement Model'!G59</f>
        <v>295459.17429305916</v>
      </c>
      <c r="I46" s="256">
        <f>+'Financial Statement Model'!H59</f>
        <v>314271.68523393321</v>
      </c>
      <c r="J46" s="256">
        <f>+'Financial Statement Model'!I59</f>
        <v>334572.42996555264</v>
      </c>
      <c r="K46" s="256">
        <f>+'Financial Statement Model'!J59</f>
        <v>354928.15484089981</v>
      </c>
      <c r="L46" s="256">
        <f>+'Financial Statement Model'!K59</f>
        <v>376848.69901727897</v>
      </c>
    </row>
    <row r="47" spans="3:14" ht="14.4" customHeight="1">
      <c r="C47" s="83" t="s">
        <v>74</v>
      </c>
      <c r="E47" s="256">
        <f>+'Financial Statement Model'!D61</f>
        <v>907000</v>
      </c>
      <c r="F47" s="256">
        <f>+'Financial Statement Model'!E61</f>
        <v>924000</v>
      </c>
      <c r="G47" s="257">
        <f>+'Financial Statement Model'!F61</f>
        <v>1034000</v>
      </c>
      <c r="H47" s="256">
        <f>+'Financial Statement Model'!G61</f>
        <v>1086407.7525622253</v>
      </c>
      <c r="I47" s="256">
        <f>+'Financial Statement Model'!H61</f>
        <v>1155581.633455344</v>
      </c>
      <c r="J47" s="256">
        <f>+'Financial Statement Model'!I61</f>
        <v>1230227.7720021959</v>
      </c>
      <c r="K47" s="256">
        <f>+'Financial Statement Model'!J61</f>
        <v>1305076.0733504756</v>
      </c>
      <c r="L47" s="256">
        <f>+'Financial Statement Model'!K61</f>
        <v>1385678.2384062135</v>
      </c>
    </row>
    <row r="48" spans="3:14" ht="14.4" customHeight="1">
      <c r="C48" s="103" t="s">
        <v>193</v>
      </c>
      <c r="D48" s="103"/>
      <c r="E48" s="236">
        <f t="shared" ref="E48:L48" si="21">SUM(E46:E47)</f>
        <v>1194000</v>
      </c>
      <c r="F48" s="236">
        <f t="shared" si="21"/>
        <v>1272000</v>
      </c>
      <c r="G48" s="237">
        <f t="shared" si="21"/>
        <v>1320000</v>
      </c>
      <c r="H48" s="236">
        <f t="shared" si="21"/>
        <v>1381866.9268552845</v>
      </c>
      <c r="I48" s="236">
        <f t="shared" si="21"/>
        <v>1469853.3186892772</v>
      </c>
      <c r="J48" s="236">
        <f t="shared" si="21"/>
        <v>1564800.2019677486</v>
      </c>
      <c r="K48" s="236">
        <f t="shared" si="21"/>
        <v>1660004.2281913755</v>
      </c>
      <c r="L48" s="236">
        <f t="shared" si="21"/>
        <v>1762526.9374234923</v>
      </c>
    </row>
    <row r="49" spans="3:13" ht="14.4" customHeight="1">
      <c r="E49" s="231"/>
      <c r="F49" s="231"/>
      <c r="G49" s="232"/>
      <c r="H49" s="231"/>
      <c r="I49" s="231"/>
      <c r="J49" s="231"/>
      <c r="K49" s="231"/>
      <c r="L49" s="231"/>
    </row>
    <row r="50" spans="3:13" ht="14.4" customHeight="1">
      <c r="C50" s="103" t="s">
        <v>194</v>
      </c>
      <c r="D50" s="103"/>
      <c r="E50" s="236">
        <f t="shared" ref="E50:L50" si="22">+E44-E48</f>
        <v>588000</v>
      </c>
      <c r="F50" s="236">
        <f t="shared" si="22"/>
        <v>920000</v>
      </c>
      <c r="G50" s="237">
        <f t="shared" si="22"/>
        <v>1017000</v>
      </c>
      <c r="H50" s="236">
        <f t="shared" si="22"/>
        <v>1052538.222579953</v>
      </c>
      <c r="I50" s="236">
        <f t="shared" si="22"/>
        <v>1119555.5588171871</v>
      </c>
      <c r="J50" s="236">
        <f t="shared" si="22"/>
        <v>1191874.5512058761</v>
      </c>
      <c r="K50" s="236">
        <f t="shared" si="22"/>
        <v>1264389.4038276912</v>
      </c>
      <c r="L50" s="236">
        <f t="shared" si="22"/>
        <v>1342478.7393868123</v>
      </c>
    </row>
    <row r="51" spans="3:13" ht="14.4" customHeight="1">
      <c r="E51" s="231"/>
      <c r="F51" s="231"/>
      <c r="G51" s="232"/>
      <c r="H51" s="231"/>
      <c r="I51" s="231"/>
      <c r="J51" s="231"/>
      <c r="K51" s="231"/>
      <c r="L51" s="231"/>
    </row>
    <row r="52" spans="3:13" ht="14.4" customHeight="1">
      <c r="C52" s="105" t="s">
        <v>195</v>
      </c>
      <c r="D52" s="105"/>
      <c r="E52" s="240"/>
      <c r="F52" s="241">
        <f>+F50-E50</f>
        <v>332000</v>
      </c>
      <c r="G52" s="242">
        <f t="shared" ref="G52:L52" si="23">+G50-F50</f>
        <v>97000</v>
      </c>
      <c r="H52" s="241">
        <f t="shared" si="23"/>
        <v>35538.222579953028</v>
      </c>
      <c r="I52" s="241">
        <f t="shared" si="23"/>
        <v>67017.336237234063</v>
      </c>
      <c r="J52" s="241">
        <f t="shared" si="23"/>
        <v>72318.992388688959</v>
      </c>
      <c r="K52" s="241">
        <f t="shared" si="23"/>
        <v>72514.852621815167</v>
      </c>
      <c r="L52" s="241">
        <f t="shared" si="23"/>
        <v>78089.3355591211</v>
      </c>
    </row>
    <row r="53" spans="3:13" ht="14.4" customHeight="1">
      <c r="E53" s="239"/>
      <c r="F53" s="239"/>
      <c r="G53" s="239"/>
      <c r="H53" s="239"/>
      <c r="I53" s="239"/>
      <c r="J53" s="239"/>
      <c r="K53" s="239"/>
      <c r="L53" s="239"/>
    </row>
    <row r="54" spans="3:13" ht="14.4" customHeight="1">
      <c r="C54" s="97" t="str">
        <f>"Present Value of UFCFs as of "&amp;TEXT(D7,("mmm dd, yyyy"))</f>
        <v>Present Value of UFCFs as of Apr 12, 2024</v>
      </c>
      <c r="D54" s="97"/>
      <c r="E54" s="98"/>
      <c r="F54" s="98" t="s">
        <v>196</v>
      </c>
      <c r="G54" s="98"/>
      <c r="H54" s="98" t="s">
        <v>197</v>
      </c>
      <c r="I54" s="98" t="s">
        <v>198</v>
      </c>
      <c r="J54" s="98" t="s">
        <v>199</v>
      </c>
      <c r="K54" s="98" t="s">
        <v>200</v>
      </c>
      <c r="L54" s="98" t="s">
        <v>201</v>
      </c>
    </row>
    <row r="55" spans="3:13" ht="14.4" customHeight="1">
      <c r="C55" s="107" t="s">
        <v>202</v>
      </c>
      <c r="D55" s="107"/>
      <c r="E55" s="108"/>
      <c r="F55" s="109">
        <f>YEARFRAC(D7,H55,1)</f>
        <v>0.55191256830601088</v>
      </c>
      <c r="G55" s="110"/>
      <c r="H55" s="111">
        <f>IF($J$8=0,H$12,AVERAGE(D7,H12))</f>
        <v>45596</v>
      </c>
      <c r="I55" s="111">
        <f>IF($J$8=0,I$12,AVERAGE(H12:I12))</f>
        <v>45961</v>
      </c>
      <c r="J55" s="111">
        <f>IF($J$8=0,J$12,AVERAGE(I12:J12))</f>
        <v>46326</v>
      </c>
      <c r="K55" s="111">
        <f>IF($J$8=0,K$12,AVERAGE(J12:K12))</f>
        <v>46691</v>
      </c>
      <c r="L55" s="111">
        <f>IF($J$8=0,L$12,AVERAGE(K12:L12))</f>
        <v>47057</v>
      </c>
    </row>
    <row r="56" spans="3:13" ht="14.4" customHeight="1">
      <c r="G56" s="112"/>
    </row>
    <row r="57" spans="3:13" ht="14.4" customHeight="1">
      <c r="C57" s="93" t="s">
        <v>203</v>
      </c>
      <c r="D57" s="93"/>
      <c r="E57" s="143"/>
      <c r="F57" s="143"/>
      <c r="G57" s="144"/>
      <c r="H57" s="243">
        <f>+YEARFRAC($D$7,H55,1)</f>
        <v>0.55191256830601088</v>
      </c>
      <c r="I57" s="243">
        <f>+YEARFRAC($D$7,I55,1)</f>
        <v>1.5512995896032831</v>
      </c>
      <c r="J57" s="243">
        <f>+YEARFRAC($D$7,J55,1)</f>
        <v>2.551094890510949</v>
      </c>
      <c r="K57" s="243">
        <f>+YEARFRAC($D$7,K55,1)</f>
        <v>3.5509924709103355</v>
      </c>
      <c r="L57" s="243">
        <f>+YEARFRAC($D$7,L55,1)</f>
        <v>4.5511767925561033</v>
      </c>
    </row>
    <row r="58" spans="3:13" ht="14.4" customHeight="1">
      <c r="E58" s="143"/>
      <c r="F58" s="143"/>
      <c r="G58" s="144"/>
      <c r="H58" s="113"/>
      <c r="I58" s="114"/>
      <c r="J58" s="114"/>
      <c r="K58" s="114"/>
      <c r="L58" s="114"/>
      <c r="M58" s="115"/>
    </row>
    <row r="59" spans="3:13" ht="14.4" customHeight="1">
      <c r="C59" s="83" t="s">
        <v>204</v>
      </c>
      <c r="E59" s="145"/>
      <c r="F59" s="145"/>
      <c r="G59" s="146"/>
      <c r="H59" s="236">
        <f>+H36*F55</f>
        <v>702268.72796644643</v>
      </c>
      <c r="I59" s="236">
        <f>+I36</f>
        <v>1300106.9225381771</v>
      </c>
      <c r="J59" s="236">
        <f>+J36</f>
        <v>1362873.7659242128</v>
      </c>
      <c r="K59" s="236">
        <f>+K36</f>
        <v>1432029.8743230489</v>
      </c>
      <c r="L59" s="236">
        <f>+L36</f>
        <v>1508095.1758387068</v>
      </c>
    </row>
    <row r="60" spans="3:13" ht="14.4" customHeight="1">
      <c r="E60" s="143"/>
      <c r="F60" s="143"/>
      <c r="G60" s="144"/>
      <c r="H60" s="239"/>
      <c r="I60" s="239"/>
      <c r="J60" s="239"/>
      <c r="K60" s="239"/>
      <c r="L60" s="239"/>
    </row>
    <row r="61" spans="3:13" ht="14.4" customHeight="1">
      <c r="C61" s="105" t="s">
        <v>205</v>
      </c>
      <c r="D61" s="105"/>
      <c r="E61" s="142"/>
      <c r="F61" s="142"/>
      <c r="G61" s="147"/>
      <c r="H61" s="241">
        <f>+H59/(1+$J$7)^H57</f>
        <v>664004.15158382047</v>
      </c>
      <c r="I61" s="241">
        <f>+I59/(1+$J$7)^I57</f>
        <v>1110672.1911068168</v>
      </c>
      <c r="J61" s="241">
        <f>+J59/(1+$J$7)^J57</f>
        <v>1051922.6867611178</v>
      </c>
      <c r="K61" s="241">
        <f>+K59/(1+$J$7)^K57</f>
        <v>998612.78276007925</v>
      </c>
      <c r="L61" s="241">
        <f>+L59/(1+$J$7)^L57</f>
        <v>950119.00411303237</v>
      </c>
    </row>
    <row r="62" spans="3:13" ht="14.4" customHeight="1">
      <c r="C62" s="103"/>
      <c r="D62" s="103"/>
      <c r="E62" s="104"/>
      <c r="F62" s="104"/>
      <c r="G62" s="104"/>
      <c r="H62" s="104"/>
      <c r="I62" s="104"/>
      <c r="J62" s="104"/>
      <c r="K62" s="104"/>
      <c r="L62" s="104"/>
    </row>
    <row r="63" spans="3:13" ht="14.4" customHeight="1">
      <c r="C63" s="97" t="s">
        <v>206</v>
      </c>
      <c r="D63" s="97"/>
    </row>
    <row r="64" spans="3:13" ht="14.4" customHeight="1">
      <c r="C64" s="107"/>
      <c r="D64" s="107"/>
    </row>
    <row r="66" spans="3:14" ht="14.4" customHeight="1">
      <c r="C66" s="328" t="s">
        <v>207</v>
      </c>
      <c r="D66" s="255">
        <v>175044.60399999999</v>
      </c>
    </row>
    <row r="67" spans="3:14" ht="14.4" customHeight="1">
      <c r="C67" s="83" t="s">
        <v>208</v>
      </c>
      <c r="D67" s="255">
        <v>2149</v>
      </c>
    </row>
    <row r="68" spans="3:14" ht="14.4" customHeight="1">
      <c r="C68" s="83" t="s">
        <v>209</v>
      </c>
      <c r="D68" s="255">
        <v>1000</v>
      </c>
    </row>
    <row r="69" spans="3:14" ht="14.4" customHeight="1">
      <c r="C69" s="83" t="s">
        <v>210</v>
      </c>
      <c r="D69" s="255">
        <v>0</v>
      </c>
    </row>
    <row r="70" spans="3:14" ht="14.4" customHeight="1">
      <c r="C70" s="83" t="s">
        <v>211</v>
      </c>
      <c r="D70" s="255">
        <v>0</v>
      </c>
    </row>
    <row r="71" spans="3:14" ht="14.4" customHeight="1">
      <c r="C71" s="105" t="s">
        <v>175</v>
      </c>
      <c r="D71" s="241">
        <f>SUM(D66:D70)</f>
        <v>178193.60399999999</v>
      </c>
      <c r="F71" s="116"/>
    </row>
    <row r="72" spans="3:14" ht="14.4" customHeight="1">
      <c r="C72" s="103"/>
      <c r="D72" s="103"/>
      <c r="E72" s="104"/>
      <c r="F72" s="104"/>
      <c r="G72" s="104"/>
      <c r="H72" s="104"/>
      <c r="I72" s="104"/>
      <c r="J72" s="104"/>
      <c r="K72" s="104"/>
      <c r="L72" s="104"/>
    </row>
    <row r="73" spans="3:14" ht="14.4" customHeight="1">
      <c r="C73" s="97" t="s">
        <v>212</v>
      </c>
      <c r="D73" s="97"/>
      <c r="E73" s="98"/>
      <c r="F73" s="98"/>
      <c r="G73" s="98"/>
      <c r="H73" s="98"/>
      <c r="I73" s="98"/>
      <c r="J73" s="98"/>
      <c r="K73" s="98"/>
      <c r="L73" s="98"/>
    </row>
    <row r="74" spans="3:14" ht="14.4" customHeight="1">
      <c r="C74" s="107"/>
      <c r="D74" s="107"/>
      <c r="E74" s="108"/>
      <c r="F74" s="108"/>
      <c r="G74" s="108"/>
      <c r="H74" s="108"/>
      <c r="I74" s="108"/>
      <c r="J74" s="108"/>
      <c r="K74" s="108"/>
      <c r="L74" s="108"/>
    </row>
    <row r="76" spans="3:14" ht="14.4" customHeight="1">
      <c r="C76" s="117" t="s">
        <v>213</v>
      </c>
      <c r="D76" s="118"/>
      <c r="E76" s="118"/>
      <c r="G76" s="119"/>
      <c r="H76" s="117" t="s">
        <v>214</v>
      </c>
      <c r="I76" s="118"/>
      <c r="J76" s="118"/>
      <c r="K76" s="118"/>
      <c r="L76" s="118"/>
    </row>
    <row r="77" spans="3:14" ht="14.4" customHeight="1">
      <c r="C77" s="119"/>
      <c r="D77" s="119"/>
      <c r="E77" s="119"/>
      <c r="G77" s="119"/>
      <c r="H77" s="119"/>
      <c r="I77" s="119"/>
      <c r="J77" s="119"/>
      <c r="K77" s="119"/>
      <c r="L77" s="119"/>
    </row>
    <row r="78" spans="3:14" ht="14.4" customHeight="1">
      <c r="C78" s="120" t="s">
        <v>215</v>
      </c>
      <c r="D78" s="121"/>
      <c r="E78" s="263">
        <v>22</v>
      </c>
      <c r="G78" s="119"/>
      <c r="H78" s="120" t="s">
        <v>216</v>
      </c>
      <c r="I78" s="119"/>
      <c r="J78" s="119"/>
      <c r="K78" s="119"/>
      <c r="L78" s="264">
        <v>0.06</v>
      </c>
    </row>
    <row r="79" spans="3:14" ht="14.4" customHeight="1">
      <c r="C79" s="101"/>
      <c r="G79" s="119"/>
      <c r="N79" s="122"/>
    </row>
    <row r="80" spans="3:14" ht="14.4" customHeight="1">
      <c r="C80" s="120" t="s">
        <v>217</v>
      </c>
      <c r="D80" s="121"/>
      <c r="E80" s="231">
        <f>+E78*L20</f>
        <v>47180161.628779531</v>
      </c>
      <c r="G80" s="119"/>
      <c r="H80" s="120" t="s">
        <v>217</v>
      </c>
      <c r="I80" s="119"/>
      <c r="J80" s="119"/>
      <c r="K80" s="119"/>
      <c r="L80" s="231">
        <f>+L59*(1+L78)/(J7-L78)</f>
        <v>34123311.868128866</v>
      </c>
    </row>
    <row r="81" spans="3:14" ht="14.4" customHeight="1">
      <c r="C81" s="120" t="s">
        <v>218</v>
      </c>
      <c r="D81" s="121"/>
      <c r="E81" s="244">
        <f>+(E80*J7-L59)/(E80+L59)</f>
        <v>7.2563123290316708E-2</v>
      </c>
      <c r="G81" s="74"/>
      <c r="H81" s="120" t="s">
        <v>219</v>
      </c>
      <c r="I81" s="119"/>
      <c r="J81" s="119"/>
      <c r="K81" s="119"/>
      <c r="L81" s="250">
        <f>+L80/L20</f>
        <v>15.911621223461557</v>
      </c>
    </row>
    <row r="82" spans="3:14" ht="14.4" customHeight="1">
      <c r="C82" s="121"/>
      <c r="D82" s="121"/>
      <c r="E82" s="121"/>
      <c r="G82" s="119"/>
      <c r="H82" s="119"/>
      <c r="I82" s="119"/>
      <c r="J82" s="119"/>
      <c r="K82" s="119"/>
      <c r="L82" s="121"/>
    </row>
    <row r="83" spans="3:14" ht="14.4" customHeight="1">
      <c r="C83" s="123" t="s">
        <v>220</v>
      </c>
      <c r="D83" s="121"/>
      <c r="E83" s="245">
        <f>+E80/(1+J7)^L57</f>
        <v>29724097.589330271</v>
      </c>
      <c r="G83" s="119"/>
      <c r="H83" s="123" t="s">
        <v>220</v>
      </c>
      <c r="I83" s="119"/>
      <c r="J83" s="119"/>
      <c r="K83" s="119"/>
      <c r="L83" s="245">
        <f>+L80/(1+J7)^L57</f>
        <v>21498117.365937732</v>
      </c>
    </row>
    <row r="84" spans="3:14" ht="14.4" customHeight="1">
      <c r="C84" s="124" t="s">
        <v>221</v>
      </c>
      <c r="D84" s="125"/>
      <c r="E84" s="246">
        <f>+SUM(H61:L61)</f>
        <v>4775330.8163248664</v>
      </c>
      <c r="G84" s="119"/>
      <c r="H84" s="124" t="s">
        <v>221</v>
      </c>
      <c r="I84" s="126"/>
      <c r="J84" s="126"/>
      <c r="K84" s="126"/>
      <c r="L84" s="246">
        <f>+SUM(H61:L61)</f>
        <v>4775330.8163248664</v>
      </c>
    </row>
    <row r="85" spans="3:14" ht="14.4" customHeight="1">
      <c r="C85" s="127" t="s">
        <v>222</v>
      </c>
      <c r="D85" s="128"/>
      <c r="E85" s="247">
        <f>+E83+E84</f>
        <v>34499428.405655138</v>
      </c>
      <c r="F85" s="129"/>
      <c r="G85" s="119"/>
      <c r="H85" s="127" t="s">
        <v>222</v>
      </c>
      <c r="I85" s="130"/>
      <c r="J85" s="130"/>
      <c r="K85" s="130"/>
      <c r="L85" s="247">
        <f>SUM(L83:L84)</f>
        <v>26273448.182262599</v>
      </c>
      <c r="N85" s="103"/>
    </row>
    <row r="86" spans="3:14" ht="14.4" customHeight="1">
      <c r="C86" s="121"/>
      <c r="D86" s="121"/>
      <c r="E86" s="121"/>
      <c r="G86" s="119"/>
      <c r="H86" s="119"/>
      <c r="I86" s="119"/>
      <c r="J86" s="119"/>
      <c r="K86" s="119"/>
      <c r="L86" s="119"/>
    </row>
    <row r="87" spans="3:14" ht="14.4" customHeight="1">
      <c r="C87" s="131" t="s">
        <v>223</v>
      </c>
      <c r="D87" s="121"/>
      <c r="E87" s="244">
        <f>+E83/E85</f>
        <v>0.86158232072209939</v>
      </c>
      <c r="G87" s="119"/>
      <c r="H87" s="131" t="s">
        <v>223</v>
      </c>
      <c r="I87" s="119"/>
      <c r="J87" s="119"/>
      <c r="K87" s="119"/>
      <c r="L87" s="244">
        <f>+L83/L85</f>
        <v>0.81824499079078894</v>
      </c>
    </row>
    <row r="88" spans="3:14" ht="14.4" customHeight="1">
      <c r="C88" s="121"/>
      <c r="D88" s="121"/>
      <c r="E88" s="121"/>
      <c r="G88" s="119"/>
      <c r="H88" s="119"/>
      <c r="I88" s="119"/>
      <c r="J88" s="119"/>
      <c r="K88" s="119"/>
      <c r="L88" s="119"/>
    </row>
    <row r="89" spans="3:14" ht="14.4" customHeight="1">
      <c r="C89" s="123" t="s">
        <v>224</v>
      </c>
      <c r="D89" s="121"/>
      <c r="E89" s="256">
        <f>+'Financial Statement Model'!F46</f>
        <v>2472000</v>
      </c>
      <c r="G89" s="119"/>
      <c r="H89" s="123" t="s">
        <v>224</v>
      </c>
      <c r="I89" s="119"/>
      <c r="J89" s="119"/>
      <c r="K89" s="119"/>
      <c r="L89" s="231">
        <f>+E89</f>
        <v>2472000</v>
      </c>
    </row>
    <row r="90" spans="3:14" ht="14.4" customHeight="1">
      <c r="C90" s="123" t="s">
        <v>225</v>
      </c>
      <c r="D90" s="121"/>
      <c r="E90" s="256">
        <f>+'Financial Statement Model'!F192+'Financial Statement Model'!F200+'Financial Statement Model'!F201</f>
        <v>1794000</v>
      </c>
      <c r="G90" s="119"/>
      <c r="H90" s="123" t="s">
        <v>225</v>
      </c>
      <c r="L90" s="245">
        <f t="shared" ref="L90:L92" si="24">+E90</f>
        <v>1794000</v>
      </c>
    </row>
    <row r="91" spans="3:14" ht="14.4" customHeight="1">
      <c r="C91" s="123" t="s">
        <v>226</v>
      </c>
      <c r="D91" s="121"/>
      <c r="E91" s="255">
        <v>0</v>
      </c>
      <c r="G91" s="119"/>
      <c r="H91" s="123" t="s">
        <v>226</v>
      </c>
      <c r="L91" s="231">
        <f t="shared" si="24"/>
        <v>0</v>
      </c>
    </row>
    <row r="92" spans="3:14" ht="14.4" customHeight="1">
      <c r="C92" s="123" t="s">
        <v>227</v>
      </c>
      <c r="D92" s="121"/>
      <c r="E92" s="256">
        <f>+'Financial Statement Model'!F177</f>
        <v>0</v>
      </c>
      <c r="G92" s="119"/>
      <c r="H92" s="123" t="s">
        <v>227</v>
      </c>
      <c r="L92" s="245">
        <f t="shared" si="24"/>
        <v>0</v>
      </c>
    </row>
    <row r="93" spans="3:14" ht="14.4" customHeight="1">
      <c r="C93" s="132" t="s">
        <v>228</v>
      </c>
      <c r="D93" s="133"/>
      <c r="E93" s="248">
        <f>+E85+E89-E90-E91-E92</f>
        <v>35177428.405655138</v>
      </c>
      <c r="F93" s="103"/>
      <c r="G93" s="119"/>
      <c r="H93" s="132" t="s">
        <v>228</v>
      </c>
      <c r="I93" s="134"/>
      <c r="J93" s="134"/>
      <c r="K93" s="134"/>
      <c r="L93" s="248">
        <f>+L85+L89-L90-L91-L92</f>
        <v>26951448.182262599</v>
      </c>
      <c r="N93" s="103"/>
    </row>
    <row r="94" spans="3:14" ht="14.4" customHeight="1">
      <c r="C94" s="121"/>
      <c r="D94" s="121"/>
      <c r="E94" s="121"/>
      <c r="G94" s="119"/>
      <c r="H94" s="119"/>
      <c r="I94" s="119"/>
      <c r="J94" s="119"/>
      <c r="K94" s="119"/>
      <c r="L94" s="119"/>
    </row>
    <row r="95" spans="3:14" ht="14.4" customHeight="1">
      <c r="C95" s="135" t="s">
        <v>229</v>
      </c>
      <c r="D95" s="136"/>
      <c r="E95" s="137">
        <f>+E93/D71</f>
        <v>197.41128534363747</v>
      </c>
      <c r="H95" s="135" t="s">
        <v>229</v>
      </c>
      <c r="I95" s="136"/>
      <c r="J95" s="136"/>
      <c r="K95" s="136"/>
      <c r="L95" s="137">
        <f>+L93/D71</f>
        <v>151.24812326183493</v>
      </c>
    </row>
    <row r="96" spans="3:14" ht="14.4" customHeight="1">
      <c r="C96" s="138" t="s">
        <v>230</v>
      </c>
      <c r="D96" s="139"/>
      <c r="E96" s="249">
        <f>+E95/D9-1</f>
        <v>0.23274188424901632</v>
      </c>
      <c r="F96" s="116"/>
      <c r="H96" s="138" t="s">
        <v>230</v>
      </c>
      <c r="I96" s="139"/>
      <c r="J96" s="139"/>
      <c r="K96" s="139"/>
      <c r="L96" s="249">
        <f>+L95/D9-1</f>
        <v>-5.5525644674441432E-2</v>
      </c>
      <c r="M96" s="116"/>
    </row>
    <row r="98" spans="3:20" ht="14.4" customHeight="1">
      <c r="C98" s="117" t="s">
        <v>231</v>
      </c>
      <c r="D98" s="118"/>
      <c r="E98" s="118"/>
      <c r="H98" s="117" t="s">
        <v>231</v>
      </c>
      <c r="I98" s="118"/>
      <c r="J98" s="118"/>
      <c r="K98" s="117"/>
      <c r="L98" s="118"/>
    </row>
    <row r="99" spans="3:20" ht="14.4" customHeight="1">
      <c r="C99" s="93" t="s">
        <v>232</v>
      </c>
      <c r="E99" s="250">
        <f>+E$85/$H14</f>
        <v>6.0093692680388822</v>
      </c>
      <c r="H99" s="93" t="s">
        <v>232</v>
      </c>
      <c r="L99" s="250">
        <f>+L$85/$H14</f>
        <v>4.576506318174828</v>
      </c>
    </row>
    <row r="100" spans="3:20" ht="14.4" customHeight="1">
      <c r="C100" s="93" t="s">
        <v>233</v>
      </c>
      <c r="E100" s="250">
        <f>+E$85/$H20</f>
        <v>20.011015272458923</v>
      </c>
      <c r="H100" s="93" t="s">
        <v>233</v>
      </c>
      <c r="L100" s="250">
        <f>+L$85/$H20</f>
        <v>15.239625615050272</v>
      </c>
    </row>
    <row r="101" spans="3:20" ht="14.4" customHeight="1">
      <c r="C101" s="93" t="s">
        <v>234</v>
      </c>
      <c r="E101" s="250">
        <f>+E$85/$H23</f>
        <v>22.256923214958825</v>
      </c>
      <c r="H101" s="93" t="s">
        <v>234</v>
      </c>
      <c r="L101" s="250">
        <f>+L$85/$H23</f>
        <v>16.950023400647513</v>
      </c>
    </row>
    <row r="103" spans="3:20" ht="14.4" customHeight="1">
      <c r="C103" s="97" t="s">
        <v>235</v>
      </c>
      <c r="D103" s="97"/>
      <c r="E103" s="98"/>
      <c r="F103" s="98"/>
      <c r="G103" s="98"/>
      <c r="H103" s="98"/>
      <c r="I103" s="98"/>
      <c r="J103" s="98"/>
      <c r="K103" s="98"/>
      <c r="L103" s="98"/>
    </row>
    <row r="104" spans="3:20" ht="14.4" customHeight="1">
      <c r="C104" s="107"/>
      <c r="D104" s="107"/>
      <c r="E104" s="108"/>
      <c r="F104" s="108"/>
      <c r="G104" s="108"/>
      <c r="H104" s="108"/>
      <c r="I104" s="108"/>
      <c r="J104" s="108"/>
      <c r="K104" s="108"/>
      <c r="L104" s="108"/>
    </row>
    <row r="106" spans="3:20" ht="14.4" customHeight="1">
      <c r="C106" s="103"/>
      <c r="D106" s="140"/>
      <c r="E106" s="341" t="s">
        <v>260</v>
      </c>
      <c r="F106" s="342"/>
      <c r="G106" s="342"/>
      <c r="H106" s="342"/>
      <c r="I106" s="342"/>
      <c r="J106" s="342"/>
      <c r="K106" s="342"/>
      <c r="L106" s="342"/>
    </row>
    <row r="107" spans="3:20" ht="14.4" customHeight="1">
      <c r="C107" s="103"/>
      <c r="D107" s="343" t="s">
        <v>176</v>
      </c>
      <c r="E107" s="141">
        <f>E95</f>
        <v>197.41128534363747</v>
      </c>
      <c r="F107" s="253">
        <f t="shared" ref="F107:G107" si="25">+G107-0.5</f>
        <v>20.5</v>
      </c>
      <c r="G107" s="253">
        <f t="shared" si="25"/>
        <v>21</v>
      </c>
      <c r="H107" s="253">
        <f>+I107-0.5</f>
        <v>21.5</v>
      </c>
      <c r="I107" s="253">
        <v>22</v>
      </c>
      <c r="J107" s="253">
        <f>+I107+0.5</f>
        <v>22.5</v>
      </c>
      <c r="K107" s="253">
        <f t="shared" ref="K107:L107" si="26">+J107+0.5</f>
        <v>23</v>
      </c>
      <c r="L107" s="253">
        <f t="shared" si="26"/>
        <v>23.5</v>
      </c>
      <c r="N107" s="148"/>
      <c r="O107" s="148"/>
      <c r="P107" s="340"/>
      <c r="Q107" s="340"/>
      <c r="R107" s="340"/>
      <c r="S107" s="340"/>
      <c r="T107" s="340"/>
    </row>
    <row r="108" spans="3:20" ht="14.4" customHeight="1">
      <c r="D108" s="342"/>
      <c r="E108" s="251">
        <f t="shared" ref="E108:E109" si="27">+E109-0.5%</f>
        <v>9.1847178625768189E-2</v>
      </c>
      <c r="F108" s="254">
        <f t="dataTable" ref="F108:L114" dt2D="1" dtr="1" r1="E78" r2="J7"/>
        <v>196.98684242988415</v>
      </c>
      <c r="G108" s="254">
        <v>201.02081816859607</v>
      </c>
      <c r="H108" s="254">
        <v>205.05479390730795</v>
      </c>
      <c r="I108" s="254">
        <v>209.08876964601978</v>
      </c>
      <c r="J108" s="254">
        <v>213.12274538473173</v>
      </c>
      <c r="K108" s="254">
        <v>217.15672112344362</v>
      </c>
      <c r="L108" s="254">
        <v>221.19069686215553</v>
      </c>
      <c r="N108" s="148"/>
      <c r="O108" s="148"/>
      <c r="P108" s="340"/>
      <c r="Q108" s="340"/>
      <c r="R108" s="340"/>
      <c r="S108" s="340"/>
      <c r="T108" s="340"/>
    </row>
    <row r="109" spans="3:20" ht="14.4" customHeight="1">
      <c r="D109" s="342"/>
      <c r="E109" s="251">
        <f t="shared" si="27"/>
        <v>9.6847178625768193E-2</v>
      </c>
      <c r="F109" s="254">
        <v>193.246486633969</v>
      </c>
      <c r="G109" s="254">
        <v>197.19744574708537</v>
      </c>
      <c r="H109" s="254">
        <v>201.14840486020171</v>
      </c>
      <c r="I109" s="254">
        <v>205.09936397331808</v>
      </c>
      <c r="J109" s="254">
        <v>209.05032308643445</v>
      </c>
      <c r="K109" s="254">
        <v>213.00128219955081</v>
      </c>
      <c r="L109" s="254">
        <v>216.95224131266718</v>
      </c>
      <c r="N109" s="148"/>
      <c r="O109" s="148"/>
      <c r="P109" s="340"/>
      <c r="Q109" s="340"/>
      <c r="R109" s="340"/>
      <c r="S109" s="340"/>
      <c r="T109" s="340"/>
    </row>
    <row r="110" spans="3:20" ht="14.4" customHeight="1">
      <c r="D110" s="342"/>
      <c r="E110" s="251">
        <f>+E111-0.5%</f>
        <v>0.1018471786257682</v>
      </c>
      <c r="F110" s="254">
        <v>189.59776717494572</v>
      </c>
      <c r="G110" s="254">
        <v>193.4677840804477</v>
      </c>
      <c r="H110" s="254">
        <v>197.33780098594968</v>
      </c>
      <c r="I110" s="254">
        <v>201.2078178914517</v>
      </c>
      <c r="J110" s="254">
        <v>205.07783479695365</v>
      </c>
      <c r="K110" s="254">
        <v>208.94785170245564</v>
      </c>
      <c r="L110" s="254">
        <v>212.81786860795765</v>
      </c>
      <c r="N110" s="148"/>
      <c r="O110" s="148"/>
      <c r="P110" s="340"/>
      <c r="Q110" s="340"/>
      <c r="R110" s="340"/>
      <c r="S110" s="340"/>
      <c r="T110" s="340"/>
    </row>
    <row r="111" spans="3:20" ht="14.4" customHeight="1">
      <c r="D111" s="342"/>
      <c r="E111" s="251">
        <v>0.1068471786257682</v>
      </c>
      <c r="F111" s="254">
        <v>186.0380206923746</v>
      </c>
      <c r="G111" s="254">
        <v>189.82910890946224</v>
      </c>
      <c r="H111" s="254">
        <v>193.62019712654984</v>
      </c>
      <c r="I111" s="254">
        <v>197.41128534363747</v>
      </c>
      <c r="J111" s="254">
        <v>201.20237356072511</v>
      </c>
      <c r="K111" s="254">
        <v>204.99346177781271</v>
      </c>
      <c r="L111" s="254">
        <v>208.78454999490037</v>
      </c>
      <c r="N111" s="148"/>
      <c r="O111" s="148"/>
      <c r="P111" s="340"/>
      <c r="Q111" s="340"/>
      <c r="R111" s="340"/>
      <c r="S111" s="340"/>
      <c r="T111" s="340"/>
    </row>
    <row r="112" spans="3:20" ht="14.4" customHeight="1">
      <c r="D112" s="342"/>
      <c r="E112" s="251">
        <f>+E111+0.5%</f>
        <v>0.11184717862576821</v>
      </c>
      <c r="F112" s="254">
        <v>182.56467300435278</v>
      </c>
      <c r="G112" s="254">
        <v>186.2787872049467</v>
      </c>
      <c r="H112" s="254">
        <v>189.99290140554052</v>
      </c>
      <c r="I112" s="254">
        <v>193.70701560613438</v>
      </c>
      <c r="J112" s="254">
        <v>197.42112980672829</v>
      </c>
      <c r="K112" s="254">
        <v>201.13524400732211</v>
      </c>
      <c r="L112" s="254">
        <v>204.84935820791605</v>
      </c>
      <c r="N112" s="148"/>
      <c r="O112" s="148"/>
      <c r="P112" s="340"/>
      <c r="Q112" s="340"/>
      <c r="R112" s="340"/>
      <c r="S112" s="340"/>
      <c r="T112" s="340"/>
    </row>
    <row r="113" spans="4:20" ht="14.4" customHeight="1">
      <c r="D113" s="342"/>
      <c r="E113" s="251">
        <f t="shared" ref="E113:E114" si="28">+E112+0.5%</f>
        <v>0.11684717862576821</v>
      </c>
      <c r="F113" s="254">
        <v>179.17523573436753</v>
      </c>
      <c r="G113" s="254">
        <v>182.81427371669747</v>
      </c>
      <c r="H113" s="254">
        <v>186.45331169902735</v>
      </c>
      <c r="I113" s="254">
        <v>190.09234968135723</v>
      </c>
      <c r="J113" s="254">
        <v>193.73138766368717</v>
      </c>
      <c r="K113" s="254">
        <v>197.37042564601705</v>
      </c>
      <c r="L113" s="254">
        <v>201.00946362834696</v>
      </c>
      <c r="N113" s="148"/>
      <c r="O113" s="148"/>
      <c r="P113" s="340"/>
      <c r="Q113" s="340"/>
      <c r="R113" s="340"/>
      <c r="S113" s="340"/>
      <c r="T113" s="340"/>
    </row>
    <row r="114" spans="4:20" ht="14.4" customHeight="1">
      <c r="D114" s="342"/>
      <c r="E114" s="251">
        <f t="shared" si="28"/>
        <v>0.12184717862576822</v>
      </c>
      <c r="F114" s="254">
        <v>175.86730308019003</v>
      </c>
      <c r="G114" s="254">
        <v>179.43310766776079</v>
      </c>
      <c r="H114" s="254">
        <v>182.99891225533159</v>
      </c>
      <c r="I114" s="254">
        <v>186.56471684290236</v>
      </c>
      <c r="J114" s="254">
        <v>190.13052143047315</v>
      </c>
      <c r="K114" s="254">
        <v>193.69632601804389</v>
      </c>
      <c r="L114" s="254">
        <v>197.26213060561469</v>
      </c>
      <c r="N114" s="148"/>
      <c r="O114" s="148"/>
      <c r="P114" s="340"/>
      <c r="Q114" s="340"/>
      <c r="R114" s="340"/>
      <c r="S114" s="340"/>
      <c r="T114" s="340"/>
    </row>
    <row r="116" spans="4:20" ht="14.4" customHeight="1">
      <c r="D116" s="140"/>
      <c r="E116" s="341" t="s">
        <v>216</v>
      </c>
      <c r="F116" s="342"/>
      <c r="G116" s="342"/>
      <c r="H116" s="342"/>
      <c r="I116" s="342"/>
      <c r="J116" s="342"/>
      <c r="K116" s="342"/>
      <c r="L116" s="342"/>
    </row>
    <row r="117" spans="4:20" ht="14.4" customHeight="1">
      <c r="D117" s="343" t="s">
        <v>176</v>
      </c>
      <c r="E117" s="141">
        <f>L95</f>
        <v>151.24812326183493</v>
      </c>
      <c r="F117" s="252">
        <f t="shared" ref="F117:G117" si="29">+G117-0.5%</f>
        <v>4.5000000000000005E-2</v>
      </c>
      <c r="G117" s="252">
        <f t="shared" si="29"/>
        <v>0.05</v>
      </c>
      <c r="H117" s="252">
        <f>+I117-0.5%</f>
        <v>5.5E-2</v>
      </c>
      <c r="I117" s="252">
        <v>0.06</v>
      </c>
      <c r="J117" s="252">
        <f>+I117+0.5%</f>
        <v>6.5000000000000002E-2</v>
      </c>
      <c r="K117" s="252">
        <f t="shared" ref="K117:L117" si="30">+J117+0.5%</f>
        <v>7.0000000000000007E-2</v>
      </c>
      <c r="L117" s="252">
        <f t="shared" si="30"/>
        <v>7.5000000000000011E-2</v>
      </c>
    </row>
    <row r="118" spans="4:20" ht="14.4" customHeight="1">
      <c r="D118" s="342"/>
      <c r="E118" s="251">
        <f t="shared" ref="E118:E119" si="31">+E119-0.5%</f>
        <v>9.1847178625768189E-2</v>
      </c>
      <c r="F118" s="254">
        <f t="dataTable" ref="F118:L124" dt2D="1" dtr="1" r1="L78" r2="J7" ca="1"/>
        <v>158.15140923340027</v>
      </c>
      <c r="G118" s="254">
        <v>173.9506974572619</v>
      </c>
      <c r="H118" s="254">
        <v>194.03777346111184</v>
      </c>
      <c r="I118" s="254">
        <v>220.43218244409019</v>
      </c>
      <c r="J118" s="254">
        <v>256.6579444161103</v>
      </c>
      <c r="K118" s="254">
        <v>309.46514355791339</v>
      </c>
      <c r="L118" s="254">
        <v>393.61717515791412</v>
      </c>
    </row>
    <row r="119" spans="4:20" ht="14.4" customHeight="1">
      <c r="D119" s="342"/>
      <c r="E119" s="251">
        <f t="shared" si="31"/>
        <v>9.6847178625768193E-2</v>
      </c>
      <c r="F119" s="254">
        <v>143.25656409519036</v>
      </c>
      <c r="G119" s="254">
        <v>155.80333869649198</v>
      </c>
      <c r="H119" s="254">
        <v>171.34834998024834</v>
      </c>
      <c r="I119" s="254">
        <v>191.11214052025028</v>
      </c>
      <c r="J119" s="254">
        <v>217.08175254674669</v>
      </c>
      <c r="K119" s="254">
        <v>252.72448977887291</v>
      </c>
      <c r="L119" s="254">
        <v>304.6817991773504</v>
      </c>
    </row>
    <row r="120" spans="4:20" ht="14.4" customHeight="1">
      <c r="D120" s="342"/>
      <c r="E120" s="251">
        <f>+E121-0.5%</f>
        <v>0.1018471786257682</v>
      </c>
      <c r="F120" s="254">
        <v>130.98286750005337</v>
      </c>
      <c r="G120" s="254">
        <v>141.15687819518064</v>
      </c>
      <c r="H120" s="254">
        <v>153.50263348487587</v>
      </c>
      <c r="I120" s="254">
        <v>168.79858893026167</v>
      </c>
      <c r="J120" s="254">
        <v>188.24573206921193</v>
      </c>
      <c r="K120" s="254">
        <v>213.79926955080421</v>
      </c>
      <c r="L120" s="254">
        <v>248.87095336642724</v>
      </c>
    </row>
    <row r="121" spans="4:20" ht="14.4" customHeight="1">
      <c r="D121" s="342"/>
      <c r="E121" s="251">
        <v>0.1068471786257682</v>
      </c>
      <c r="F121" s="254">
        <v>120.69458708087161</v>
      </c>
      <c r="G121" s="254">
        <v>129.08753933004238</v>
      </c>
      <c r="H121" s="254">
        <v>139.09927826570785</v>
      </c>
      <c r="I121" s="254">
        <v>151.24812326183493</v>
      </c>
      <c r="J121" s="254">
        <v>166.30011379729979</v>
      </c>
      <c r="K121" s="254">
        <v>185.43708209682566</v>
      </c>
      <c r="L121" s="254">
        <v>210.58304997662893</v>
      </c>
    </row>
    <row r="122" spans="4:20" ht="14.4" customHeight="1">
      <c r="D122" s="342"/>
      <c r="E122" s="251">
        <f t="shared" ref="E122:E124" si="32">+E121+0.5%</f>
        <v>0.11184717862576821</v>
      </c>
      <c r="F122" s="254">
        <v>111.94619552131034</v>
      </c>
      <c r="G122" s="254">
        <v>118.97027446803595</v>
      </c>
      <c r="H122" s="254">
        <v>127.22996072483861</v>
      </c>
      <c r="I122" s="254">
        <v>137.08273005303096</v>
      </c>
      <c r="J122" s="254">
        <v>149.03867178503009</v>
      </c>
      <c r="K122" s="254">
        <v>163.85166197874727</v>
      </c>
      <c r="L122" s="254">
        <v>182.68476734713303</v>
      </c>
    </row>
    <row r="123" spans="4:20" ht="14.4" customHeight="1">
      <c r="D123" s="342"/>
      <c r="E123" s="251">
        <f t="shared" si="32"/>
        <v>0.11684717862576821</v>
      </c>
      <c r="F123" s="254">
        <v>104.41618664939959</v>
      </c>
      <c r="G123" s="254">
        <v>110.36704409435455</v>
      </c>
      <c r="H123" s="254">
        <v>117.28008891425237</v>
      </c>
      <c r="I123" s="254">
        <v>125.40920900596046</v>
      </c>
      <c r="J123" s="254">
        <v>135.1062292818587</v>
      </c>
      <c r="K123" s="254">
        <v>146.87317576470343</v>
      </c>
      <c r="L123" s="254">
        <v>161.45200750941362</v>
      </c>
    </row>
    <row r="124" spans="4:20" ht="14.4" customHeight="1">
      <c r="D124" s="342"/>
      <c r="E124" s="251">
        <f t="shared" si="32"/>
        <v>0.12184717862576822</v>
      </c>
      <c r="F124" s="254">
        <v>97.866728747927993</v>
      </c>
      <c r="G124" s="254">
        <v>102.96174531809324</v>
      </c>
      <c r="H124" s="254">
        <v>108.81895061108978</v>
      </c>
      <c r="I124" s="254">
        <v>115.62320076904908</v>
      </c>
      <c r="J124" s="254">
        <v>123.62438810532505</v>
      </c>
      <c r="K124" s="254">
        <v>133.16880065623198</v>
      </c>
      <c r="L124" s="254">
        <v>144.75056376503505</v>
      </c>
    </row>
  </sheetData>
  <mergeCells count="9">
    <mergeCell ref="P107:T114"/>
    <mergeCell ref="E116:L116"/>
    <mergeCell ref="D117:D124"/>
    <mergeCell ref="E11:G11"/>
    <mergeCell ref="H11:L11"/>
    <mergeCell ref="E38:G38"/>
    <mergeCell ref="H38:L38"/>
    <mergeCell ref="E106:L106"/>
    <mergeCell ref="D107:D114"/>
  </mergeCells>
  <conditionalFormatting sqref="F108:L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3" operator="equal">
      <formula>$E$107</formula>
    </cfRule>
  </conditionalFormatting>
  <conditionalFormatting sqref="F118:L1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4" operator="equal">
      <formula>$E$117</formula>
    </cfRule>
  </conditionalFormatting>
  <dataValidations disablePrompts="1" count="1">
    <dataValidation type="list" allowBlank="1" showErrorMessage="1" sqref="J8" xr:uid="{AA91FED2-0F85-4A64-A39A-0D783D54CB62}">
      <formula1>"0,1"</formula1>
    </dataValidation>
  </dataValidations>
  <pageMargins left="0.7" right="0.7" top="0.75" bottom="0.75" header="0" footer="0"/>
  <pageSetup orientation="portrait"/>
  <rowBreaks count="2" manualBreakCount="2">
    <brk id="62" man="1"/>
    <brk id="10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2779-9C84-4E18-B6EF-05F0BEDA1CD8}">
  <sheetPr>
    <pageSetUpPr fitToPage="1"/>
  </sheetPr>
  <dimension ref="C2:L52"/>
  <sheetViews>
    <sheetView showGridLines="0" zoomScale="85" zoomScaleNormal="85" workbookViewId="0"/>
  </sheetViews>
  <sheetFormatPr defaultColWidth="14.44140625" defaultRowHeight="14.4" customHeight="1"/>
  <cols>
    <col min="1" max="1" width="1.6640625" style="30" customWidth="1"/>
    <col min="2" max="2" width="2.6640625" style="30" customWidth="1"/>
    <col min="3" max="3" width="45.6640625" style="30" customWidth="1"/>
    <col min="4" max="12" width="12.5546875" style="30" bestFit="1" customWidth="1"/>
    <col min="13" max="13" width="2.6640625" style="30" customWidth="1"/>
    <col min="14" max="26" width="8.6640625" style="30" customWidth="1"/>
    <col min="27" max="16384" width="14.44140625" style="30"/>
  </cols>
  <sheetData>
    <row r="2" spans="3:12" ht="18" customHeight="1">
      <c r="C2" s="31" t="str">
        <f>"WACC Build For "&amp;D5</f>
        <v>WACC Build For Keysight Technologies, Inc.</v>
      </c>
      <c r="D2" s="31"/>
      <c r="E2" s="32"/>
      <c r="F2" s="32"/>
      <c r="G2" s="32"/>
      <c r="H2" s="32"/>
      <c r="I2" s="32"/>
      <c r="J2" s="32"/>
      <c r="K2" s="32"/>
      <c r="L2" s="32"/>
    </row>
    <row r="3" spans="3:12" ht="14.4" customHeight="1" thickBot="1">
      <c r="C3" s="33" t="s">
        <v>31</v>
      </c>
      <c r="D3" s="33"/>
      <c r="E3" s="34"/>
      <c r="F3" s="34"/>
      <c r="G3" s="34"/>
      <c r="H3" s="34"/>
      <c r="I3" s="34"/>
      <c r="J3" s="86" t="s">
        <v>173</v>
      </c>
      <c r="K3" s="34"/>
      <c r="L3" s="34"/>
    </row>
    <row r="4" spans="3:12" ht="14.4" customHeight="1">
      <c r="C4" s="35"/>
      <c r="D4" s="35"/>
      <c r="J4" s="87"/>
    </row>
    <row r="5" spans="3:12" ht="14.4" customHeight="1">
      <c r="C5" s="36" t="s">
        <v>1</v>
      </c>
      <c r="D5" s="80" t="str">
        <f>'Revenue Build &amp; Growth Drivers'!D5</f>
        <v>Keysight Technologies, Inc.</v>
      </c>
      <c r="G5" s="36" t="s">
        <v>174</v>
      </c>
      <c r="J5" s="297">
        <f>+'Integrated DCF Model'!D66</f>
        <v>175044.60399999999</v>
      </c>
    </row>
    <row r="6" spans="3:12" ht="14.4" customHeight="1">
      <c r="C6" s="36" t="s">
        <v>3</v>
      </c>
      <c r="D6" s="81" t="str">
        <f>'Revenue Build &amp; Growth Drivers'!D6</f>
        <v>KEYS</v>
      </c>
      <c r="G6" s="36" t="s">
        <v>175</v>
      </c>
      <c r="J6" s="297">
        <f>+'Integrated DCF Model'!D71</f>
        <v>178193.60399999999</v>
      </c>
    </row>
    <row r="7" spans="3:12" ht="14.4" customHeight="1">
      <c r="C7" s="36" t="s">
        <v>5</v>
      </c>
      <c r="D7" s="82">
        <f>'Revenue Build &amp; Growth Drivers'!D7</f>
        <v>45394</v>
      </c>
      <c r="G7" s="36"/>
      <c r="J7" s="51"/>
    </row>
    <row r="8" spans="3:12" ht="14.4" customHeight="1">
      <c r="C8" s="36" t="s">
        <v>6</v>
      </c>
      <c r="D8" s="82">
        <f>'Revenue Build &amp; Growth Drivers'!D8</f>
        <v>45393</v>
      </c>
      <c r="G8" s="36"/>
      <c r="H8" s="36"/>
      <c r="I8" s="36"/>
    </row>
    <row r="9" spans="3:12" ht="14.4" customHeight="1">
      <c r="C9" s="36" t="s">
        <v>7</v>
      </c>
      <c r="D9" s="260">
        <f>'Revenue Build &amp; Growth Drivers'!D9</f>
        <v>160.13999999999999</v>
      </c>
    </row>
    <row r="11" spans="3:12" ht="14.4" customHeight="1">
      <c r="C11" s="40" t="s">
        <v>236</v>
      </c>
      <c r="D11" s="40"/>
      <c r="F11" s="40" t="s">
        <v>237</v>
      </c>
      <c r="G11" s="71"/>
      <c r="H11" s="71"/>
      <c r="I11" s="71"/>
      <c r="J11" s="71"/>
      <c r="K11" s="71"/>
      <c r="L11" s="71"/>
    </row>
    <row r="12" spans="3:12" ht="14.4" customHeight="1">
      <c r="C12" s="71"/>
      <c r="D12" s="71"/>
      <c r="F12" s="71"/>
      <c r="G12" s="71"/>
      <c r="H12" s="71"/>
      <c r="I12" s="71"/>
      <c r="J12" s="71"/>
      <c r="K12" s="71"/>
      <c r="L12" s="71"/>
    </row>
    <row r="14" spans="3:12" ht="14.4" customHeight="1">
      <c r="C14" s="30" t="s">
        <v>238</v>
      </c>
      <c r="D14" s="269">
        <f>+'Financial Statement Model'!F195</f>
        <v>0</v>
      </c>
      <c r="F14" s="72" t="str">
        <f>D5&amp;" ("&amp;D6&amp;")"</f>
        <v>Keysight Technologies, Inc. (KEYS)</v>
      </c>
      <c r="G14" s="73"/>
      <c r="H14" s="73"/>
      <c r="J14" s="72" t="s">
        <v>239</v>
      </c>
      <c r="K14" s="73"/>
      <c r="L14" s="73"/>
    </row>
    <row r="15" spans="3:12" ht="14.4" customHeight="1">
      <c r="C15" s="329" t="s">
        <v>240</v>
      </c>
      <c r="D15" s="269">
        <f>+'Financial Statement Model'!F202</f>
        <v>78000</v>
      </c>
      <c r="F15" s="78" t="s">
        <v>241</v>
      </c>
      <c r="G15" s="78" t="s">
        <v>242</v>
      </c>
      <c r="H15" s="78" t="s">
        <v>243</v>
      </c>
      <c r="J15" s="78" t="s">
        <v>241</v>
      </c>
      <c r="K15" s="78" t="s">
        <v>242</v>
      </c>
      <c r="L15" s="78" t="s">
        <v>243</v>
      </c>
    </row>
    <row r="16" spans="3:12" ht="14.4" customHeight="1">
      <c r="C16" s="43" t="s">
        <v>244</v>
      </c>
      <c r="D16" s="211">
        <f>SUM(D14:D15)</f>
        <v>78000</v>
      </c>
      <c r="F16" s="265">
        <v>44317</v>
      </c>
      <c r="G16" s="266">
        <v>142.38000500000001</v>
      </c>
      <c r="H16" s="275"/>
      <c r="J16" s="265">
        <v>44317</v>
      </c>
      <c r="K16" s="266">
        <v>4204.1098629999997</v>
      </c>
      <c r="L16" s="275"/>
    </row>
    <row r="17" spans="3:12" ht="14.4" customHeight="1">
      <c r="D17" s="270"/>
      <c r="F17" s="265">
        <v>44348</v>
      </c>
      <c r="G17" s="266">
        <v>154.41000399999999</v>
      </c>
      <c r="H17" s="267">
        <f>+G17/G16-1</f>
        <v>8.4492193970634899E-2</v>
      </c>
      <c r="J17" s="265">
        <v>44348</v>
      </c>
      <c r="K17" s="266">
        <v>4297.5</v>
      </c>
      <c r="L17" s="267">
        <f>+K17/K16-1</f>
        <v>2.2214009634219822E-2</v>
      </c>
    </row>
    <row r="18" spans="3:12" ht="14.4" customHeight="1">
      <c r="C18" s="36" t="s">
        <v>143</v>
      </c>
      <c r="D18" s="269">
        <f>+AVERAGE('Financial Statement Model'!E192:F192)</f>
        <v>0</v>
      </c>
      <c r="F18" s="265">
        <v>44378</v>
      </c>
      <c r="G18" s="266">
        <v>164.550003</v>
      </c>
      <c r="H18" s="267">
        <f t="shared" ref="H18:H51" si="0">+G18/G17-1</f>
        <v>6.566931375767604E-2</v>
      </c>
      <c r="J18" s="265">
        <v>44378</v>
      </c>
      <c r="K18" s="266">
        <v>4395.2597660000001</v>
      </c>
      <c r="L18" s="267">
        <f t="shared" ref="L18:L51" si="1">+K18/K17-1</f>
        <v>2.2748054915648686E-2</v>
      </c>
    </row>
    <row r="19" spans="3:12" ht="14.4" customHeight="1">
      <c r="C19" s="30" t="s">
        <v>245</v>
      </c>
      <c r="D19" s="269">
        <f>+AVERAGE('Financial Statement Model'!E200:F200)</f>
        <v>299500</v>
      </c>
      <c r="F19" s="265">
        <v>44409</v>
      </c>
      <c r="G19" s="266">
        <v>179.38000500000001</v>
      </c>
      <c r="H19" s="267">
        <f t="shared" si="0"/>
        <v>9.0124592705112194E-2</v>
      </c>
      <c r="J19" s="265">
        <v>44409</v>
      </c>
      <c r="K19" s="266">
        <v>4522.6801759999998</v>
      </c>
      <c r="L19" s="267">
        <f t="shared" si="1"/>
        <v>2.8990416217415271E-2</v>
      </c>
    </row>
    <row r="20" spans="3:12" ht="14.4" customHeight="1">
      <c r="C20" s="30" t="s">
        <v>246</v>
      </c>
      <c r="D20" s="269">
        <f>+AVERAGE('Financial Statement Model'!E201:F201)</f>
        <v>1494000</v>
      </c>
      <c r="F20" s="265">
        <v>44440</v>
      </c>
      <c r="G20" s="266">
        <v>164.28999300000001</v>
      </c>
      <c r="H20" s="267">
        <f t="shared" si="0"/>
        <v>-8.4123155197815991E-2</v>
      </c>
      <c r="J20" s="265">
        <v>44440</v>
      </c>
      <c r="K20" s="266">
        <v>4307.5400390000004</v>
      </c>
      <c r="L20" s="267">
        <f t="shared" si="1"/>
        <v>-4.7569168861786748E-2</v>
      </c>
    </row>
    <row r="21" spans="3:12" ht="14.4" customHeight="1">
      <c r="C21" s="43" t="s">
        <v>247</v>
      </c>
      <c r="D21" s="211">
        <f>SUM(D18:D20)</f>
        <v>1793500</v>
      </c>
      <c r="F21" s="265">
        <v>44470</v>
      </c>
      <c r="G21" s="266">
        <v>180.020004</v>
      </c>
      <c r="H21" s="267">
        <f t="shared" si="0"/>
        <v>9.5745399416993004E-2</v>
      </c>
      <c r="J21" s="265">
        <v>44470</v>
      </c>
      <c r="K21" s="266">
        <v>4605.3798829999996</v>
      </c>
      <c r="L21" s="267">
        <f t="shared" si="1"/>
        <v>6.9143836459647501E-2</v>
      </c>
    </row>
    <row r="22" spans="3:12" ht="14.4" customHeight="1">
      <c r="F22" s="265">
        <v>44501</v>
      </c>
      <c r="G22" s="266">
        <v>194.479996</v>
      </c>
      <c r="H22" s="267">
        <f t="shared" si="0"/>
        <v>8.0324362174772457E-2</v>
      </c>
      <c r="J22" s="265">
        <v>44501</v>
      </c>
      <c r="K22" s="266">
        <v>4567</v>
      </c>
      <c r="L22" s="267">
        <f t="shared" si="1"/>
        <v>-8.3337062251199745E-3</v>
      </c>
    </row>
    <row r="23" spans="3:12" ht="14.4" customHeight="1">
      <c r="C23" s="36" t="s">
        <v>248</v>
      </c>
      <c r="D23" s="271">
        <f>+D16/D21</f>
        <v>4.3490381934764427E-2</v>
      </c>
      <c r="F23" s="265">
        <v>44531</v>
      </c>
      <c r="G23" s="266">
        <v>206.509995</v>
      </c>
      <c r="H23" s="267">
        <f t="shared" si="0"/>
        <v>6.1857256517014791E-2</v>
      </c>
      <c r="J23" s="265">
        <v>44531</v>
      </c>
      <c r="K23" s="266">
        <v>4766.1801759999998</v>
      </c>
      <c r="L23" s="267">
        <f t="shared" si="1"/>
        <v>4.361291350996277E-2</v>
      </c>
    </row>
    <row r="24" spans="3:12" ht="14.4" customHeight="1">
      <c r="C24" s="36" t="s">
        <v>58</v>
      </c>
      <c r="D24" s="272">
        <f>+IF('Financial Statement Model'!F41&lt;0,AVERAGEIFS('Financial Statement Model'!D41:F41,'Financial Statement Model'!D41:F41,"&gt;0"),'Financial Statement Model'!F41)</f>
        <v>0.2210759027266028</v>
      </c>
      <c r="F24" s="265">
        <v>44562</v>
      </c>
      <c r="G24" s="266">
        <v>168.820007</v>
      </c>
      <c r="H24" s="267">
        <f t="shared" si="0"/>
        <v>-0.1825092678928204</v>
      </c>
      <c r="J24" s="265">
        <v>44562</v>
      </c>
      <c r="K24" s="266">
        <v>4515.5498049999997</v>
      </c>
      <c r="L24" s="267">
        <f t="shared" si="1"/>
        <v>-5.258516500531063E-2</v>
      </c>
    </row>
    <row r="25" spans="3:12" ht="14.4" customHeight="1">
      <c r="F25" s="265">
        <v>44593</v>
      </c>
      <c r="G25" s="266">
        <v>157.36999499999999</v>
      </c>
      <c r="H25" s="267">
        <f t="shared" si="0"/>
        <v>-6.7823785838369344E-2</v>
      </c>
      <c r="J25" s="265">
        <v>44593</v>
      </c>
      <c r="K25" s="266">
        <v>4373.9399409999996</v>
      </c>
      <c r="L25" s="267">
        <f t="shared" si="1"/>
        <v>-3.1360492102910142E-2</v>
      </c>
    </row>
    <row r="26" spans="3:12" ht="14.4" customHeight="1">
      <c r="C26" s="79" t="s">
        <v>249</v>
      </c>
      <c r="D26" s="273">
        <f>+D23*(1-D24)</f>
        <v>3.3875706488611643E-2</v>
      </c>
      <c r="F26" s="265">
        <v>44621</v>
      </c>
      <c r="G26" s="266">
        <v>157.970001</v>
      </c>
      <c r="H26" s="267">
        <f t="shared" si="0"/>
        <v>3.8127090237247696E-3</v>
      </c>
      <c r="J26" s="265">
        <v>44621</v>
      </c>
      <c r="K26" s="266">
        <v>4530.4101559999999</v>
      </c>
      <c r="L26" s="267">
        <f t="shared" si="1"/>
        <v>3.5773288410591908E-2</v>
      </c>
    </row>
    <row r="27" spans="3:12" ht="14.4" customHeight="1">
      <c r="F27" s="265">
        <v>44652</v>
      </c>
      <c r="G27" s="266">
        <v>140.270004</v>
      </c>
      <c r="H27" s="267">
        <f t="shared" si="0"/>
        <v>-0.11204657142465924</v>
      </c>
      <c r="J27" s="265">
        <v>44652</v>
      </c>
      <c r="K27" s="266">
        <v>4131.9301759999998</v>
      </c>
      <c r="L27" s="267">
        <f t="shared" si="1"/>
        <v>-8.7956711705729274E-2</v>
      </c>
    </row>
    <row r="28" spans="3:12" ht="14.4" customHeight="1">
      <c r="C28" s="40" t="s">
        <v>250</v>
      </c>
      <c r="D28" s="40"/>
      <c r="F28" s="265">
        <v>44682</v>
      </c>
      <c r="G28" s="266">
        <v>145.60000600000001</v>
      </c>
      <c r="H28" s="267">
        <f t="shared" si="0"/>
        <v>3.799815960652575E-2</v>
      </c>
      <c r="J28" s="265">
        <v>44682</v>
      </c>
      <c r="K28" s="266">
        <v>4132.1499020000001</v>
      </c>
      <c r="L28" s="267">
        <f t="shared" si="1"/>
        <v>5.3177568506868056E-5</v>
      </c>
    </row>
    <row r="29" spans="3:12" ht="14.4" customHeight="1">
      <c r="C29" s="71"/>
      <c r="D29" s="71"/>
      <c r="F29" s="265">
        <v>44713</v>
      </c>
      <c r="G29" s="266">
        <v>137.85000600000001</v>
      </c>
      <c r="H29" s="267">
        <f t="shared" si="0"/>
        <v>-5.3228019784559599E-2</v>
      </c>
      <c r="J29" s="265">
        <v>44713</v>
      </c>
      <c r="K29" s="266">
        <v>3785.3798830000001</v>
      </c>
      <c r="L29" s="267">
        <f t="shared" si="1"/>
        <v>-8.3919999812243073E-2</v>
      </c>
    </row>
    <row r="30" spans="3:12" ht="14.4" customHeight="1">
      <c r="F30" s="265">
        <v>44743</v>
      </c>
      <c r="G30" s="266">
        <v>162.60000600000001</v>
      </c>
      <c r="H30" s="267">
        <f t="shared" si="0"/>
        <v>0.17954297368692163</v>
      </c>
      <c r="J30" s="265">
        <v>44743</v>
      </c>
      <c r="K30" s="266">
        <v>4130.2900390000004</v>
      </c>
      <c r="L30" s="267">
        <f t="shared" si="1"/>
        <v>9.1116391659653351E-2</v>
      </c>
    </row>
    <row r="31" spans="3:12" ht="14.4" customHeight="1">
      <c r="C31" s="36" t="s">
        <v>251</v>
      </c>
      <c r="D31" s="294">
        <v>5.5E-2</v>
      </c>
      <c r="F31" s="265">
        <v>44774</v>
      </c>
      <c r="G31" s="266">
        <v>163.88999899999999</v>
      </c>
      <c r="H31" s="267">
        <f t="shared" si="0"/>
        <v>7.9335359926122617E-3</v>
      </c>
      <c r="J31" s="265">
        <v>44774</v>
      </c>
      <c r="K31" s="266">
        <v>3955</v>
      </c>
      <c r="L31" s="267">
        <f t="shared" si="1"/>
        <v>-4.2440128258508625E-2</v>
      </c>
    </row>
    <row r="32" spans="3:12" ht="14.4" customHeight="1">
      <c r="C32" s="36" t="s">
        <v>252</v>
      </c>
      <c r="D32" s="294">
        <v>4.5600000000000002E-2</v>
      </c>
      <c r="F32" s="265">
        <v>44805</v>
      </c>
      <c r="G32" s="266">
        <v>157.36000100000001</v>
      </c>
      <c r="H32" s="267">
        <f t="shared" si="0"/>
        <v>-3.9843785708974067E-2</v>
      </c>
      <c r="J32" s="265">
        <v>44805</v>
      </c>
      <c r="K32" s="266">
        <v>3585.6201169999999</v>
      </c>
      <c r="L32" s="267">
        <f t="shared" si="1"/>
        <v>-9.3395672060682666E-2</v>
      </c>
    </row>
    <row r="33" spans="3:12" ht="14.4" customHeight="1">
      <c r="C33" s="36" t="s">
        <v>253</v>
      </c>
      <c r="D33" s="274">
        <f>+L52</f>
        <v>1.1969956037075207</v>
      </c>
      <c r="F33" s="265">
        <v>44835</v>
      </c>
      <c r="G33" s="266">
        <v>174.14999399999999</v>
      </c>
      <c r="H33" s="267">
        <f t="shared" si="0"/>
        <v>0.10669797212316978</v>
      </c>
      <c r="J33" s="265">
        <v>44835</v>
      </c>
      <c r="K33" s="266">
        <v>3871.9799800000001</v>
      </c>
      <c r="L33" s="267">
        <f t="shared" si="1"/>
        <v>7.9863413762746971E-2</v>
      </c>
    </row>
    <row r="34" spans="3:12" ht="14.4" customHeight="1">
      <c r="F34" s="265">
        <v>44866</v>
      </c>
      <c r="G34" s="266">
        <v>180.88999899999999</v>
      </c>
      <c r="H34" s="267">
        <f t="shared" si="0"/>
        <v>3.8702298203926455E-2</v>
      </c>
      <c r="J34" s="265">
        <v>44866</v>
      </c>
      <c r="K34" s="266">
        <v>4080.110107</v>
      </c>
      <c r="L34" s="267">
        <f t="shared" si="1"/>
        <v>5.3752893371106669E-2</v>
      </c>
    </row>
    <row r="35" spans="3:12" ht="14.4" customHeight="1">
      <c r="C35" s="79" t="s">
        <v>254</v>
      </c>
      <c r="D35" s="273">
        <f>+D32+D33*D31</f>
        <v>0.11143475820391364</v>
      </c>
      <c r="F35" s="265">
        <v>44896</v>
      </c>
      <c r="G35" s="266">
        <v>171.070007</v>
      </c>
      <c r="H35" s="267">
        <f t="shared" si="0"/>
        <v>-5.428709190274239E-2</v>
      </c>
      <c r="J35" s="265">
        <v>44896</v>
      </c>
      <c r="K35" s="266">
        <v>3839.5</v>
      </c>
      <c r="L35" s="267">
        <f t="shared" si="1"/>
        <v>-5.8971473977430078E-2</v>
      </c>
    </row>
    <row r="36" spans="3:12" ht="14.4" customHeight="1">
      <c r="F36" s="265">
        <v>44927</v>
      </c>
      <c r="G36" s="266">
        <v>179.35000600000001</v>
      </c>
      <c r="H36" s="267">
        <f t="shared" si="0"/>
        <v>4.8401231432696479E-2</v>
      </c>
      <c r="J36" s="265">
        <v>44927</v>
      </c>
      <c r="K36" s="266">
        <v>4076.6000979999999</v>
      </c>
      <c r="L36" s="267">
        <f t="shared" si="1"/>
        <v>6.1752857924208815E-2</v>
      </c>
    </row>
    <row r="37" spans="3:12" ht="14.4" customHeight="1">
      <c r="C37" s="40" t="s">
        <v>255</v>
      </c>
      <c r="D37" s="40"/>
      <c r="F37" s="265">
        <v>44958</v>
      </c>
      <c r="G37" s="266">
        <v>159.96000699999999</v>
      </c>
      <c r="H37" s="267">
        <f t="shared" si="0"/>
        <v>-0.10811261974532649</v>
      </c>
      <c r="J37" s="265">
        <v>44958</v>
      </c>
      <c r="K37" s="266">
        <v>3970.1499020000001</v>
      </c>
      <c r="L37" s="267">
        <f t="shared" si="1"/>
        <v>-2.6112494098262107E-2</v>
      </c>
    </row>
    <row r="38" spans="3:12" ht="14.4" customHeight="1">
      <c r="C38" s="71"/>
      <c r="D38" s="71"/>
      <c r="F38" s="265">
        <v>44986</v>
      </c>
      <c r="G38" s="266">
        <v>161.479996</v>
      </c>
      <c r="H38" s="267">
        <f t="shared" si="0"/>
        <v>9.502306410876793E-3</v>
      </c>
      <c r="J38" s="265">
        <v>44986</v>
      </c>
      <c r="K38" s="266">
        <v>4109.3100590000004</v>
      </c>
      <c r="L38" s="267">
        <f t="shared" si="1"/>
        <v>3.5051612769053664E-2</v>
      </c>
    </row>
    <row r="39" spans="3:12" ht="14.4" customHeight="1">
      <c r="F39" s="265">
        <v>45017</v>
      </c>
      <c r="G39" s="266">
        <v>144.63999899999999</v>
      </c>
      <c r="H39" s="267">
        <f t="shared" si="0"/>
        <v>-0.10428534442123727</v>
      </c>
      <c r="J39" s="265">
        <v>45017</v>
      </c>
      <c r="K39" s="266">
        <v>4169.4799800000001</v>
      </c>
      <c r="L39" s="267">
        <f t="shared" si="1"/>
        <v>1.4642341448102281E-2</v>
      </c>
    </row>
    <row r="40" spans="3:12" ht="14.4" customHeight="1">
      <c r="C40" s="30" t="s">
        <v>247</v>
      </c>
      <c r="D40" s="269">
        <f>+'Financial Statement Model'!F192+'Financial Statement Model'!F200+'Financial Statement Model'!F201</f>
        <v>1794000</v>
      </c>
      <c r="F40" s="265">
        <v>45047</v>
      </c>
      <c r="G40" s="266">
        <v>161.800003</v>
      </c>
      <c r="H40" s="267">
        <f t="shared" si="0"/>
        <v>0.11863940900608005</v>
      </c>
      <c r="J40" s="265">
        <v>45047</v>
      </c>
      <c r="K40" s="266">
        <v>4179.830078</v>
      </c>
      <c r="L40" s="267">
        <f t="shared" si="1"/>
        <v>2.4823474509163557E-3</v>
      </c>
    </row>
    <row r="41" spans="3:12" ht="14.4" customHeight="1">
      <c r="C41" s="36" t="s">
        <v>256</v>
      </c>
      <c r="D41" s="271">
        <f>+D40/(D40+D42)</f>
        <v>5.9149505785413441E-2</v>
      </c>
      <c r="F41" s="265">
        <v>45078</v>
      </c>
      <c r="G41" s="266">
        <v>167.449997</v>
      </c>
      <c r="H41" s="267">
        <f t="shared" si="0"/>
        <v>3.4919616163418654E-2</v>
      </c>
      <c r="J41" s="265">
        <v>45078</v>
      </c>
      <c r="K41" s="266">
        <v>4450.3798829999996</v>
      </c>
      <c r="L41" s="267">
        <f t="shared" si="1"/>
        <v>6.4727464980933958E-2</v>
      </c>
    </row>
    <row r="42" spans="3:12" ht="14.4" customHeight="1">
      <c r="C42" s="30" t="s">
        <v>257</v>
      </c>
      <c r="D42" s="210">
        <f>+D9*J6</f>
        <v>28535923.744559996</v>
      </c>
      <c r="F42" s="265">
        <v>45108</v>
      </c>
      <c r="G42" s="266">
        <v>161.08000200000001</v>
      </c>
      <c r="H42" s="267">
        <f t="shared" si="0"/>
        <v>-3.8041177152126182E-2</v>
      </c>
      <c r="J42" s="265">
        <v>45108</v>
      </c>
      <c r="K42" s="266">
        <v>4588.9599609999996</v>
      </c>
      <c r="L42" s="267">
        <f t="shared" si="1"/>
        <v>3.113893232561149E-2</v>
      </c>
    </row>
    <row r="43" spans="3:12" ht="14.4" customHeight="1">
      <c r="C43" s="36" t="s">
        <v>256</v>
      </c>
      <c r="D43" s="271">
        <f>+D42/(D40+D42)</f>
        <v>0.94085049421458655</v>
      </c>
      <c r="F43" s="265">
        <v>45139</v>
      </c>
      <c r="G43" s="266">
        <v>133.300003</v>
      </c>
      <c r="H43" s="267">
        <f t="shared" si="0"/>
        <v>-0.17246088064985254</v>
      </c>
      <c r="J43" s="265">
        <v>45139</v>
      </c>
      <c r="K43" s="266">
        <v>4507.6601559999999</v>
      </c>
      <c r="L43" s="267">
        <f t="shared" si="1"/>
        <v>-1.7716390138710958E-2</v>
      </c>
    </row>
    <row r="44" spans="3:12" ht="14.4" customHeight="1">
      <c r="D44" s="70"/>
      <c r="F44" s="265">
        <v>45170</v>
      </c>
      <c r="G44" s="266">
        <v>132.30999800000001</v>
      </c>
      <c r="H44" s="267">
        <f t="shared" si="0"/>
        <v>-7.4268940564089503E-3</v>
      </c>
      <c r="J44" s="265">
        <v>45170</v>
      </c>
      <c r="K44" s="266">
        <v>4288.0498049999997</v>
      </c>
      <c r="L44" s="267">
        <f t="shared" si="1"/>
        <v>-4.8719367343539433E-2</v>
      </c>
    </row>
    <row r="45" spans="3:12" ht="14.4" customHeight="1">
      <c r="C45" s="79" t="s">
        <v>258</v>
      </c>
      <c r="D45" s="273">
        <f>D41*D26+D43*D35</f>
        <v>0.1068471786257682</v>
      </c>
      <c r="F45" s="265">
        <v>45200</v>
      </c>
      <c r="G45" s="266">
        <v>122.050003</v>
      </c>
      <c r="H45" s="267">
        <f t="shared" si="0"/>
        <v>-7.7545122478197004E-2</v>
      </c>
      <c r="J45" s="265">
        <v>45200</v>
      </c>
      <c r="K45" s="266">
        <v>4193.7998049999997</v>
      </c>
      <c r="L45" s="267">
        <f t="shared" si="1"/>
        <v>-2.1979688736381231E-2</v>
      </c>
    </row>
    <row r="46" spans="3:12" ht="14.4" customHeight="1">
      <c r="F46" s="265">
        <v>45231</v>
      </c>
      <c r="G46" s="266">
        <v>135.88999899999999</v>
      </c>
      <c r="H46" s="267">
        <f t="shared" si="0"/>
        <v>0.11339611355847312</v>
      </c>
      <c r="J46" s="265">
        <v>45231</v>
      </c>
      <c r="K46" s="266">
        <v>4567.7998049999997</v>
      </c>
      <c r="L46" s="267">
        <f t="shared" si="1"/>
        <v>8.9179268775324783E-2</v>
      </c>
    </row>
    <row r="47" spans="3:12" ht="14.4" customHeight="1">
      <c r="F47" s="265">
        <v>45261</v>
      </c>
      <c r="G47" s="266">
        <v>159.08999600000001</v>
      </c>
      <c r="H47" s="267">
        <f t="shared" si="0"/>
        <v>0.1707263019407339</v>
      </c>
      <c r="J47" s="265">
        <v>45261</v>
      </c>
      <c r="K47" s="266">
        <v>4769.830078</v>
      </c>
      <c r="L47" s="267">
        <f t="shared" si="1"/>
        <v>4.4229231057555163E-2</v>
      </c>
    </row>
    <row r="48" spans="3:12" ht="14.4" customHeight="1">
      <c r="F48" s="265">
        <v>45292</v>
      </c>
      <c r="G48" s="266">
        <v>153.259995</v>
      </c>
      <c r="H48" s="267">
        <f t="shared" si="0"/>
        <v>-3.6645930898131507E-2</v>
      </c>
      <c r="J48" s="265">
        <v>45292</v>
      </c>
      <c r="K48" s="266">
        <v>4845.6499020000001</v>
      </c>
      <c r="L48" s="267">
        <f t="shared" si="1"/>
        <v>1.5895707553547078E-2</v>
      </c>
    </row>
    <row r="49" spans="6:12" ht="14.4" customHeight="1">
      <c r="F49" s="265">
        <v>45323</v>
      </c>
      <c r="G49" s="266">
        <v>154.300003</v>
      </c>
      <c r="H49" s="267">
        <f t="shared" si="0"/>
        <v>6.7859065244000316E-3</v>
      </c>
      <c r="J49" s="265">
        <v>45323</v>
      </c>
      <c r="K49" s="266">
        <v>5096.2700199999999</v>
      </c>
      <c r="L49" s="267">
        <f t="shared" si="1"/>
        <v>5.1720640795068329E-2</v>
      </c>
    </row>
    <row r="50" spans="6:12" ht="14.4" customHeight="1">
      <c r="F50" s="265">
        <v>45352</v>
      </c>
      <c r="G50" s="266">
        <v>156.38000500000001</v>
      </c>
      <c r="H50" s="267">
        <f t="shared" si="0"/>
        <v>1.3480246011401631E-2</v>
      </c>
      <c r="J50" s="265">
        <v>45352</v>
      </c>
      <c r="K50" s="266">
        <v>5254.3500979999999</v>
      </c>
      <c r="L50" s="267">
        <f t="shared" si="1"/>
        <v>3.1018779887961978E-2</v>
      </c>
    </row>
    <row r="51" spans="6:12" ht="14.4" customHeight="1">
      <c r="F51" s="265">
        <v>45383</v>
      </c>
      <c r="G51" s="266">
        <v>147.94000199999999</v>
      </c>
      <c r="H51" s="267">
        <f t="shared" si="0"/>
        <v>-5.3971113506487089E-2</v>
      </c>
      <c r="J51" s="265">
        <v>45383</v>
      </c>
      <c r="K51" s="266">
        <v>5035.6899409999996</v>
      </c>
      <c r="L51" s="267">
        <f t="shared" si="1"/>
        <v>-4.1615071877915133E-2</v>
      </c>
    </row>
    <row r="52" spans="6:12" ht="14.4" customHeight="1">
      <c r="F52" s="84"/>
      <c r="G52" s="84"/>
      <c r="H52" s="84"/>
      <c r="I52" s="84"/>
      <c r="J52" s="84"/>
      <c r="K52" s="85" t="s">
        <v>259</v>
      </c>
      <c r="L52" s="268">
        <f>+SLOPE(H17:H51,L17:L51)</f>
        <v>1.1969956037075207</v>
      </c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FdsFormulaCache xmlns="urn:fdsformulacache" version="1" timestamp="1774985313092"><![CDATA[{"CDNS^FF_SALES(ANN_R,12/31/2021,,,,,T)":[[2988244]],"CDNS^FF_SALES(ANN_R,12/31/2022,,,,,T)":[[3561718]],"CDNS^FF_SALES(ANN_R,12/31/2023,,,,,T)":[[4089986]],"CDNS-US^FF_COGS(ANN_R,12/31/2021,,,,,T)":[[326646]],"CDNS-US^FF_COGS(ANN_R,12/31/2022,,,,,T)":[[390093]],"CDNS-US^FF_COGS(ANN_R,12/31/2023,,,,,T)":[[453203]],"CDNS-US^FF_GROSS_INC(ANN_R,12/31/2021,,,,,T)":[[2661598]],"CDNS-US^FF_GROSS_INC(ANN_R,12/31/2022,,,,,T)":[[3171625]],"CDNS-US^FF_GROSS_INC(ANN_R,12/31/2023,,,,,T)":[[3636783]],"CDNS-US^FF_RD_EXP(ANN_R,12/31/2021,,,,,T)":[[1134277]],"CDNS-US^FF_RD_EXP(ANN_R,12/31/2022,,,,,T)":[[1251544]],"CDNS-US^FF_RD_EXP(ANN_R,12/31/2023,,,,,T)":[[1441796]],"CDNS-US^FF_SGA(ANN_R,12/31/2021,,,,,T)":[[1883557]],"CDNS-US^FF_SGA(ANN_R,12/31/2022,,,,,T)":[[2097884]],"CDNS-US^FF_SGA(ANN_R,12/31/2023,,,,,T)":[[2362445]],"CDNS-US^FF_ARPT_SERIES(\"RV\",ANN,12/31/2021,,M,\"IS\")":[[2988.244]],"CDNS-US^FF_OPER_EXP_OTH(ANN_R,12/31/2021,,,,,T)":[[0]],"CDNS-US^FF_OPER_EXP_OTH(ANN_R,12/31/2022,,,,,T)":[[0]],"CDNS-US^FF_OPER_EXP_OTH(ANN_R,12/31/2023,,,,,T)":[[0]],"CDNS-US^FF_EBIT_OPER(ANN_R,12/31/2021,,,,,T)":[[778041]],"CDNS-US^FF_EBIT_OPER(ANN_R,12/31/2022,,,,,T)":[[1073741]],"CDNS-US^FF_EBIT_OPER(ANN_R,12/31/2023,,,,,T)":[[1274338]],"CDNS-US^FF_INT_EXP_NET(ANN_R,12/31/2021,,,,,T)":[[16980]],"CDNS-US^FF_INT_EXP_NET(ANN_R,12/31/2022,,,,,T)":[[22934]],"CDNS-US^FF_INT_EXP_NET(ANN_R,12/31/2023,,,,,T)":[[36185]],"CDNS-US^FF_NON_OPER_INC(ANN_R,12/31/2021,,,,,T)":[[6326]],"CDNS-US^FF_NON_OPER_INC(ANN_R,12/31/2022,,,,,T)":[[-5389]],"CDNS-US^FF_NON_OPER_INC(ANN_R,12/31/2023,,,,,T)":[[56035]],"CDNS-US^FF_UNUSUAL_EXP(ANN_R,12/31/2021,,,,,T)":[[-1048]],"CDNS-US^FF_UNUSUAL_EXP(ANN_R,12/31/2022,,,,,T)":[[55]],"CDNS-US^FF_UNUSUAL_EXP(ANN_R,12/31/2023,,,,,T)":[[12262]],"CDNS-US^FF_PTX_INC(ANN_R,12/31/2021,,,,,T)":[[768435]],"CDNS-US^FF_PTX_INC(ANN_R,12/31/2022,,,,,T)":[[1045363]],"CDNS-US^FF_PTX_INC(ANN_R,12/31/2023,,,,,T)":[[1281926]],"CDNS-US^FF_INC_TAX(ANN_R,12/31/2021,,,,,T)":[[72480]],"CDNS-US^FF_INC_TAX(ANN_R,12/31/2022,,,,,T)":[[196411]],"CDNS-US^FF_INC_TAX(ANN_R,12/31/2023,,,,,T)":[[240782]],"CDNS-US^FF_EQ_AFF_INC(ANN_R,12/31/2021)":[["@NA"]],"CDNS-US^FF_EQ_AFF_INC(ANN_R,12/31/2022)":[["@NA"]],"CDNS-US^FF_EQ_AFF_INC(ANN_R,12/31/2023)":[["@NA"]],"CDNS-US^FF_NET_INC(ANN_R,12/31/2021,,,,,T)":[[695955]],"CDNS-US^FF_NET_INC(ANN_R,12/31/2022,,,,,T)":[[848952]],"CDNS-US^FF_NET_INC(ANN_R,12/31/2023,,,,,T)":[[1041144]],"CDNS-US^FF_NET_INC_BASIC(ANN_R,12/31/2021,,,,,T)":[[695955]],"CDNS-US^FF_NET_INC_BASIC(ANN_R,12/31/2022,,,,,T)":[[848952]],"CDNS-US^FF_NET_INC_BASIC(ANN_R,12/31/2023,,,,,T)":[[1041144]],"CDNS-US^FF_DEP_AMORT_EXP(ANN_R,12/31/2021,,,,,T)":[[142308]],"CDNS-US^FF_DEP_AMORT_EXP(ANN_R,12/31/2022,,,,,T)":[[132088]],"CDNS-US^FF_DEP_AMORT_EXP(ANN_R,12/31/2023,,,,,T)":[[140370]],"CDNS-US^FF_EBITDA_OPER(ANN_R,12/31/2021,,,,,T)":[[920349]],"CDNS-US^FF_EBITDA_OPER(ANN_R,12/31/2022,,,,,T)":[[1205829]],"CDNS-US^FF_EBITDA_OPER(ANN_R,12/31/2023,,,,,T)":[[1414708]],"CDNS-US^FF_STK_OPT_CF(ANN_R,12/31/2021,,,,,T,\"D=1\")":[[210090]],"CDNS-US^FF_STK_OPT_CF(ANN_R,12/31/2022,,,,,T,\"D=1\")":[[270439]],"CDNS-US^FF_STK_OPT_CF(ANN_R,12/31/2023,,,,,T,\"D=1\")":[[325611]],"CDNS-US^FF_CASH_ST(ANN_R,12/31/2021,,,,,T)":[[1088940]],"CDNS-US^FF_CASH_ST(ANN_R,12/31/2022,,,,,T)":[[882325]],"CDNS-US^FF_CASH_ST(ANN_R,12/31/2023,,,,,T)":[[1138511]],"CDNS-US^FF_ARPT_SERIES(\"RECEIVABLES NET\",ANN,12/31/2021,,T,\"BS\")":[[337596]],"CDNS-US^FF_ARPT_SERIES(\"RECEIVABLES NET\",ANN,12/31/2022,,T,\"BS\")":[[486710]],"CDNS-US^FF_ARPT_SERIES(\"RECEIVABLES NET\",ANN,12/31/2023,,T,\"BS\")":[[489224]],"CDNS-US^FF_ARPT_KEYS(\"BS\")":[["TA"],["TOTAL CURRENT ASSETS"],["CASH AND CASH EQUIVALENTS"],["RECEIVABLES NET"],["INVENTORIES"],["2015 NOTES HEDGES"],["PREPAID EXPENSES AND OTHER"],["SHORT-TERM INVESTMENTS"],["PREPAID EXPENSES AND OTHER EXCLUDING SHORT-TERM INVESTMENTS"],["PROPERTY PLANT AND EQUIPMENT NET OF ACCUMULATED DEPRECIATION"],["GOODWILL"],["ACQUIRED INTANGIBLES NET OF ACCUMULATED AMORTIZATION"],["LONG-TERM RECEIVABLES"],["DEFERRED TAXES"],["OTHER ASSETS"],["2015 NOTES HEDGES2"],["OTHER ASSETS EXCLUDING 2015 NOTES HEDGES"],["LE"],["TOTAL CURRENT LIABILITIES"],["REVOLVING CREDIT FACILITY"],["CONVERTIBLE NOTES"],["CURRENT PORTION OF LONG-TERM DEBT"],["2015 NOTES EMBEDDED CONVERSION DERIVATIVE"],["ACCOUNTS PAYABLE AND ACCRUED LIABILITIES"],["CURRENT PORTION OF DEFERRED REVENUE"],["TOTAL LONG-TERM LIABILITIES"],["LONG-TERM PORTION OF DEFERRED REVENUE"],["CONVERTIBLE NOTES2"],["LONG-TERM DEBT"],["OTHER LONG-TERM LIABILITIES"],["2015 NOTES EMBEDDED CONVERSION DERIVATIVE2"],["OTHER LONG-TERM LIABILITIES EXCLUDING 2015 NOTES EMBEDDED CONVERSION DERIVATIVE"],["TOTAL STOCKHOLDERS EQUITY"],["PREFERRED STOCK"],["COMMON STOCK"],["TREASURY STOCK AT COST"],["DEFERRED STOCK COMPENSATION"],["ACCUMULATED DEFICIT / RETAINED EARNINGS"],["ACCUMULATED OTHER COMPREHENSIVE LOSS / INCOME"]],"CDNS-US^FF_ARPT_SERIES(\"PREPAID EXPENSES AND OTHER\",ANN,12/31/2021,,T,\"BS\")":[[173512]],"CDNS-US^FF_ARPT_SERIES(\"PREPAID EXPENSES AND OTHER\",ANN,12/31/2022,,T,\"BS\")":[[209727]],"CDNS-US^FF_ARPT_SERIES(\"PREPAID EXPENSES AND OTHER\",ANN,12/31/2023,,T,\"BS\")":[[297180]],"CDNS-US^FF_INVEN(ANN_R,12/31/2021,,,,,T)":[[115721]],"CDNS-US^FF_INVEN(ANN_R,12/31/2022,,,,,T)":[[128005]],"CDNS-US^FF_INVEN(ANN_R,12/31/2023,,,,,T)":[[181661]],"CDNS-US^FF_GW(ANN_R,12/31/2021,,,,,T)":[[928358]],"CDNS-US^FF_GW(ANN_R,12/31/2022,,,,,T)":[[1374268]],"CDNS-US^FF_GW(ANN_R,12/31/2023,,,,,T)":[[1535845]],"CDNS-US^FF_ARPT_SERIES(\"PROPERTY PLANT AND EQUIPMENT NET OF ACCUMULATED DEPRECIATION\",ANN,12/31/2021,,T,\"BS\")":[[305911]],"CDNS-US^FF_ARPT_SERIES(\"PROPERTY PLANT AND EQUIPMENT NET OF ACCUMULATED DEPRECIATION\",ANN,12/31/2022,,T,\"BS\")":[[371451]],"CDNS-US^FF_ARPT_SERIES(\"PROPERTY PLANT AND EQUIPMENT NET OF ACCUMULATED DEPRECIATION\",ANN,12/31/2023,,T,\"BS\")":[[403213]],"CDNS-US^FF_ARPT_SERIES(\"OTHER ASSETS\",ANN,12/31/2021,,T,\"BS\")":[[439226]],"CDNS-US^FF_ASSETS(ANN_R,12/31/2021,,,,,T)":[[4386299]],"CDNS-US^FF_ARPT_SERIES(\"ACQUIRED INTANGIBLES NET OF ACCUMULATED AMORTIZATION\",ANN,12/31/2021,,T,\"BS\")":[[233265]],"CDNS-US^FF_ARPT_SERIES(\"DEFERRED TAXES\",ANN,12/31/2021,,T,\"BS\")":[[763770]],"CDNS-US^FF_ARPT_SERIES(\"OTHER ASSETS\",ANN,12/31/2022,,T,\"BS\")":[[476277]],"CDNS-US^FF_ARPT_SERIES(\"ACQUIRED INTANGIBLES NET OF ACCUMULATED AMORTIZATION\",ANN,12/31/2022,,T,\"BS\")":[[354617]],"CDNS-US^FF_ARPT_SERIES(\"DEFERRED TAXES\",ANN,12/31/2022,,T,\"BS\")":[[853691]],"CDNS-US^FF_ARPT_SERIES(\"OTHER ASSETS\",ANN,12/31/2023,,T,\"BS\")":[[537372]],"CDNS-US^FF_ARPT_SERIES(\"ACQUIRED INTANGIBLES NET OF ACCUMULATED AMORTIZATION\",ANN,12/31/2023,,T,\"BS\")":[[336843]],"CDNS-US^FF_ARPT_SERIES(\"DEFERRED TAXES\",ANN,12/31/2023,,T,\"BS\")":[[880001]],"CDNS-US^FF_ASSETS(ANN_R,12/31/2022,,,,,T)":[[5137071]],"CDNS-US^FF_ASSETS(ANN_R,12/31/2023,,,,,T)":[[5669491]],"CDNS-US^FF_DEBT_REVOLV_SECURE_CURR(ANN,12/31/2021)":[["@NA"]],"CDNS-US^SHORT-FF_DEBT_REVOLV_SECURE_CURR(ANN,12/31/2021)":[["@NA"]],"CDNS-US^FF_DEBT_REVOLV_SECURE_CURR(ANN,12/31/2022)":[["@NA"]],"CDNS-US^SHORT-FF_DEBT_REVOLV_SECURE_CURR(ANN,12/31/2022)":[["@NA"]],"CDNS-US^FF_ARPT_SERIES(\"REVOLVING CREDIT FACILITY\",ANN,12/31/2021,,T,\"BS\")":[["@NA"]],"CDNS-US^FF_ARPT_SERIES(\"REVOLVING CREDIT FACILITY\",ANN,12/31/2022,,T,\"BS\")":[[100000]],"CDNS-US^FF_ARPT_SERIES(\"REVOLVING CREDIT FACILITY\",ANN,12/31/2023,,T,\"BS\")":[[0]],"CDNS-US^FF_PAY_ACCT(ANN_R,12/31/2021,,,,,T)":[[0]],"CDNS-US^FF_ARPT_SERIES(\"ACCOUNTS PAYABLE AND ACCRUED LIABILITIES\",ANN,12/31/2021,,T,\"BS\")":[[417283]],"CDNS-US^FF_ARPT_SERIES(\"ACCOUNTS PAYABLE AND ACCRUED LIABILITIES\",ANN,12/31/2023,,T,\"BS\")":[[576558]],"CDNS-US^FF_ARPT_SERIES(\"ACCOUNTS PAYABLE AND ACCRUED LIABILITIES\",ANN,12/31/2022,,T,\"BS\")":[[557158]],"CDNS-US^FE_ACTUAL(ACTUAL,DEFREVENUE_ST,ANN_ROLL,2021,,,,'')":[[604.45]],"CDNS-US^FF_ARPT_SERIES(\"CURRENT PORTION OF DEFERRED REVENUE\",ANN,12/31/2021,,T,\"BS\")":[[553942]],"CDNS-US^FF_ARPT_SERIES(\"CURRENT PORTION OF DEFERRED REVENUE\",ANN,12/31/2022,,T,\"BS\")":[[690538]],"CDNS-US^FF_ARPT_SERIES(\"CURRENT PORTION OF DEFERRED REVENUE\",ANN,12/31/2023,,T,\"BS\")":[[665024]],"CDNS-US^FF_ARPT_SERIES(\"CURRENT PORTION OF LONG-TERM DEBT\",ANN,12/31/2021,,T,\"BS\")":[["@NA"]],"CDNS-US^FF_ARPT_SERIES(\"CURRENT PORTION OF LONG-TERM DEBT\",ANN,12/31/2022,,T,\"BS\")":[["@NA"]],"CDNS-US^FF_ARPT_SERIES(\"CURRENT PORTION OF LONG-TERM DEBT\",ANN,12/31/2023,,T,\"BS\")":[[349285]],"CDNS-US^FF_ARPT_SERIES(\"OTHER LONG-TERM LIABILITIES\",ANN,12/31/2021,,T,\"BS\")":[[225663]],"CDNS-US^FF_ARPT_SERIES(\"OTHER LONG-TERM LIABILITIES\",ANN,12/31/2022,,T,\"BS\")":[[304660]],"CDNS-US^FF_ARPT_SERIES(\"OTHER LONG-TERM LIABILITIES\",ANN,12/31/2023,,T,\"BS\")":[[275651]],"CDNS-US^FF_LIABS_CURR_OTH(ANN_R,12/31/2021)":[[945.954]],"CDNS-US^FF_LIABS_CURR_OTH(ANN_R,12/31/2021,,,,,T)":[[945954]],"CDNS-US^FF_ARPT_SERIES(\"LONG-TERM PORTION OF DEFERRED REVENUE\",ANN,12/31/2023,,T,\"BS\")":[[98931]],"CDNS-US^FF_ARPT_SERIES(\"LONG-TERM PORTION OF DEFERRED REVENUE\",ANN,12/31/2021,,T,\"BS\")":[[101148]],"CDNS-US^FF_ARPT_SERIES(\"LONG-TERM PORTION OF DEFERRED REVENUE\",ANN,12/31/2022,,T,\"BS\")":[[91524]],"CDNS-US^FF_ARPT_SERIES(\"LONG-TERM DEBT\",ANN,12/31/2021,,T,\"BS\")":[[347588]],"CDNS-US^FF_ARPT_SERIES(\"LONG-TERM DEBT\",ANN,12/31/2022,,T,\"BS\")":[[648078]],"CDNS-US^FF_ARPT_SERIES(\"LONG-TERM DEBT\",ANN,12/31/2023,,T,\"BS\")":[[299771]],"CDNS-US^FF_LIABS(ANN_R,12/31/2021,,,,,T)":[[1645624]],"CDNS-US^FF_LIABS(ANN_R,12/31/2022,,,,,T)":[[2391958]],"CDNS-US^FF_LIABS(ANN_R,12/31/2023,,,,,T)":[[2265220]],"CDNS-US^FF_ARPT_SERIES(\"COMMON STOCK\",ANN,12/31/2021,,T,\"BS\")":[[2467701]],"CDNS-US^FF_ARPT_SERIES(\"TREASURY STOCK AT COST\",ANN,12/31/2021,,T,\"BS\")":[[-2740003]],"CDNS-US^FF_ARPT_SERIES(\"COMMON STOCK\",ANN,12/31/2022,,T,\"BS\")":[["@NA"]],"CDNS-US^FF_ARPT_SERIES(\"COMMON STOCK\",ANN,12/31/2023,,T,\"BS\")":[[3166964]],"CDNS-US^FF_ARPT_SERIES(\"TREASURY STOCK AT COST\",ANN,12/31/2023,,T,\"BS\")":[[-4604323]],"CDNS-US^FF_ARPT_SERIES(\"TREASURY STOCK AT COST\",ANN,12/31/2022,,T,\"BS\")":[["@NA"]],"CDNS-US^FF_ARPT_SERIES(\"DEFERRED STOCK COMPENSATION\",ANN,12/31/2021,,T,\"BS\")":[["@NA"]],"CDNS-US^FF_ARPT_SERIES(\"DEFERRED STOCK COMPENSATION\",ANN,12/31/2023,,T,\"BS\")":[["@NA"]],"CDNS-US^FF_ARPT_SERIES(\"DEFERRED STOCK COMPENSATION\",ANN,12/31/2022,,T,\"BS\")":[["@NA"]],"CDNS-US^FF_TREAS_STK(ANN_R,12/31/2022,,,,,T)":[[3824163]],"CDNS-US^FF_COM_EQ_PAR(ANN_R,12/31/2021,,,,,T)":[[2467701]],"CDNS-US^FF_ARPT_SERIES(\"TREASURY STOCK AT COST\",ANN,12/31/2022,,T,\"BS\"":[["#NUM!"]],"CDNS-US^FF_COM_EQ_PAR(ANN_R,12/31/2022,,,,,T)":[[2765673]],"CDNS-US^FF_TREAS_STK(ANN_R,12/31/2021,,,,,T)":[[2740003]],"CDNS-US^FF_COM_EQ_PAR(ANN_R,12/31/2023,,,,,T)":[[3166964]],"CDNS-US^FF_TREAS_STK(ANN_R,12/31/2023,,,,,T)":[[4604323]],"CDNS-US^FF_COM_EQ_RETAIN_EARN(ANN_R,12/31/2021,,,,,T)":[[3046288]],"CDNS-US^FF_COM_EQ_RETAIN_EARN(ANN_R,12/31/2022,,,,,T)":[[3895240]],"CDNS-US^FF_COM_EQ_RETAIN_EARN(ANN_R,12/31/2023,,,,,T)":[[4936384]],"CDNS-US^FF_ARPT_SERIES(\"ACCUMULATED OTHER COMPREHENSIVE LOSS / INCOME\",ANN,12/31/2021,,T,\"BS\")":[[-33311]],"CDNS-US^FF_ARPT_SERIES(\"ACCUMULATED OTHER COMPREHENSIVE LOSS / INCOME\",ANN,12/31/2023,,T,\"BS\")":[[-94754]],"CDNS-US^FF_ARPT_SERIES(\"ACCUMULATED OTHER COMPREHENSIVE LOSS / INCOME\",ANN,12/31/2022,,T,\"BS\")":[["@NA"]],"CDNS-US^FF_ARPT_SERIES('ACCUMULATED OTHER COMPREHENSIVE LOSS / INCOME',ANN,12/31/2022,,T,\"BS\")":[["@NA"]],"CDNS-US^FF_ARPT_SERIES('ACCUMULATED OTHER COMPREHENSIVE LOSS / INCOME',ANN,2022,,T,\"BS\")":[["@NA"]],"CDNS-US^FF_ARPT_SERIES('ACCUMULATED OTHER COMPREHENSIVE LOSS / INCOME','ANN_R','0','-9','M','BS')@0":[[-1.805],[-190.448],[-94.754],[-91.637],[-33.311],[-17.425],[-36.926],[-24.78],[-3.63],[-25.16]],"CDNS^FF_ARPT_SERIES('ACCUMULATED OTHER COMPREHENSIVE LOSS / INCOME','ANN_R','0','-9','M','BS')@0":[[-1.805],[-190.448],[-94.754],[-91.637],[-33.311],[-17.425],[-36.926],[-24.78],[-3.63],[-25.16]],"CDNS^FF_ARPT_SERIES('ACCUMULATED OTHER COMPREHENSIVE LOSS / INCOME','ANN_R','0','-9','T','BS')@0":[[-1805],[-190448],[-94754],[-91637],[-33311],[-17425],[-36926],[-24780],[-3630],[-25160]],"CDNS^FF_ARPT('ACCUMULATED OTHER COMPREHENSIVE LOSS / INCOME','ANN_R','2022','','','BS')":[["#NUM!"]],"CDNS^FF_ARPT_SERIES('ACCUMULATED OTHER COMPREHENSIVE LOSS / INCOME','ANN_R','2022','2022','T','BS')@0":[[-91637]],"CDNS-US^FF_ARPT_SERIES(\"ACCUMULATED OTHER COMPREHENSIVE LOSS / INCOME\",ANN,12/31/2022,12/31/2022,T,\"BS\")":[["@NA"]],"CDNS-US^FF_ARPT_SERIES(\"ACCUMULATED OTHER COMPREHENSIVE LOSS / INCOME\",ANN,2022,,T,\"BS\")":[["@NA"]],"CDNS^FF_ARPT_SERIES('ACCUMULATED OTHER COMPREHENSIVE LOSS / INCOME','ANN_R','2021','2021','T','BS')@0":[[-33311]],"CDNS^FF_ARPT_SERIES('ACCUMULATED OTHER COMPREHENSIVE LOSS / INCOME','ANN_R','2023','2023','T','BS')@0":[[-94754]],"CDNS-US^FF_SHLDRS_EQ(ANN_R,12/31/2021,,,,,T)":[[2740675]],"CDNS-US^FF_SHLDRS_EQ(ANN_R,12/31/2022,,,,,T)":[[2745113]],"CDNS-US^FF_SHLDRS_EQ(ANN_R,12/31/2023,,,,,T)":[[3404271]],"CDNS-US^FF_EQ_TOT(ANN_R,12/31/2021,,,,,T)":[[2740675]],"CDNS-US^FF_EQ_TOT(ANN_R,12/31/2023,,,,,T)":[[3404271]],"CDNS-US^FF_EQ_TOT(ANN_R,12/31/2022,,,,,T)":[[2745113]],"CDNS-US^FF_LIABS_SHLDRS_EQ(ANN_R,12/31/2021,,,,,T)":[[4386299]],"CDNS-US^FF_LIABS_SHLDRS_EQ(ANN_R,12/31/2023,,,,,T)":[[5669491]],"CDNS-US^FF_LIABS_SHLDRS_EQ(ANN_R,12/31/2022,,,,,T)":[[5137071]],"CDNS-US^FF_ARPT_SERIES(\"CASH AND CASH EQUIVALENTS\",ANN,12/31/2023,,T,\"BS\")":[[1008152]],"CDNS-US^FF_ARPT_SERIES(\"CASH AND CASH EQUIVALENTS\",ANN,12/31/2021,,T,\"BS\")":[[1088940]],"CDNS-US^FF_ARPT_SERIES(\"CASH AND CASH EQUIVALENTS\",ANN,12/31/2022,,T,\"BS\")":[[882325]],"CDNS-US^FF_ARPT_SERIES(\"INVENTORIES\",ANN,12/31/2023,,T,\"BS\")":[[181661]],"CDNS-US^FF_ARPT_SERIES(\"INVENTORIES\",ANN,12/31/2021,,T,\"BS\")":[[115721]],"CDNS-US^FF_ARPT_SERIES(\"INVENTORIES\",ANN,12/31/2022,,T,\"BS\")":[[128005]],"CDNS-US^FF_ARPT_SERIES(\"GOODWILL\",ANN,12/31/2022,,T,\"BS\")":[[1374268]],"CDNS-US^FF_ARPT_SERIES(\"GOODWILL\",ANN,12/31/2023,,T,\"BS\")":[[1535845]],"CDNS-US^FF_ARPT_SERIES(\"GOODWILL\",ANN,12/31/2021,,T,\"BS\")":[[928358]],"CDNS^FF_ARPT_SERIES('ACCUMULATED DEFICIT / RETAINED EARNINGS','ANN_R','2021','2021','T','BS')@0":[[3046288]],"CDNS-US^FF_ARPT_SERIES(\"ACCUMULATED DEFICIT / RETAINED EARNINGS\",ANN,12/31/2022,,T,\"BS\")":[["@NA"]],"CDNS-US^FF_ARPT_SERIES(\"ACCUMULATED DEFICIT / RETAINED EARNINGS\",ANN,12/31/2023,,T,\"BS\")":[[4936384]],"CDNS-US^FF_ARPT_SERIES(\"ACCUMULATED DEFICIT / RETAINED EARNINGS\",ANN,12/31/2021,,T,\"BS\")":[[3046288]],"CDNS^FF_ARPT_SERIES('ACCUMULATED DEFICIT / RETAINED EARNINGS','ANN_R','2023','2023','T','BS')@0":[[4936384]],"CDNS^FF_ARPT_SERIES('ACCUMULATED DEFICIT / RETAINED EARNINGS','ANN_R','2022','2022','T','BS')@0":[[3895240]],"CDNS^FF_ARPT_SERIES('ACCUMULATED DEFICIT / RETAINED EARNINGS','ANN_R','&YEAR(D$12)&','&YEAR(D$12)&','T','BS')@0":[[7100756]],"CDNS^FF_ARPT_SERIES('ACCUMULATED DEFICIT / RETAINED EARNINGS','ANN_R','&YEAR(D$12)&'','T','BS')@0":[["#NUM!"]],"CDNS^FF_ARPT_SERIES('ACCUMULATED DEFICIT / RETAINED EARNINGS','ANN_R',2021,'2021','T','BS')@0":[[3046288]],"CDNS^FF_ARPT_SERIES('ACCUMULATED DEFICIT / RETAINED EARNINGS','ANN_R',2021,2021,'T','BS')@0":[[3046288]],"CDNS^FF_ARPT_SERIES('ACCUMULATED DEFICIT / RETAINED EARNINGS','ANN_R',2023,2023,'T','BS')@0":[[4936384]],"CDNS^FF_ARPT_SERIES('ACCUMULATED DEFICIT / RETAINED EARNINGS','ANN_R',2022,2022,'T','BS')@0":[[3895240]],"CDNS^FF_ARPT_SERIES('ACCUMULATED OTHER COMPREHENSIVE LOSS / INCOME','ANN_R',2021,2021,'T','BS')@0":[[-33311]],"CDNS^FF_ARPT_SERIES('ACCUMULATED OTHER COMPREHENSIVE LOSS / INCOME','ANN_R',2022,2022,'T','BS')@0":[[-91637]],"CDNS^FF_ARPT_SERIES('ACCUMULATED OTHER COMPREHENSIVE LOSS / INCOME','ANN_R',2023,2023,'T','BS')@0":[[-94754]],"CDNS^FF_ARPT_SERIES(\"INVENTORIES\",ANN,12/31/2021,,T,\"BS\")":[[115721]],"CDNS-US^FF_ARPT_KEYS(\"IS\")":[["RV"],["PRODUCT AND MAINTENANCE"],["PRODUCT"],["MAINTENANCE"],["SERVICES"],["TOTAL COSTS AND EXPENSES"],["COST OF PRODUCT AND MAINTENANCE"],["COST OF PRODUCT"],["COST OF MAINTENANCE"],["COST OF SERVICES"],["MARKETING AND SALES"],["RESEARCH AND DEVELOPMENT"],["GENERAL AND ADMINISTRATIVE"],["AMORTIZATION OF ACQUIRED INTANGIBLES"],["IMPAIRMENT OF GOODWILL"],["LOSS RELATED TO CONTINGENT LIABILITY"],["RESTRUCTURING AND OTHER CHARGES / CREDITS"],["LITIGATION CHARGES"],["WRITE-OFF OF ACQUIRED IN-PROCESS TECHNOLOGY"],["IMPAIRMENT OF INTANGIBLE AND TANGIBLE ASSETS"],["LOSS / INCOME FROM OPERATIONS"],["LOSS ON EXTINGUISHMENT OF DEBT"],["INTEREST EXPENSE"],["OTHER INCOME / EXPENSE NET"],["INCOME / LOSS BEFORE PROVISION / BENEFIT FOR INCOME TAXES"],["PROVISION / BENEFIT FOR INCOME TAXES"],["NET INCOME / LOSS BEFORE CUMULATIVE EFFECT OF CHANGE IN ACCOUNTING PRINCIPLE"],["CUMULATIVE EFFECT OF CHANGE IN ACCOUNTING PRINCIPLE NET OF TAX"],["NI"],["PER SHARE"],["BASIC"],["NET INCOME / LOSS PER SHARE BEFORE CUMULATIVE EFFECT OF CHANGE IN ACCOUNTING PRINCIPLE"],["DILUTED"],["NET INCOME / LOSS PER SHARE BEFORE CUMULATIVE EFFECT OF CHANGE IN ACCOUNTING PRINCIPLE2"],["WEIGHTED AVERAGE SHARES"],["BASIC2"],["DILUTED2"]],"CDNS-US^FF_ARPT_KEYS(\"CF\")":[["NET CASH PROVIDED BY / USED FOR OPERATING ACTIVITIES"],["NET INCOME / LOSS"],["ADJUSTMENTS TO RECONCILE NET INCOME / LOSS TO NET CASH PROVIDED BY / USED FOR OPERATING ACTIVITIES"],["IMPAIRMENT OF GOODWILL"],["IMPAIRMENT OF INTANGIBLE AND TANGIBLE ASSETS"],["CUMULATIVE EFFECT OF CHANGE IN ACCOUNTING PRINCIPLE"],["DEPRECIATION AND AMORTIZATION"],["LOSS ON EXTINGUISHMENT OF DEBT"],["STOCK-BASED COMPENSATION"],["LOSS / GAIN ON INVESTMENTS NET"],["LOSS FROM EQUITY METHOD INVESTMENTS"],["WRITE-DOWN OF INVESTMENT SECURITIES"],["GAIN / LOSS ON INVESTMENTS NET EXCLUDING LOSS FROM EQUITY METHOD INVESTMENTS AND WRITE-DOWN OF INVESTMENTS SECURITIES"],["WRITE-OFF OF ACQUIRED IN-PROCESS TECHNOLOGY"],["LOSS ON LIQUIDATION OF SUBSIDIARY"],["TAX BENEFITS FROM EMPLOYEE STOCK TRANSACTIONS"],["TAX BENEFIT / EXPENSE FROM CALL OPTIONS"],["TAX IMPACT OF CONVERTIBLE NOTES INTEREST"],["IMPAIRMENT OF PROPERTY PLANT AND EQUIPMENT"],["GAIN ON SALE OF PROPERTY PLANT AND EQUIPMENT"],["DEFERRED INCOME TAXES"],["PROVISIONS / RECOVERIES FOR LOSSES / GAINS ON TRADE ACCOUNTS RECEIVABLE AND SALES RETURNS"],["ROU ASSET AMORTIZATION AND CHANGE IN OPERATING LEASE LIABILITIES"],["OTHER NON-CASH ITEMS"],["AMORTIZATION OF DEBT DISCOUNT AND FEES"],["PROCEEDS FROM THE SALE OF RECEIVABLES NET"],["OTHER NON-CASH ITEMS2"],["PROVISIONS / RECOVERIES FOR LOSSES / GAINS ON RECEIVABLES NET"],["OTHER NON-CASH ITEMS EXCLUDING PROVISIONS / RECOVERIES FOR LOSSES / GAINS ON RECEIVABLES NET"],["GAIN / LOSS ON SALE OF PROPERTY PLANT AND EQUIPMENT"],["OTHER NON-CASH ITEMS EXCLUDING GAIN / LOSS ON SALE OF PROPERTY PLANT AND EQUIPMENT"],["NON-CASH RESTRUCTURING AND OTHER CHARGES / CREDITS"],["OTHER NON-CASH ITEMS EXCLUDING NON-CASH RESTRUCTURING AND OTHER CHARGES / CREDITS"],["CHANGES IN OPERATING ASSETS AND LIABILITIES NET OF EFFECT OF ACQUIRED BUSINESSES"],["RECEIVABLES"],["RECEIVABLES EXCLUDING INSTALLMENT CONTRACT RECEIVABLES"],["INSTALLMENT CONTRACT RECEIVABLES"],["INVENTORIES"],["PREPAID EXPENSES AND OTHER"],["OTHER ASSETS"],["ACCOUNTS PAYABLE AND ACCRUED LIABILITIES"],["DEFERRED REVENUE"],["OTHER LONG-TERM LIABILITIES"],["NET CASH USED FOR INVESTING ACTIVITIES"],["PURCHASES OF AVAILABLE-FOR-SALE SECURITIES"],["PROCEEDS FROM THE SALE AND MATURITY OF AVAILABLE-FOR-SALE SECURITIES"],["PROCEEDS FROM THE SALE OF AVAILABLE-FOR-SALE SECURITIES"],["PROCEEDS FROM THE SALE OF AVAILABLE-FOR-SALE SECURITIES EXCLUDING PROCEEDS FROM THE SALE OF SHORT-TERM INVESTMENTS"],["PROCEEDS FROM THE SALE OF SHORT-TERM INVESTMENTS"],["PROCEEDS FROM THE MATURITY OF AVAILABLE-FOR-SALE SECURITIES"],["PURCHASES OF NON-MARKETABLE INVESTMENTS"],["PROCEEDS FROM THE SALE OF PROPERTY PLANT AND EQUIPMENT"],["INVESTMENT IN VENTURE CAPITAL PARTNERSHIPS AND EQUITY INVESTMENTS"],["PROCEEDS FROM THE SALE OF NON-MARKETABLE INVESTMENTS"],["PROCEEDS FROM THE SALE OF IP AND OTHER ASSETS"],["PURCHASES OF PROPERTY PLANT AND EQUIPMENT"],["PURCHASES OF INTANGIBLE ASSETS"],["CASH PAID IN BUSINESS COMBINATIONS AND ASSET ACQUISITIONS NET OF CASH ACQUIRED"],["PURCHASES OF SOFTWARE LICENSES"],["CASH PAID IN BUSINESS COMBINATIONS AND ASSET ACQUISITIONS NET OF CASH ACQUIRED EXCLUDING PURCHASES OF SOFTWARE LICENSES"],["NET CASH PROVIDED BY / USED FOR FINANCING ACTIVITIES"],["PROCEEDS FROM REVOLVING CREDIT FACILITY"],["PAYMENT ON REVOLVING CREDIT FACILITY"],["PROCEEDS FROM TERM LOANS"],["PROCEEDS FROM RECEIVABLE SALE FINANCING"],["PRINCIPAL PAYMENTS ON TERM LOAN"],["PAYMENT OF CONVERTIBLE NOTES"],["PAYMENT OF CONVERTIBLE NOTES EMBEDDED CONVERSION DERIVATIVE LIABILITY"],["PROCEEDS FROM CONVERTIBLE NOTES HEDGES"],["PAYMENT OF TERM LOANS"],["PAYMENT OF DEBT ISSUANCE COSTS"],["PURCHASE OF 2015 NOTES HEDGES"],["PROCEEDS FROM TERMINATION OF 2011 AND 2013 NOTES HEDGES"],["PROCEEDS FROM SALE OF 2015 WARRANTS"],["PAYMENT OF ACQUISITION-RELATED CONTINGENT CONSIDERATION"],["PURCHASE OF CALL OPTIONS IN CONNECTION WITH CONVERTIBLE NOTES DUE 2011 AND 2013"],["PROCEEDS FROM SALE OF CALL OPTIONS IN CONNECTION WITH CONVERTIBLE NOTES DUE 2023"],["PROCEEDS FROM SALE OF COMMON STOCK WARRANTS IN CONNECTION WITH CONVERTIBLE NOTES DUE 2011 AND 2013"],["PURCHASE OF COMMON STOCK WARRANTS IN CONNECTION WITH CONVERTIBLE NOTES DUE 2023"],["PRINCIPAL PAYMENTS ON RECEIVABLE FINANCING"],["PRINCIPAL PAYMENTS ON TERM LOAN2"],["PROCEEDS FROM ISSUANCE OF 2015 NOTES"],["PAYMENT OF 2023 NOTES"],["EXCESS TAX BENEFITS FROM STOCK-BASED COMPENSATION"],["PROCEEDS FROM ISSUANCE OF COMMON STOCK"],["PURCHASES OF TREASURY STOCK"],["STOCK RECEIVED FOR PAYMENT OF EMPLOYEE TAXES ON VESTING OF RESTRICTED STOCK"],["PURCHASES OF TREASURY STOCK EXCLUDING STOCK RECEIVED FOR PAYMENT OF EMPLOYEE TAXES ON VESTING OF RESTRICTED STOCK"],["PAYMENTS FOR REPURCHASES OF COMMON STOCK"],["CHANGE IN BOOK OVERDRAFT"],["EFFECT OF EXCHANGE RATE CHANGES ON CASH AND CASH EQUIVALENTS"],["CC"],["CASH AND CASH EQUIVALENTS AT BEGINNING OF PERIOD"],["CASH AND CASH EQUIVALENTS AT END OF PERIOD"],["SUPPLEMENTAL DISCLOSURE"],["CASH PAID FOR INTEREST"],["CASH PAID / RECEIVED FOR TAXES NET"],["NON-CASH INVESTING AND FINANCING ACTIVITIES"],["STOCK OPTIONS ASSUMED IN ACQUISITIONS"],["AVAILABLE-FOR-SALE SECURITIES RECEIVED FROM CUSTOMER"],["RECEIVABLES RELATED TO SALES OF AVAILABLE-FOR-SALE SECURITIES"],["RECEIVABLES RELATED TO SALES OF COST-METHOD INVESTMENTS"]],"CDNS^FF_ARPT_SERIES(\"RECEIVABLES\",ANN,12/31/2021,,T,\"CF\")":[[2014]],"CDNS^FF_ARPT_SERIES(\"PREPAID EXPENSES AND OTHER\",ANN,12/31/2021,,T,\"CF\")":[[-34342]],"CDNS^FF_ARPT_SERIES(\"INVENTORIES\",ANN,12/31/2021,,T,\"CF\")":[[-39027]],"CDNS^FF_ARPT_SERIES(\"OTHER ASSETS\",ANN,12/31/2021,,T,\"CF\")":[[-7133]],"CDNS^FF_ARPT_SERIES(\"OTHER ASSETS\",ANN,12/31/2022,,T,\"CF\")":[[-933]],"CDNS^FF_ARPT_SERIES(\"OTHER ASSETS\",ANN,12/31/2023,,T,\"CF\")":[[-45784]],"CDNS^FF_ARPT_SERIES(\"PREPAID EXPENSES AND OTHER\",ANN,12/31/2022,,T,\"CF\")":[[-38927]],"CDNS^FF_ARPT_SERIES(\"PREPAID EXPENSES AND OTHER\",ANN,12/31/2023,,T,\"CF\")":[[39015]],"CDNS^FF_ARPT_SERIES(\"RECEIVABLES\",ANN,12/31/2022,,T,\"CF\")":[[-138471]],"CDNS^FF_ARPT_SERIES(\"RECEIVABLES\",ANN,12/31/2023,,T,\"CF\")":[[-11748]],"CDNS^FF_ARPT_SERIES(\"INVENTORIES\",ANN,12/31/2023,,T,\"CF\")":[[-65895]],"CDNS^FF_ARPT_SERIES(\"INVENTORIES\",ANN,12/31/2022,,T,\"CF\")":[[-23073]],"CDNS^FF_ARPT_SERIES(\"OTHER LONG-TERM LIABILITIES\",ANN,12/31/2021,,T,\"CF\")":[[16199]],"CDNS^FF_ARPT_SERIES(\"DEFERRED REVENUE\",ANN,12/31/2021,,T,\"CF\")":[[100731]],"CDNS^FF_ARPT_SERIES(\"ACCOUNTS PAYABLE AND ACCRUED LIABILITIES\",ANN,12/31/2021,,T,\"CF\")":[[67356]],"CDNS^FF_ARPT_SERIES(\"OTHER LONG-TERM LIABILITIES\",ANN,12/31/2022,,T,\"CF\")":[[43542]],"CDNS^FF_ARPT_SERIES(\"OTHER LONG-TERM LIABILITIES\",ANN,12/31/2023,,T,\"CF\")":[[1802]],"CDNS^FF_ARPT_SERIES(\"DEFERRED REVENUE\",ANN,12/31/2022,,T,\"CF\")":[[131462]],"CDNS^FF_ARPT_SERIES(\"DEFERRED REVENUE\",ANN,12/31/2023,,T,\"CF\")":[[-21583]],"CDNS^FF_ARPT_SERIES(\"ACCOUNTS PAYABLE AND ACCRUED LIABILITIES\",ANN,12/31/2022,,T,\"CF\")":[[113945]],"CDNS^FF_ARPT_SERIES(\"ACCOUNTS PAYABLE AND ACCRUED LIABILITIES\",ANN,12/31/2023,,T,\"CF\")":[[5415]],"CDNS^FF_ARPT_SERIES(\"LOSS / GAIN ON INVESTMENTS NET\",ANN,12/31/2021,,T,\"CF\")":[[-580]],"45393^FF_ARPT_SERIES(\"OTHER NON-CASH ITEMS\",ANN,12/31/2021,,T,\"CF\")":[["@NA"]],"45393^FF_ARPT_SERIES(\"ROU ASSET AMORTIZATION AND CHANGE IN OPERATING LEASE LIABILITIES\",ANN,12/31/2021,,T,\"CF\")":[["@NA"]],"45393^FF_ARPT_SERIES(\"LOSS / GAIN ON INVESTMENTS NET\",ANN,12/31/2021,,T,\"CF\")":[["@NA"]],"45393^FF_ARPT_SERIES(\"DEFERRED INCOME TAXES\",ANN,12/31/2021,,T,\"CF\")":[["@NA"]],"^FF_ARPT_SERIES(\"DEFERRED INCOME TAXES\",ANN,12/31/2021,,T,\"CF\")":[["@NA"]],"CDNS^FF_ARPT_SERIES('DEFERRED INCOME TAXES','ANN_R',2021,2021,'T','BS')@0":[[0]],"CDNS^FF_ARPT_SERIES(\"DEFERRED INCOME TAXES\",ANN,12/31/2021,,T,\"CF\")":[[-43178]],"CDNS^FF_ARPT_SERIES('ROU ASSET AMORTIZATION AND CHANGE IN OPERATING LEASE LIABILITIES','ANN_R',2021,2021,'T','BS')@0":[[0]],"CDNS^FF_ARPT_SERIES(\"ROU ASSET AMORTIZATION AND CHANGE IN OPERATING LEASE LIABILITIES\",ANN,12/31/2021,,T,\"CF\")":[[-11606]],"CDNS^FF_ARPT_SERIES(\"OTHER NON-CASH ITEMS\",ANN,12/31/2021,,T,\"CF\")":[[2171]],"CDNS^FF_ARPT_SERIES(\"OTHER NON-CASH ITEMS\",ANN,12/31/2023,,T,\"CF\")":[[6570]],"CDNS^FF_ARPT_SERIES(\"OTHER NON-CASH ITEMS\",ANN,12/31/2022,,T,\"CF\")":[[1709]],"CDNS^FF_ARPT_SERIES(\"ROU ASSET AMORTIZATION AND CHANGE IN OPERATING LEASE LIABILITIES\",ANN,12/31/2023,,T,\"CF\")":[[451]],"CDNS^FF_ARPT_SERIES(\"ROU ASSET AMORTIZATION AND CHANGE IN OPERATING LEASE LIABILITIES\",ANN,12/31/2022,,T,\"CF\")":[[3342]],"CDNS^FF_ARPT_SERIES(\"LOSS / GAIN ON INVESTMENTS NET\",ANN,12/31/2022,,T,\"CF\")":[[5425]],"CDNS^FF_ARPT_SERIES(\"LOSS / GAIN ON INVESTMENTS NET\",ANN,12/31/2023,,T,\"CF\")":[[-34602]],"CDNS^FF_ARPT_SERIES(\"DEFERRED INCOME TAXES\",ANN,12/31/2022,,T,\"CF\")":[[-107606]],"CDNS^FF_ARPT_SERIES(\"DEFERRED INCOME TAXES\",ANN,12/31/2023,,T,\"CF\")":[[-36512]],"CDNS^FF_ARPT_SERIES(\"DEPRECIATION AND AMORTIZATION\",ANN,12/31/2022,,T,\"CF\")":[[132088]],"CDNS^FF_ARPT_SERIES(\"DEPRECIATION AND AMORTIZATION\",ANN,12/31/2023,,T,\"CF\")":[[145292]],"CDNS^FF_ARPT_SERIES(\"STOCK-BASED COMPENSATION\",ANN,12/31/2022,,T,\"CF\")":[[270439]],"CDNS^FF_ARPT_SERIES(\"STOCK-BASED COMPENSATION\",ANN,12/31/2023,,T,\"CF\")":[[325611]],"CDNS^FF_ARPT_SERIES(\"NET INCOME / LOSS\",ANN,12/31/2022,,T,\"CF\")":[[848952]],"CDNS^FF_ARPT_SERIES(\"NET INCOME / LOSS\",ANN,12/31/2023,,T,\"CF\")":[[1041144]],"CDNS^FF_ARPT_SERIES(\"DEPRECIATION AND AMORTIZATION\",ANN,12/31/2021,,T,\"CF\")":[[142308]],"CDNS^FF_ARPT_SERIES(\"NET INCOME / LOSS\",ANN,12/31/2021,,T,\"CF\")":[[695955]],"CDNS^FF_ARPT_SERIES(\"STOCK-BASED COMPENSATION\",ANN,12/31/2021,,T,\"CF\")":[[210090]],"HISTORICAL^FF_ARPT_SERIES(\"NET CASH PROVIDED BY / USED FOR OPERATING ACTIVITIES\",ANN,12/31/2021,,T,\"CF\")":[["@NA"]],"CDNS-US^FF_OPER_CF(ANN_R,-2AY,,,,,T)":[[1349176]],"CDNS-US^FF_OPER_CF(ANN_R,2021,,,,,T)":[[1100958]],"CDNS-US^FF_OPER_CF(ANN_R,12/31/2022,,,,,T)":[[1241894]],"CDNS-US^FF_OPER_CF(ANN_R,12/31/2021,,,,,T)":[[1100958]],"CDNS-US^FF_OPER_CF(ANN_R,12/31/2023,,,,,T)":[[1349176]],"CDNS^FF_ARPT_SERIES(\"PURCHASES OF PROPERTY PLANT AND EQUIPMENT\",ANN,12/31/2022,,T,\"CF\")":[[-123215]],"CDNS^FF_ARPT_SERIES(\"PURCHASES OF PROPERTY PLANT AND EQUIPMENT\",ANN,12/31/2021,,T,\"CF\")":[[-65298]],"CDNS^FF_ARPT_SERIES(\"PURCHASES OF PROPERTY PLANT AND EQUIPMENT\",ANN,12/31/2023,,T,\"CF\")":[[-102337]],"^FF_ARPT_SERIES(\"CASH PAID IN BUSINESS COMBINATIONS AND ASSET ACQUISITIONS NET OF CASH ACQUIRED\",ANN,12/31/2021,,T,\"CF\")":[["@NA"]],"CDNS^FF_ARPT_SERIES('CASH PAID IN BUSINESS COMBINATIONS AND ASSET ACQUISITIONS NET OF CASH ACQUIRED','ANN_R',2021,2021,'T','BS')@0":[[0]],"^FF_ARPT_SERIES(\"CASH PAID IN BUSINESS COMBINATIONS AND ASSET ACQUISITIONS NET OF CASH ACQUIRED EXCLUDING PURCHASES OF SOFTWARE LICENSES\",ANN,12/31/2021,,T,\"CF\")":[["@NA"]],"CDNS-US^FF_ACQ_BUS_CF(ANN_R,12/31/2022,,,,,T)":[[613785]],"CDNS-US^FF_ACQ_BUS_CF(ANN_R,12/31/2023,,,,,T)":[[198351]],"CDNS-US^FF_ACQ_BUS_CF(ANN_R,12/31/2021,,,,,T)":[[226201]],"45393^FF_ARPT_SERIES(\"PURCHASES OF INTANGIBLE ASSETS\",ANN,12/31/2021,,T,\"CF\")":[["@NA"]],"45393^FF_ARPT_SERIES(\"PROCEEDS FROM THE SALE AND MATURITY OF AVAILABLE-FOR-SALE SECURITIES\",ANN,12/31/2021,,T,\"CF\")":[["@NA"]],"45393^FF_ARPT_SERIES(\"PROCEEDS FROM THE SALE OF NON-MARKETABLE INVESTMENTS\",ANN,12/31/2021,,T,\"CF\")":[["@NA"]],"CDNS^FF_ARPT_SERIES('PROCEEDS FROM THE SALE OF NON-MARKETABLE INVESTMENTS','ANN_R',1900,1900,'T','BS')@0":[[0]],"CDNS^FF_ARPT_SERIES('PROCEEDS FROM THE SALE AND MATURITY OF AVAILABLE-FOR-SALE SECURITIES','ANN_R',1900,1900,'T','BS')@0":[[0]],"CDNS^FF_ARPT_SERIES('PURCHASES OF INTANGIBLE ASSETS','ANN_R',1900,1900,'T','BS')@0":[[0]],"CDNS^FF_ARPT_SERIES('PROCEEDS FROM THE SALE AND MATURITY OF AVAILABLE-FOR-SALE SECURITIES','ANN_R',2021,2021,'T','BS')@0":[[0]],"CDNS^FF_ARPT_SERIES('PURCHASES OF INTANGIBLE ASSETS','ANN_R',2021,2021,'T','BS')@0":[[0]],"CDNS^FF_ARPT_SERIES('PROCEEDS FROM THE SALE OF NON-MARKETABLE INVESTMENTS','ANN_R',2021,2021,'T','BS')@0":[[0]],"CDNS^FF_ARPT_SERIES('PROCEEDS FROM THE SALE AND MATURITY OF AVAILABLE-FOR-SALE SECURITIES','ANN_R',2022,2022,'T','BS')@0":[[0]],"CDNS^FF_ARPT_SERIES('PROCEEDS FROM THE SALE AND MATURITY OF AVAILABLE-FOR-SALE SECURITIES','ANN_R',2023,2023,'T','BS')@0":[[0]],"CDNS^FF_ARPT_SERIES('PURCHASES OF INTANGIBLE ASSETS','ANN_R',2023,2023,'T','BS')@0":[[0]],"CDNS^FF_ARPT_SERIES('PURCHASES OF INTANGIBLE ASSETS','ANN_R',2022,2022,'T','BS')@0":[[0]],"CDNS^FF_ARPT_SERIES('PROCEEDS FROM THE SALE OF NON-MARKETABLE INVESTMENTS','ANN_R',2022,2022,'T','BS')@0":[[0]],"CDNS^FF_ARPT_SERIES('PROCEEDS FROM THE SALE OF NON-MARKETABLE INVESTMENTS','ANN_R',2023,2023,'T','BS')@0":[[0]],"CDNS^FF_ARPT_SERIES('PROCEEDS FROM THE SALE AND MATURITY OF AVAILABLE-FOR-SALE SECURITIES','ANN_R',2021,2021,'T','CF')@0":[[0]],"CDNS^FF_ARPT_SERIES('PROCEEDS FROM THE SALE OF NON-MARKETABLE INVESTMENTS','ANN_R',2021,2021,'T','CF')@0":[[128]],"CDNS^FF_ARPT_SERIES('PURCHASES OF INTANGIBLE ASSETS','ANN_R',2021,2021,'T','CF')@0":[[-1583]],"CDNS^FF_ARPT_SERIES('PROCEEDS FROM THE SALE AND MATURITY OF AVAILABLE-FOR-SALE SECURITIES','ANN_R',2023,2023,'T','CF')@0":[[-176170]],"CDNS^FF_ARPT_SERIES('PROCEEDS FROM THE SALE AND MATURITY OF AVAILABLE-FOR-SALE SECURITIES','ANN_R',2022,2022,'T','CF')@0":[[-1000]],"CDNS^FF_ARPT_SERIES('PURCHASES OF INTANGIBLE ASSETS','ANN_R',2023,2023,'T','CF')@0":[[-166]],"CDNS^FF_ARPT_SERIES('PURCHASES OF INTANGIBLE ASSETS','ANN_R',2022,2022,'T','CF')@0":[[-1000]],"CDNS^FF_ARPT_SERIES('PROCEEDS FROM THE SALE OF NON-MARKETABLE INVESTMENTS','ANN_R',2023,2023,'T','CF')@0":[[64775]],"CDNS^FF_ARPT_SERIES('PROCEEDS FROM THE SALE OF NON-MARKETABLE INVESTMENTS','ANN_R',2022,2022,'T','CF')@0":[[366]],"CDNS-US^FF_INVEST_CF(ANN_R,12/31/2022,,,,,T)":[[-738634]],"CDNS-US^FF_INVEST_CF(ANN_R,12/31/2023,,,,,T)":[[-412249]],"CDNS-US^FF_INVEST_CF(ANN_R,12/31/2021,,,,,T)":[[-292954]],"CDNS^FF_ARPT_SERIES('PAYMENT OF DEBT ISSUANCE COSTS','ANN_R',2021,2021,'T','CF')@0":[[-1285]],"CDNS^FF_ARPT_SERIES('PAYMENT OF DEBT ISSUANCE COSTS','ANN_R',2023,2023,'T','CF')@0":[[0]],"CDNS^FF_ARPT_SERIES('PAYMENT OF DEBT ISSUANCE COSTS','ANN_R',2022,2022,'T','CF')@0":[[-425]],"CDNS^FF_ARPT_SERIES('PAYMENT ON REVOLVING CREDIT FACILITY','ANN_R',2021,2021,'T','CF')@0":[[0]],"CDNS^FF_ARPT_SERIES('PAYMENT ON REVOLVING CREDIT FACILITY','ANN_R',2022,2022,'T','CF')@0":[[-485000]],"CDNS^FF_ARPT_SERIES('PAYMENT ON REVOLVING CREDIT FACILITY','ANN_R',2023,2023,'T','CF')@0":[[-150000]],"CDNS^FF_ARPT_SERIES('PAYMENTS FOR REPURCHASES OF COMMON STOCK','ANN_R',2023,2023,'T','CF')@0":[[-700134]],"CDNS^FF_ARPT_SERIES('PAYMENTS FOR REPURCHASES OF COMMON STOCK','ANN_R',2022,2022,'T','CF')@0":[[-1050091]],"CDNS^FF_ARPT_SERIES('PAYMENTS FOR REPURCHASES OF COMMON STOCK','ANN_R',2021,2021,'T','CF')@0":[[-612297]],"CDNS^FF_COGS(ANN_R,12/31/2021,,,,,T)":[[326646]],"CDNS^FF_GROSS_INC(ANN_R,12/31/2021,,,,,T)":[[2661598]],"CDNS^FF_EBIT_OPER(ANN_R,12/31/2021,,,,,T)":[[778041]],"CDNS^FF_PTX_INC(ANN_R,12/31/2021,,,,,T)":[[768435]],"CDNS^FF_SGA(ANN_R,12/31/2021,,,,,T)":[[1883557]],"CDNS^FF_NON_OPER_INC(ANN_R,12/31/2021,,,,,T)":[[6326]],"CDNS^FF_NET_INC(ANN_R,12/31/2021,,,,,T)":[[695955]],"CDNS^FF_UNUSUAL_EXP(ANN_R,12/31/2021,,,,,T)":[[-1048]],"CDNS^FF_INT_EXP_NET(ANN_R,12/31/2021,,,,,T)":[[16980]],"CDNS^FF_INC_TAX(ANN_R,12/31/2021,,,,,T)":[[72480]],"CDNS^FF_GROSS_INC(ANN_R,12/31/2023,,,,,T)":[[3636783]],"CDNS^FF_SGA(ANN_R,12/31/2022,,,,,T)":[[2097884]],"CDNS^FF_SGA(ANN_R,12/31/2023,,,,,T)":[[2362445]],"CDNS^FF_NON_OPER_INC(ANN_R,12/31/2022,,,,,T)":[[-5389]],"CDNS^FF_NON_OPER_INC(ANN_R,12/31/2023,,,,,T)":[[56035]],"CDNS^FF_COGS(ANN_R,12/31/2023,,,,,T)":[[453203]],"CDNS^FF_COGS(ANN_R,12/31/2022,,,,,T)":[[390093]],"CDNS^FF_EBIT_OPER(ANN_R,12/31/2023,,,,,T)":[[1274338]],"CDNS^FF_UNUSUAL_EXP(ANN_R,12/31/2023,,,,,T)":[[12262]],"CDNS^FF_UNUSUAL_EXP(ANN_R,12/31/2022,,,,,T)":[[55]],"CDNS^FF_INT_EXP_NET(ANN_R,12/31/2023,,,,,T)":[[36185]],"CDNS^FF_GROSS_INC(ANN_R,12/31/2022,,,,,T)":[[3171625]],"CDNS^FF_INT_EXP_NET(ANN_R,12/31/2022,,,,,T)":[[22934]],"CDNS^FF_PTX_INC(ANN_R,12/31/2023,,,,,T)":[[1281926]],"CDNS^FF_EBIT_OPER(ANN_R,12/31/2022,,,,,T)":[[1073741]],"CDNS^FF_INC_TAX(ANN_R,12/31/2022,,,,,T)":[[196411]],"CDNS^FF_PTX_INC(ANN_R,12/31/2022,,,,,T)":[[1045363]],"CDNS^FF_NET_INC(ANN_R,12/31/2023,,,,,T)":[[1041144]],"CDNS^FF_INC_TAX(ANN_R,12/31/2023,,,,,T)":[[240782]],"CDNS^FF_NET_INC(ANN_R,12/31/2022,,,,,T)":[[848952]],"CDNS^FF_EBITDA_OPER(ANN_R,12/31/2023,,,,,T)":[[1414708]],"^FF_DEP_AMORT_EXP(ANN_R,12/31/2022,,,,,T)":[["@NA"]],"^FF_DEP_AMORT_EXP(ANN_R,12/31/2023,,,,,T)":[["@NA"]],"CDNS^FF_EBITDA_OPER(ANN_R,12/31/2022,,,,,T)":[[1205829]],"CDNS^FF_DEP_AMORT_EXP(ANN_R,12/31/2021,,,,,T)":[[142308]],"CDNS^FF_EBITDA_OPER(ANN_R,12/31/2021,,,,,T)":[[920349]],"CDNS^FF_DEP_AMORT_EXP(ANN_R,12/31/2022,,,,,T)":[[132088]],"CDNS^FF_DEP_AMORT_EXP(ANN_R,12/31/2023,,,,,T)":[[140370]],"CDNS^FF_CASH_ST(ANN_R,12/31/2023,,,,,T)":[[1138511]],"CDNS^FF_RECEIV_ST(ANN_R,12/31/2022,,,,,T)":[[509476]],"CDNS^FF_RECEIV_ST(ANN_R,12/31/2023,,,,,T)":[[506778]],"CDNS^FF_INVEN(ANN_R,12/31/2022,,,,,T)":[[128005]],"CDNS^FF_CASH_ST(ANN_R,12/31/2022,,,,,T)":[[882325]],"CDNS^FF_INVEN(ANN_R,12/31/2023,,,,,T)":[[181661]],"CDNS^FF_ASSETS_CURR_OTH(ANN_R,12/31/2023,,,,,T)":[[149267]],"CDNS^FF_ASSETS_CURR_OTH(ANN_R,12/31/2022,,,,,T)":[[186961]],"CDNS^FF_DFD_TAX_DB(ANN_R,12/31/2021,,,,,T)":[[763770]],"CDNS^FF_ASSETS_CURR(ANN_R,12/31/2023,,,,,T)":[[1976217]],"CDNS^FF_PPE_NET(ANN_R,12/31/2023,,,,,T)":[[554010]],"CDNS^FF_INVEST_LT(ANN_R,12/31/2022,,,,,T)":[[122732]],"CDNS^FF_INVEST_LT(ANN_R,12/31/2023,,,,,T)":[[249421]],"CDNS^FF_DFD_TAX_DB(ANN_R,12/31/2022,,,,,T)":[[853691]],"CDNS^FF_PPE_NET(ANN_R,12/31/2022,,,,,T)":[[541830]],"CDNS^FF_INTANG(ANN_R,12/31/2022,,,,,T)":[[1728885]],"CDNS^FF_ASSETS_CURR(ANN_R,12/31/2022,,,,,T)":[[1706767]],"CDNS^FF_ASSETS_OTH(ANN_R,12/31/2022,,,,,T)":[[183166]],"CDNS^FF_DFD_TAX_DB(ANN_R,12/31/2023,,,,,T)":[[880001]],"CDNS^FF_ASSETS(ANN_R,12/31/2022,,,,,T)":[[5137071]],"CDNS^FF_INTANG(ANN_R,12/31/2023,,,,,T)":[[1872688]],"CDNS^FF_ASSETS(ANN_R,12/31/2023,,,,,T)":[[5669491]],"CDNS^FF_CASH_ST(ANN_R,12/31/2021,,,,,T)":[[1088940]],"CDNS^FF_ASSETS_OTH(ANN_R,12/31/2023,,,,,T)":[[137154]],"CDNS^FF_INVEN(ANN_R,12/31/2021,,,,,T)":[[115721]],"CDNS^FF_ASSETS_OTH(ANN_R,12/31/2021,,,,,T)":[[176503]],"CDNS^FF_PPE_NET(ANN_R,12/31/2021,,,,,T)":[[436035]],"CDNS^FF_RECEIV_ST(ANN_R,12/31/2021,,,,,T)":[[344407]],"CDNS^FF_ASSETS_CURR_OTH(ANN_R,12/31/2021,,,,,T)":[[166701]],"CDNS^FF_ASSETS(ANN_R,12/31/2021,,,,,T)":[[4386299]],"CDNS^FF_INTANG(ANN_R,12/31/2021,,,,,T)":[[1161623]],"CDNS^FF_ASSETS_CURR(ANN_R,12/31/2021,,,,,T)":[[1715769]],"CDNS^FF_INVEST_LT(ANN_R,12/31/2021,,,,,T)":[[132599]],"CDNS^FF_PAY_ACCT(ANN_R,12/31/2022,,,,,T)":[[0]],"CDNS^FF_PAY_TAX(ANN_R,12/31/2022,,,,,T)":[["@NA"]],"CDNS^FF_DEBT_ST(ANN_R,12/31/2022,,,,,T)":[[136737]],"CDNS^FF_DEBT_ST(ANN_R,12/31/2023,,,,,T)":[[390904]],"CDNS^FF_LIABS_CURR(ANN_R,12/31/2022,,,,,T)":[[1347696]],"CDNS^FF_PAY_ACCT(ANN_R,12/31/2023,,,,,T)":[[91194]],"CDNS^FF_LIABS_CURR_OTH(ANN_R,12/31/2023,,,,,T)":[[1108769]],"CDNS^FF_LIABS_CURR(ANN_R,12/31/2023,,,,,T)":[[1590867]],"CDNS^FF_PAY_TAX(ANN_R,12/31/2023,,,,,T)":[["@NA"]],"CDNS^FF_PAY_TAX(ANN_R,12/31/2021,,,,,T)":[["@NA"]],"CDNS^FF_DEBT_ST(ANN_R,12/31/2021,,,,,T)":[[25271]],"CDNS^FF_LIABS_CURR_OTH(ANN_R,12/31/2021,,,,,T)":[[945954]],"CDNS^FF_LIABS_CURR_OTH(ANN_R,12/31/2022,,,,,T)":[[1210959]],"CDNS^FF_PAY_ACCT(ANN_R,12/31/2021,,,,,T)":[[0]],"CDNS^FF_LIABS_CURR(ANN_R,12/31/2021,,,,,T)":[[971225]],"CDNS^FF_LIABS_OTH(ANN_R,12/31/2022,,,,,T)":[[256847]],"CDNS^FF_DEBT_LT(ANN_R,12/31/2023,,,,,T)":[[415129]],"CDNS^FF_LIABS_OTH(ANN_R,12/31/2023,,,,,T)":[[259224]],"CDNS^FF_DEBT_LT(ANN_R,12/31/2021,,,,,T)":[[454709]],"CDNS^FF_DEBT_LT(ANN_R,12/31/2022,,,,,T)":[[787415]],"CDNS^FF_LIABS_OTH(ANN_R,12/31/2021,,,,,T)":[[219690]],"CDNS^FF_LIABS(ANN_R,12/31/2021,,,,,T)":[[1645624]],"CDNS^FF_LIABS(ANN_R,12/31/2023,,,,,T)":[[2265220]],"CDNS^FF_LIABS(ANN_R,12/31/2022,,,,,T)":[[2391958]],"^FF_EQ_TOT(ANN_R,12/31/2023,,,,,T)":[["@NA"]],"^FF_EQ_TOT(ANN_R,12/31/2022,,,,,T)":[["@NA"]],"^FF_SHLDRS_EQ(ANN_R,12/31/2021,,,,,T)":[["@NA"]],"^FF_EQ_TOT(ANN_R,12/31/2021,,,,,T)":[["@NA"]],"^FF_SHLDRS_EQ(ANN_R,12/31/2023,,,,,T)":[["@NA"]],"^FF_SHLDRS_EQ(ANN_R,12/31/2022,,,,,T)":[["@NA"]],"CDNS^FF_SHLDRS_EQ(ANN_R,12/31/2021,,,,,T)":[[2740675]],"CDNS^FF_SHLDRS_EQ(ANN_R,12/31/2022,,,,,T)":[[2745113]],"CDNS^FF_SHLDRS_EQ(ANN_R,12/31/2023,,,,,T)":[[3404271]],"CDNS^FF_EQ_TOT(ANN_R,12/31/2023,,,,,T)":[[3404271]],"CDNS^FF_EQ_TOT(ANN_R,12/31/2022,,,,,T)":[[2745113]],"CDNS^FF_EQ_TOT(ANN_R,12/31/2021,,,,,T)":[[2740675]],"CDNS^FF_LIABS_SHLDRS_EQ(ANN_R,12/31/2023,,,,,T)":[[5669491]],"CDNS^FF_LIABS_SHLDRS_EQ(ANN_R,12/31/2021,,,,,T)":[[4386299]],"CDNS^FF_LIABS_SHLDRS_EQ(ANN_R,12/31/2022,,,,,T)":[[5137071]],"CDNS^FF_INVEST_CF(ANN_R,12/31/2022,,,,,T)":[[-738634]],"CDNS^FF_NON_CASH(ANN_R,12/31/2022,,,,,T)":[[280915]],"CDNS^FF_INVEST_CF(ANN_R,12/31/2023,,,,,T)":[[-412249]],"CDNS^FF_INVEST_PURCH_SALE_CF(ANN_R,12/31/2022,,,,,T)":[[-634]],"CDNS^FF_CAPEX(ANN_R,12/31/2023,,,,,T)":[[102503]],"CDNS^FF_INVEST_CF(ANN_R,12/31/2021,,,,,T)":[[-292954]],"CDNS^FF_ACQ_BUS_CF(ANN_R,12/31/2022,,,,,T)":[[613785]],"CDNS^FF_CAPEX(ANN_R,12/31/2021,,,,,T)":[[66881]],"CDNS^FF_CAPEX(ANN_R,12/31/2022,,,,,T)":[[124215]],"CDNS^FF_NON_CASH(ANN_R,12/31/2023,,,,,T)":[[298030]],"CDNS^FF_SALE_ASSETS_BUS_CF(ANN_R,12/31/2023,,,,,T)":[[0]],"CDNS^FF_DFD_TAX_CF(ANN_R,12/31/2021,,,,,T)":[[-43178]],"CDNS^FF_SALE_ASSETS_BUS_CF(ANN_R,12/31/2022,,,,,T)":[[0]],"CDNS^FF_ACQ_BUS_CF(ANN_R,12/31/2023,,,,,T)":[[198351]],"CDNS^FF_INVEST_PURCH_SALE_CF(ANN_R,12/31/2023,,,,,T)":[[-111395]],"CDNS^FF_FUNDS_OPER_GROSS(ANN_R,12/31/2022,,,,,T)":[[1154349]],"CDNS^FF_FUNDS_OPER_GROSS(ANN_R,12/31/2023,,,,,T)":[[1447954]],"CDNS^FF_SALE_ASSETS_BUS_CF(ANN_R,12/31/2021,,,,,T)":[[0]],"CDNS^FF_ACQ_BUS_CF(ANN_R,12/31/2021,,,,,T)":[[226201]],"CDNS^FF_DEP_EXP_CF(ANN_R,12/31/2022,,,,,T)":[[132088]],"CDNS^FF_INVEST_PURCH_SALE_CF(ANN_R,12/31/2021,,,,,T)":[[128]],"CDNS^FF_NET_INC_CF(ANN_R,12/31/2022,,,,,T)":[[848952]],"CDNS^FF_DEP_EXP_CF(ANN_R,12/31/2023,,,,,T)":[[145292]],"CDNS^FF_WKCAP_CHG(ANN_R,12/31/2023,,,,,T)":[[-98778]],"CDNS^FF_OPER_CF(ANN_R,12/31/2023,,,,,T)":[[1349176]],"CDNS^FF_NON_CASH(ANN_R,12/31/2021,,,,,T)":[[200075]],"CDNS^FF_NET_INC_CF(ANN_R,12/31/2021,,,,,T)":[[695955]],"CDNS^FF_DFD_TAX_CF(ANN_R,12/31/2023,,,,,T)":[[-36512]],"CDNS^FF_DEP_EXP_CF(ANN_R,12/31/2021,,,,,T)":[[142308]],"CDNS^FF_FUNDS_OPER_GROSS(ANN_R,12/31/2021,,,,,T)":[[995160]],"CDNS^FF_DFD_TAX_CF(ANN_R,12/31/2022,,,,,T)":[[-107606]],"CDNS^FF_NET_INC_CF(ANN_R,12/31/2023,,,,,T)":[[1041144]],"CDNS^FF_OPER_CF(ANN_R,12/31/2021,,,,,T)":[[1100958]],"CDNS^FF_OPER_CF(ANN_R,12/31/2022,,,,,T)":[[1241894]],"CDNS^FF_WKCAP_CHG(ANN_R,12/31/2022,,,,,T)":[[87545]],"CDNS^FF_WKCAP_CHG(ANN_R,12/31/2021,,,,,T)":[[105798]],"CDNS^SUMAV(FF_INVEST_USES_CF(ANN_R,12/31/2021,,,,,T),FF_INVEST_SOURCES_CF(ANN_R,12/31/2021,,,,,T))":[[0]],"CDNS^SUMAV(FF_INVEST_USES_CF(ANN_R,12/31/2022,,,,,T),FF_INVEST_SOURCES_CF(ANN_R,12/31/2022,,,,,T))":[[0]],"CDNS^SUMAV(FF_INVEST_USES_CF(ANN_R,12/31/2023,,,,,T),FF_INVEST_SOURCES_CF(ANN_R,12/31/2023,,,,,T))":[[0]],"CDNS^SUMAV(FF_INVEST_USES_CF(ANN_R,12/31/2024,,,,,T),FF_INVEST_SOURCES_CF(ANN_R,12/31/2024,,,,,T))":[[0]],"CDNS^SUMAV(FF_INVEST_USES_CF(ANN_R,12/31/2025,,,,,T),FF_INVEST_SOURCES_CF(ANN_R,12/31/2025,,,,,T))":[[11500]],"CDNS^FF_DEBT_CF(ANN_R,12/31/2021,,,,,T)":[[0]],"CDNS^FF_DEBT_CF(ANN_R,12/31/2022,,,,,T)":[[399575]],"CDNS^FF_FIN_ACTIV_OTH_CF(ANN_R,12/31/2022,,,,,T)":[[-111864]],"CDNS^FF_FIN_ACTIV_OTH_CF(ANN_R,12/31/2023,,,,,T)":[[-136396]],"CDNS^FF_DEBT_CF(ANN_R,12/31/2023,,,,,T)":[[-100000]],"CDNS^FF_STK_CHG_CF(ANN_R,12/31/2022,,,,,T)":[[-944760]],"CDNS^FF_STK_CHG_CF(ANN_R,12/31/2023,,,,,T)":[[-567177]],"CDNS^FF_FIN_CF(ANN_R,12/31/2023,,,,,T)":[[-803573]],"CDNS^FF_FIN_ACTIV_OTH_CF(ANN_R,12/31/2021,,,,,T)":[[-119267]],"CDNS^FF_STK_CHG_CF(ANN_R,12/31/2021,,,,,T)":[[-524525]],"CDNS^FF_FIN_CF(ANN_R,12/31/2021,,,,,T)":[[-643792]],"CDNS^FF_FIN_CF(ANN_R,12/31/2022,,,,,T)":[[-657049]],"CDNS^FF_FOR_EXCH_CF(ANN_R,12/31/2022,,,,,T)":[[-52826]],"CDNS^FF_FOR_EXCH_CF(ANN_R,12/31/2021,,,,,T)":[[-3704]],"CDNS^FF_FOR_EXCH_CF(ANN_R,12/31/2023,,,,,T)":[[-7527]],"CDNS^FF_CHG_CASH_CF(ANN_R,12/31/2022,,,,,T)":[[-206615]],"CDNS^FF_CHG_CASH_CF(ANN_R,12/31/2021,,,,,T)":[[160508]],"CDNS^FF_CHG_CASH_CF(ANN_R,12/31/2023,,,,,T)":[[125827]]}]]></FdsFormulaCache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AF14EF786EB4E802C5062DBE61414" ma:contentTypeVersion="3" ma:contentTypeDescription="Create a new document." ma:contentTypeScope="" ma:versionID="0dda64a207fdb4b7736dfdf5870d1692">
  <xsd:schema xmlns:xsd="http://www.w3.org/2001/XMLSchema" xmlns:xs="http://www.w3.org/2001/XMLSchema" xmlns:p="http://schemas.microsoft.com/office/2006/metadata/properties" xmlns:ns2="41c67050-7972-4591-ac00-42caa329804c" targetNamespace="http://schemas.microsoft.com/office/2006/metadata/properties" ma:root="true" ma:fieldsID="bfb5b47c9361e9c88839163a693bef6e" ns2:_="">
    <xsd:import namespace="41c67050-7972-4591-ac00-42caa3298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67050-7972-4591-ac00-42caa3298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E2A33B-D5CB-4473-9F9D-8485ADD06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034C42-FEEF-4B52-AC15-D90DF501F7B8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41c67050-7972-4591-ac00-42caa329804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5476CCE-B5B8-DF41-8AE3-FB68B066C255}">
  <ds:schemaRefs>
    <ds:schemaRef ds:uri="urn:fdsformulacache"/>
  </ds:schemaRefs>
</ds:datastoreItem>
</file>

<file path=customXml/itemProps4.xml><?xml version="1.0" encoding="utf-8"?>
<ds:datastoreItem xmlns:ds="http://schemas.openxmlformats.org/officeDocument/2006/customXml" ds:itemID="{5C8A780C-D10F-4B87-A686-3D6F6B94C8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c67050-7972-4591-ac00-42caa3298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Revenue Build &amp; Growth Drivers</vt:lpstr>
      <vt:lpstr>Financial Statement Model</vt:lpstr>
      <vt:lpstr>Integrated DCF Model</vt:lpstr>
      <vt:lpstr>WACC Build</vt:lpstr>
      <vt:lpstr>'Integrated DCF Model'!Discount_Rate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Allen, David Michael</dc:creator>
  <cp:keywords/>
  <dc:description/>
  <cp:lastModifiedBy>Meet Sanghavi</cp:lastModifiedBy>
  <cp:revision/>
  <dcterms:created xsi:type="dcterms:W3CDTF">2023-11-07T18:52:42Z</dcterms:created>
  <dcterms:modified xsi:type="dcterms:W3CDTF">2026-05-07T08:53:34Z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0x0101006B4AF14EF786EB4E802C5062DBE61414</vt:lpwstr>
  </property>
  <property fmtid="{D5CDD505-2E9C-101B-9397-08002B2CF9AE}" pid="3" name="Order">
    <vt:r8>197500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