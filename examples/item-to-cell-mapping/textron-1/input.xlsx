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numiqgroup.sharepoint.com/sites/Eng-ThetaSoftware/Shared Documents/Deliverables/06. LBO - Textron/Rubric/Task1/Task_files/"/>
    </mc:Choice>
  </mc:AlternateContent>
  <xr:revisionPtr revIDLastSave="62" documentId="8_{28B53E5A-97CC-42A2-99F0-5B6FBA373F3C}" xr6:coauthVersionLast="47" xr6:coauthVersionMax="47" xr10:uidLastSave="{375D4AE2-8792-495B-89BA-1C5BE916AA92}"/>
  <bookViews>
    <workbookView xWindow="28680" yWindow="-2160" windowWidth="29040" windowHeight="15720" xr2:uid="{0F990FCB-11C2-4C1D-9E10-7CAEBD7E5481}"/>
  </bookViews>
  <sheets>
    <sheet name="Operating_Model" sheetId="1" r:id="rId1"/>
    <sheet name="Schedules" sheetId="5" r:id="rId2"/>
    <sheet name="Dropdowns" sheetId="3" r:id="rId3"/>
  </sheets>
  <definedNames>
    <definedName name="Scenario">Dropdowns!$B$6</definedName>
  </definedNames>
  <calcPr calcId="191028" iterate="1" iterateCount="1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5" l="1"/>
  <c r="B60" i="5"/>
  <c r="B59" i="5"/>
  <c r="B58" i="5"/>
  <c r="B57" i="5"/>
  <c r="B56" i="5"/>
  <c r="B52" i="5"/>
  <c r="B51" i="5"/>
  <c r="B50" i="5"/>
  <c r="B49" i="5"/>
  <c r="B48" i="5"/>
  <c r="B47" i="5"/>
  <c r="B20" i="5"/>
  <c r="B19" i="5"/>
  <c r="B18" i="5"/>
  <c r="B17" i="5"/>
  <c r="B16" i="5"/>
  <c r="B15" i="5"/>
  <c r="N166" i="1"/>
  <c r="M166" i="1"/>
  <c r="L166" i="1"/>
  <c r="K166" i="1"/>
  <c r="J166" i="1"/>
  <c r="I166" i="1"/>
  <c r="H166" i="1"/>
  <c r="G166" i="1"/>
  <c r="F166" i="1"/>
  <c r="H4" i="5" l="1"/>
  <c r="I4" i="5" s="1"/>
  <c r="J4" i="5" s="1"/>
  <c r="K4" i="5" s="1"/>
  <c r="L4" i="5" s="1"/>
  <c r="M4" i="5" s="1"/>
  <c r="N4" i="5" s="1"/>
  <c r="G4" i="5"/>
  <c r="F4" i="5"/>
  <c r="J4" i="1"/>
  <c r="K4" i="1"/>
  <c r="L4" i="1"/>
  <c r="M4" i="1"/>
  <c r="N4" i="1"/>
  <c r="I4" i="1"/>
  <c r="F4" i="1"/>
  <c r="G4" i="1"/>
  <c r="H4" i="1"/>
  <c r="J5" i="5"/>
  <c r="K5" i="5"/>
  <c r="L5" i="5" s="1"/>
  <c r="M5" i="5" l="1"/>
  <c r="N5" i="5" l="1"/>
  <c r="B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Meet Sanghavi</author>
  </authors>
  <commentList>
    <comment ref="B90" authorId="0" shapeId="0" xr:uid="{CD2E31D8-87D6-40EA-8990-908EE004F836}">
      <text>
        <r>
          <rPr>
            <sz val="9"/>
            <color indexed="81"/>
            <rFont val="Tahoma"/>
            <family val="2"/>
          </rPr>
          <t>Negative sign implies shares repurchased and positive sign implies shares issued. 
In case of shares issued, assume fresh issuance of shares instead of reissuance of treasury stock</t>
        </r>
      </text>
    </comment>
    <comment ref="B145" authorId="0" shapeId="0" xr:uid="{0BA8EBF5-3A5F-45CB-B1C0-3C455374FA8B}">
      <text>
        <r>
          <rPr>
            <sz val="9"/>
            <color indexed="81"/>
            <rFont val="Tahoma"/>
            <family val="2"/>
          </rPr>
          <t>YoY change should be reflected in Working capital changes</t>
        </r>
      </text>
    </comment>
    <comment ref="B155" authorId="0" shapeId="0" xr:uid="{4E3979A8-F425-45D2-862E-BE4C05A02186}">
      <text>
        <r>
          <rPr>
            <sz val="9"/>
            <color indexed="81"/>
            <rFont val="Tahoma"/>
            <family val="2"/>
          </rPr>
          <t>YoY change should be reflected in Working capital changes</t>
        </r>
      </text>
    </comment>
  </commentList>
</comments>
</file>

<file path=xl/sharedStrings.xml><?xml version="1.0" encoding="utf-8"?>
<sst xmlns="http://schemas.openxmlformats.org/spreadsheetml/2006/main" count="207" uniqueCount="161">
  <si>
    <t>Operating Scenario &gt;&gt;</t>
  </si>
  <si>
    <t>Growth</t>
  </si>
  <si>
    <t>Historical period</t>
  </si>
  <si>
    <t>Forecasts</t>
  </si>
  <si>
    <t>x</t>
  </si>
  <si>
    <t>Segment-wise drivers</t>
  </si>
  <si>
    <t>Textron Aviation</t>
  </si>
  <si>
    <t>Revenue ($ mn)</t>
  </si>
  <si>
    <t>Base</t>
  </si>
  <si>
    <t>Downside</t>
  </si>
  <si>
    <t>Extreme downside</t>
  </si>
  <si>
    <t>% Gross margin</t>
  </si>
  <si>
    <t>Bell</t>
  </si>
  <si>
    <t>Textron Systems</t>
  </si>
  <si>
    <t>Industrial</t>
  </si>
  <si>
    <t>Other income statement drivers</t>
  </si>
  <si>
    <t>SG&amp;A expenses as % of net sales</t>
  </si>
  <si>
    <t>R&amp;D expenses as % of net sales</t>
  </si>
  <si>
    <t>Other income as % of net sales</t>
  </si>
  <si>
    <t>Effective tax rate as % of income before taxes</t>
  </si>
  <si>
    <t>Balance sheet &amp; Cash flow statement drivers</t>
  </si>
  <si>
    <t>Accounts &amp; notes receiv. as % of net sales</t>
  </si>
  <si>
    <t>Inventories as % cost of sales</t>
  </si>
  <si>
    <t>Other current assets as % of net sales</t>
  </si>
  <si>
    <t>Other long term assets as % of net sales</t>
  </si>
  <si>
    <t>Accounts payable as % cost of sales</t>
  </si>
  <si>
    <t>Deferred Taxes as % book taxes</t>
  </si>
  <si>
    <t>Interest rate on debt as % of average O/S debt</t>
  </si>
  <si>
    <t>Debt repayment ($ mn)</t>
  </si>
  <si>
    <t>% income on average cash &amp; cash equivalents</t>
  </si>
  <si>
    <t>Capex ($ mn)</t>
  </si>
  <si>
    <t>Capex as % of net sales</t>
  </si>
  <si>
    <t>Useful life for PPE</t>
  </si>
  <si>
    <t>Addition to operating leases ($ mn)</t>
  </si>
  <si>
    <t>Addition to operating leases as % of net sales</t>
  </si>
  <si>
    <t>Discount rate for operating leases</t>
  </si>
  <si>
    <t>Existing operating leases - remaining life</t>
  </si>
  <si>
    <t>New operating leases - remaining life</t>
  </si>
  <si>
    <t>Impairment of goodwill ($ mn)</t>
  </si>
  <si>
    <t>Amortization of intangible assets (company guidance) ($ mn)</t>
  </si>
  <si>
    <t>Dividends paid ($ mn)</t>
  </si>
  <si>
    <t>Basic weighted-averages shares outstanding (mn)</t>
  </si>
  <si>
    <t>Dividend per share ($)</t>
  </si>
  <si>
    <t>Face value per share ($)</t>
  </si>
  <si>
    <t>Income Statement (in $ mn)</t>
  </si>
  <si>
    <t>Net sales</t>
  </si>
  <si>
    <t>Textron eAviation</t>
  </si>
  <si>
    <t>Finance</t>
  </si>
  <si>
    <t>(-) Cost of sales</t>
  </si>
  <si>
    <t>LIFO inventory provision</t>
  </si>
  <si>
    <t>Inventory charge</t>
  </si>
  <si>
    <t>Intangible asset amortization</t>
  </si>
  <si>
    <t>Gross Margin</t>
  </si>
  <si>
    <t>(-) Selling and administrative expense</t>
  </si>
  <si>
    <t>(-) Research and development costs</t>
  </si>
  <si>
    <t>(-) Operating lease costs</t>
  </si>
  <si>
    <t>EBIT</t>
  </si>
  <si>
    <t>(+) Depreciation expense from PPE</t>
  </si>
  <si>
    <t>(+) Amortization of intangible assets</t>
  </si>
  <si>
    <t>EBITDA</t>
  </si>
  <si>
    <t>(-) Special charges</t>
  </si>
  <si>
    <t>(-) Interest expense on debt</t>
  </si>
  <si>
    <t>(+) Interest income</t>
  </si>
  <si>
    <t>(+) Non-service components of postretirement income</t>
  </si>
  <si>
    <t>Income before taxes</t>
  </si>
  <si>
    <t>(-) Income tax expense</t>
  </si>
  <si>
    <t>Income from continuing operations</t>
  </si>
  <si>
    <t>Loss from discontinued operations</t>
  </si>
  <si>
    <t>Net income</t>
  </si>
  <si>
    <t>Balance Sheet (in $ mn)</t>
  </si>
  <si>
    <t>Cash and cash equivalents</t>
  </si>
  <si>
    <t>Accounts and notes receivables</t>
  </si>
  <si>
    <t>Inventories</t>
  </si>
  <si>
    <t>Other current assets</t>
  </si>
  <si>
    <t>Total current assets</t>
  </si>
  <si>
    <t>Property, plant and equipment, net</t>
  </si>
  <si>
    <t>Goodwill</t>
  </si>
  <si>
    <t>Other intangible assets, net</t>
  </si>
  <si>
    <t>Deferred income taxes assets, net</t>
  </si>
  <si>
    <t>Operating lease assets</t>
  </si>
  <si>
    <t>Other long-term assets</t>
  </si>
  <si>
    <t>Total long term assets</t>
  </si>
  <si>
    <t>Total assets</t>
  </si>
  <si>
    <t>Accounts payable</t>
  </si>
  <si>
    <t>Other current liabilities</t>
  </si>
  <si>
    <t>Total current liabilities</t>
  </si>
  <si>
    <t>Total debt</t>
  </si>
  <si>
    <t>Operating lease liabilities</t>
  </si>
  <si>
    <t>Other non-current liabilities</t>
  </si>
  <si>
    <t>Total non-current liabilities</t>
  </si>
  <si>
    <t>Total liabilities</t>
  </si>
  <si>
    <t>Common stock</t>
  </si>
  <si>
    <t>Additional Paid-in-capital</t>
  </si>
  <si>
    <t>Retained earnings</t>
  </si>
  <si>
    <t>Treasury stock</t>
  </si>
  <si>
    <t>Accumulated other comprehensive loss</t>
  </si>
  <si>
    <t>Total equity</t>
  </si>
  <si>
    <t>Total liabilities and equity</t>
  </si>
  <si>
    <t>Check</t>
  </si>
  <si>
    <t>Cash flow statement (in $ mn)</t>
  </si>
  <si>
    <t>Consolidated net income</t>
  </si>
  <si>
    <t>(-) Asset impairments and powersports inventory charge</t>
  </si>
  <si>
    <t>(+) Depreciation and amortization</t>
  </si>
  <si>
    <t>(+/-) Deferred income taxes</t>
  </si>
  <si>
    <t>(+/-) Working capital changes</t>
  </si>
  <si>
    <t>Net cash provided by operating activities</t>
  </si>
  <si>
    <t>Investing activities:</t>
  </si>
  <si>
    <t>(-) Capital expenditures</t>
  </si>
  <si>
    <t>(+/-) Proceeds from finance receivables</t>
  </si>
  <si>
    <t>(-) Equity investees, business acquistions, divestitures</t>
  </si>
  <si>
    <t>(+/-) Other, net</t>
  </si>
  <si>
    <t>Net cash used in investing activities</t>
  </si>
  <si>
    <t>Financing activities:</t>
  </si>
  <si>
    <t>(+/-) Proceeds from borrowings</t>
  </si>
  <si>
    <t>(-) Dividend payments on common stock</t>
  </si>
  <si>
    <t>(+) Issuance / (-) Repurchase of common stock</t>
  </si>
  <si>
    <t>(+/-) Other financing activities</t>
  </si>
  <si>
    <t>Net cash (used in) provided by financing activities</t>
  </si>
  <si>
    <t>(+/-) Effect of exchange rate changes</t>
  </si>
  <si>
    <t>Cash and cash equivalents at beginning of year</t>
  </si>
  <si>
    <t>Net (decrease) increase in cash and cash equivalents</t>
  </si>
  <si>
    <t>Cash and cash equivalents at end of year</t>
  </si>
  <si>
    <t>Numerical year #</t>
  </si>
  <si>
    <t>PPE schedule (in $ mn)</t>
  </si>
  <si>
    <t>Opening balance</t>
  </si>
  <si>
    <t>(+) CapEx</t>
  </si>
  <si>
    <t>Closing balance</t>
  </si>
  <si>
    <t>Useful life of existing after ending of 2024</t>
  </si>
  <si>
    <t>Useful life of new assets</t>
  </si>
  <si>
    <t>Accumulated depreciation</t>
  </si>
  <si>
    <t>For existing assets</t>
  </si>
  <si>
    <t>For new assets</t>
  </si>
  <si>
    <t>Operating lease schedule (in $ mn)</t>
  </si>
  <si>
    <t>Existing leases</t>
  </si>
  <si>
    <t>New leases</t>
  </si>
  <si>
    <t>Discount Rate</t>
  </si>
  <si>
    <t>Lease Term (Years)</t>
  </si>
  <si>
    <t>Operating lease asset</t>
  </si>
  <si>
    <t>Operating lease liability</t>
  </si>
  <si>
    <t>Total lease payments</t>
  </si>
  <si>
    <t>Total interest element</t>
  </si>
  <si>
    <t>Total depreciation element</t>
  </si>
  <si>
    <t>New operating leases:</t>
  </si>
  <si>
    <t>Addition</t>
  </si>
  <si>
    <t>Addition of annual payment due to new leases</t>
  </si>
  <si>
    <t>Interest payments</t>
  </si>
  <si>
    <t>Addition of interest payment due to new leases</t>
  </si>
  <si>
    <t>Selected</t>
  </si>
  <si>
    <t>Textron Inc. | Schedules</t>
  </si>
  <si>
    <t>Other current liabilities as % total Costs + Opex</t>
  </si>
  <si>
    <t>Other non-current liabilities as % total Costs + Opex</t>
  </si>
  <si>
    <t>Textron Inc.| Operating model</t>
  </si>
  <si>
    <t>Depreciation waterfall</t>
  </si>
  <si>
    <t>Depreciation charge for the year</t>
  </si>
  <si>
    <t>Net PPE assets</t>
  </si>
  <si>
    <t>CAPEX</t>
  </si>
  <si>
    <t>Annual payment waterfall</t>
  </si>
  <si>
    <t>Lease Additions</t>
  </si>
  <si>
    <t>% increase in revenue</t>
  </si>
  <si>
    <t>Shares Issued / Repurchased (mn)</t>
  </si>
  <si>
    <t>Issue / Repurchase price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</si>
</sst>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yyyy&quot;A &quot;"/>
    <numFmt numFmtId="165" formatCode="yyyy&quot;E &quot;"/>
    <numFmt numFmtId="166" formatCode="#,##0.0%_);\(#,##0.0%\);0.0%_)"/>
    <numFmt numFmtId="167" formatCode="#,##0_);\(#,##0\);0_)"/>
    <numFmt numFmtId="168" formatCode="#,##0.0_);\(#,##0.0\);0.0_)"/>
    <numFmt numFmtId="169" formatCode=";;;"/>
    <numFmt numFmtId="170" formatCode="#,##0.000_);\(#,##0.000\);0.000_)"/>
    <numFmt numFmtId="171" formatCode="#,##0.00%_);\(#,##0.00%\);0.00%_)"/>
    <numFmt numFmtId="172" formatCode="#,##0.00_);\(#,##0.00\);0.00_)"/>
    <numFmt numFmtId="173" formatCode="yyyy\A_)"/>
    <numFmt numFmtId="174" formatCode="yyyy\F_)"/>
    <numFmt numFmtId="175" formatCode="#,##0.0\ &quot;years&quot;_);\(#,##0.0\);0.0_)"/>
    <numFmt numFmtId="176" formatCode="yyyy&quot;E&quot;_)"/>
    <numFmt numFmtId="177" formatCode="#,##0.0_);\(#,##0.0\);\-\ "/>
    <numFmt numFmtId="178" formatCode="#,##0_);\(#,##0\);\-\ "/>
    <numFmt numFmtId="179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0000FF"/>
      <name val="Calibri"/>
      <family val="2"/>
    </font>
    <font>
      <b/>
      <sz val="16"/>
      <name val="Calibri"/>
      <family val="2"/>
    </font>
    <font>
      <sz val="11"/>
      <color rgb="FF196B24"/>
      <name val="Calibri"/>
      <family val="2"/>
    </font>
    <font>
      <sz val="11"/>
      <color rgb="FFA02B93"/>
      <name val="Calibri"/>
      <family val="2"/>
    </font>
    <font>
      <b/>
      <sz val="11"/>
      <color rgb="FFFF0000"/>
      <name val="Calibri"/>
      <family val="2"/>
    </font>
    <font>
      <i/>
      <sz val="11"/>
      <color rgb="FFFF0000"/>
      <name val="Calibri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9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 tint="-0.249977111117893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92">
    <xf numFmtId="0" fontId="0" fillId="0" borderId="0" xfId="0"/>
    <xf numFmtId="0" fontId="2" fillId="0" borderId="0" xfId="0" applyFont="1" applyAlignment="1">
      <alignment horizontal="left" indent="1"/>
    </xf>
    <xf numFmtId="0" fontId="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169" fontId="2" fillId="0" borderId="0" xfId="0" applyNumberFormat="1" applyFont="1" applyAlignment="1">
      <alignment vertical="center"/>
    </xf>
    <xf numFmtId="0" fontId="7" fillId="2" borderId="7" xfId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7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167" fontId="3" fillId="0" borderId="3" xfId="0" applyNumberFormat="1" applyFont="1" applyBorder="1" applyAlignment="1">
      <alignment horizontal="right" vertical="center"/>
    </xf>
    <xf numFmtId="167" fontId="2" fillId="0" borderId="0" xfId="0" applyNumberFormat="1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168" fontId="7" fillId="2" borderId="1" xfId="1" applyNumberFormat="1" applyFont="1" applyAlignment="1">
      <alignment horizontal="right" vertical="center"/>
    </xf>
    <xf numFmtId="166" fontId="7" fillId="2" borderId="1" xfId="1" applyNumberFormat="1" applyFont="1" applyAlignment="1">
      <alignment horizontal="right" vertical="center"/>
    </xf>
    <xf numFmtId="167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8" fontId="2" fillId="0" borderId="0" xfId="0" applyNumberFormat="1" applyFont="1" applyAlignment="1">
      <alignment horizontal="right" vertical="center"/>
    </xf>
    <xf numFmtId="167" fontId="13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167" fontId="3" fillId="0" borderId="4" xfId="0" applyNumberFormat="1" applyFont="1" applyBorder="1" applyAlignment="1">
      <alignment horizontal="right" vertical="center"/>
    </xf>
    <xf numFmtId="169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69" fontId="3" fillId="0" borderId="0" xfId="0" applyNumberFormat="1" applyFont="1" applyAlignment="1">
      <alignment vertical="center"/>
    </xf>
    <xf numFmtId="167" fontId="13" fillId="0" borderId="0" xfId="0" applyNumberFormat="1" applyFont="1" applyAlignment="1">
      <alignment vertical="center"/>
    </xf>
    <xf numFmtId="171" fontId="7" fillId="2" borderId="1" xfId="1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Continuous" vertical="center"/>
    </xf>
    <xf numFmtId="0" fontId="5" fillId="3" borderId="0" xfId="0" applyFont="1" applyFill="1" applyAlignment="1">
      <alignment horizontal="centerContinuous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6" fontId="6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167" fontId="6" fillId="0" borderId="0" xfId="0" applyNumberFormat="1" applyFont="1" applyAlignment="1">
      <alignment horizontal="right" vertical="center"/>
    </xf>
    <xf numFmtId="168" fontId="2" fillId="0" borderId="0" xfId="0" applyNumberFormat="1" applyFont="1" applyAlignment="1">
      <alignment vertical="center"/>
    </xf>
    <xf numFmtId="167" fontId="7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right" vertical="center"/>
    </xf>
    <xf numFmtId="0" fontId="2" fillId="0" borderId="5" xfId="0" applyFont="1" applyBorder="1" applyAlignment="1">
      <alignment vertical="center"/>
    </xf>
    <xf numFmtId="167" fontId="7" fillId="0" borderId="5" xfId="0" applyNumberFormat="1" applyFont="1" applyBorder="1" applyAlignment="1">
      <alignment horizontal="right" vertical="center"/>
    </xf>
    <xf numFmtId="167" fontId="8" fillId="0" borderId="5" xfId="0" applyNumberFormat="1" applyFont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7" fontId="10" fillId="0" borderId="3" xfId="0" applyNumberFormat="1" applyFont="1" applyBorder="1" applyAlignment="1">
      <alignment horizontal="right" vertical="center"/>
    </xf>
    <xf numFmtId="167" fontId="11" fillId="0" borderId="0" xfId="0" applyNumberFormat="1" applyFont="1" applyAlignment="1">
      <alignment horizontal="right" vertical="center"/>
    </xf>
    <xf numFmtId="167" fontId="10" fillId="0" borderId="4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4" borderId="10" xfId="0" applyFont="1" applyFill="1" applyBorder="1" applyAlignment="1">
      <alignment horizontal="centerContinuous" vertical="center"/>
    </xf>
    <xf numFmtId="0" fontId="4" fillId="4" borderId="6" xfId="0" applyFont="1" applyFill="1" applyBorder="1" applyAlignment="1">
      <alignment horizontal="centerContinuous" vertical="center"/>
    </xf>
    <xf numFmtId="164" fontId="4" fillId="4" borderId="8" xfId="0" applyNumberFormat="1" applyFont="1" applyFill="1" applyBorder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164" fontId="4" fillId="4" borderId="9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167" fontId="7" fillId="2" borderId="1" xfId="1" applyNumberFormat="1" applyFont="1" applyAlignment="1">
      <alignment horizontal="right" vertical="center"/>
    </xf>
    <xf numFmtId="0" fontId="2" fillId="5" borderId="0" xfId="0" applyFont="1" applyFill="1" applyAlignment="1">
      <alignment vertical="center"/>
    </xf>
    <xf numFmtId="164" fontId="6" fillId="5" borderId="0" xfId="0" applyNumberFormat="1" applyFont="1" applyFill="1" applyAlignment="1">
      <alignment vertical="center"/>
    </xf>
    <xf numFmtId="167" fontId="6" fillId="5" borderId="0" xfId="0" applyNumberFormat="1" applyFont="1" applyFill="1" applyAlignment="1">
      <alignment horizontal="right" vertical="center"/>
    </xf>
    <xf numFmtId="173" fontId="4" fillId="0" borderId="0" xfId="0" applyNumberFormat="1" applyFont="1" applyAlignment="1">
      <alignment vertical="center"/>
    </xf>
    <xf numFmtId="174" fontId="15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174" fontId="2" fillId="0" borderId="0" xfId="0" applyNumberFormat="1" applyFont="1" applyAlignment="1">
      <alignment horizontal="left" vertical="center"/>
    </xf>
    <xf numFmtId="167" fontId="3" fillId="0" borderId="4" xfId="0" applyNumberFormat="1" applyFont="1" applyBorder="1" applyAlignment="1">
      <alignment vertical="center"/>
    </xf>
    <xf numFmtId="175" fontId="7" fillId="2" borderId="1" xfId="1" applyNumberFormat="1" applyFont="1" applyAlignment="1">
      <alignment horizontal="right" vertical="center"/>
    </xf>
    <xf numFmtId="168" fontId="3" fillId="0" borderId="0" xfId="0" applyNumberFormat="1" applyFont="1" applyAlignment="1">
      <alignment vertical="center"/>
    </xf>
    <xf numFmtId="173" fontId="2" fillId="0" borderId="0" xfId="0" applyNumberFormat="1" applyFont="1" applyAlignment="1">
      <alignment vertical="center"/>
    </xf>
    <xf numFmtId="175" fontId="13" fillId="2" borderId="1" xfId="1" applyNumberFormat="1" applyFont="1" applyAlignment="1">
      <alignment horizontal="right" vertical="center"/>
    </xf>
    <xf numFmtId="176" fontId="2" fillId="0" borderId="0" xfId="0" applyNumberFormat="1" applyFont="1" applyAlignment="1">
      <alignment horizontal="left" vertical="center"/>
    </xf>
    <xf numFmtId="0" fontId="16" fillId="0" borderId="0" xfId="0" applyFont="1" applyAlignment="1">
      <alignment vertical="center"/>
    </xf>
    <xf numFmtId="177" fontId="16" fillId="0" borderId="0" xfId="0" applyNumberFormat="1" applyFont="1" applyAlignment="1">
      <alignment horizontal="right" vertical="center"/>
    </xf>
    <xf numFmtId="0" fontId="2" fillId="0" borderId="0" xfId="0" applyFont="1"/>
    <xf numFmtId="167" fontId="2" fillId="0" borderId="0" xfId="0" applyNumberFormat="1" applyFont="1"/>
    <xf numFmtId="166" fontId="8" fillId="0" borderId="0" xfId="0" applyNumberFormat="1" applyFont="1" applyAlignment="1">
      <alignment horizontal="right" vertical="center"/>
    </xf>
    <xf numFmtId="168" fontId="7" fillId="0" borderId="0" xfId="0" applyNumberFormat="1" applyFont="1" applyAlignment="1">
      <alignment horizontal="right" vertical="center"/>
    </xf>
    <xf numFmtId="172" fontId="6" fillId="0" borderId="0" xfId="0" applyNumberFormat="1" applyFont="1" applyAlignment="1">
      <alignment horizontal="right" vertical="center"/>
    </xf>
    <xf numFmtId="172" fontId="7" fillId="2" borderId="1" xfId="1" applyNumberFormat="1" applyFont="1" applyAlignment="1">
      <alignment horizontal="right" vertical="center"/>
    </xf>
    <xf numFmtId="170" fontId="7" fillId="2" borderId="1" xfId="1" applyNumberFormat="1" applyFont="1" applyAlignment="1">
      <alignment horizontal="right" vertical="center"/>
    </xf>
    <xf numFmtId="171" fontId="8" fillId="0" borderId="0" xfId="0" applyNumberFormat="1" applyFont="1" applyAlignment="1">
      <alignment horizontal="right" vertical="center"/>
    </xf>
    <xf numFmtId="168" fontId="13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8" fontId="3" fillId="0" borderId="3" xfId="0" applyNumberFormat="1" applyFont="1" applyBorder="1" applyAlignment="1">
      <alignment vertical="center"/>
    </xf>
    <xf numFmtId="171" fontId="13" fillId="2" borderId="1" xfId="1" applyNumberFormat="1" applyFont="1" applyAlignment="1">
      <alignment horizontal="right" vertical="center"/>
    </xf>
    <xf numFmtId="166" fontId="3" fillId="5" borderId="2" xfId="0" applyNumberFormat="1" applyFont="1" applyFill="1" applyBorder="1" applyAlignment="1">
      <alignment horizontal="right" vertical="center"/>
    </xf>
    <xf numFmtId="178" fontId="2" fillId="0" borderId="11" xfId="0" applyNumberFormat="1" applyFont="1" applyBorder="1" applyAlignment="1">
      <alignment horizontal="right" vertical="center"/>
    </xf>
    <xf numFmtId="167" fontId="7" fillId="0" borderId="0" xfId="0" applyNumberFormat="1" applyFont="1" applyAlignment="1">
      <alignment vertical="center"/>
    </xf>
    <xf numFmtId="168" fontId="13" fillId="0" borderId="0" xfId="0" applyNumberFormat="1" applyFont="1" applyAlignment="1">
      <alignment vertical="center"/>
    </xf>
    <xf numFmtId="179" fontId="2" fillId="0" borderId="0" xfId="0" applyNumberFormat="1" applyFont="1" applyAlignment="1">
      <alignment vertical="center"/>
    </xf>
    <xf numFmtId="177" fontId="2" fillId="0" borderId="11" xfId="0" applyNumberFormat="1" applyFont="1" applyBorder="1" applyAlignment="1">
      <alignment vertical="center"/>
    </xf>
    <xf numFmtId="177" fontId="2" fillId="0" borderId="12" xfId="0" applyNumberFormat="1" applyFont="1" applyBorder="1" applyAlignment="1">
      <alignment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Fav">
      <a:dk1>
        <a:sysClr val="windowText" lastClr="000000"/>
      </a:dk1>
      <a:lt1>
        <a:sysClr val="window" lastClr="FFFFFF"/>
      </a:lt1>
      <a:dk2>
        <a:srgbClr val="00205C"/>
      </a:dk2>
      <a:lt2>
        <a:srgbClr val="E7E6E6"/>
      </a:lt2>
      <a:accent1>
        <a:srgbClr val="76236C"/>
      </a:accent1>
      <a:accent2>
        <a:srgbClr val="3F738D"/>
      </a:accent2>
      <a:accent3>
        <a:srgbClr val="FEDA2F"/>
      </a:accent3>
      <a:accent4>
        <a:srgbClr val="411315"/>
      </a:accent4>
      <a:accent5>
        <a:srgbClr val="FBA91E"/>
      </a:accent5>
      <a:accent6>
        <a:srgbClr val="09172C"/>
      </a:accent6>
      <a:hlink>
        <a:srgbClr val="00205C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0716-AAB6-4A90-B685-B48563FD9742}">
  <sheetPr>
    <pageSetUpPr fitToPage="1"/>
  </sheetPr>
  <dimension ref="A1:S196"/>
  <sheetViews>
    <sheetView showGridLines="0" tabSelected="1" zoomScale="85" zoomScaleNormal="85" zoomScaleSheetLayoutView="85" workbookViewId="0">
      <pane xSplit="5" ySplit="4" topLeftCell="F5" activePane="bottomRight" state="frozen"/>
      <selection pane="topRight" activeCell="B6" sqref="B6"/>
      <selection pane="bottomLeft" activeCell="B6" sqref="B6"/>
      <selection pane="bottomRight" activeCell="F5" sqref="F5"/>
    </sheetView>
  </sheetViews>
  <sheetFormatPr defaultColWidth="13.5546875" defaultRowHeight="16.2" customHeight="1" x14ac:dyDescent="0.3"/>
  <cols>
    <col min="1" max="1" width="1.6640625" style="5" customWidth="1"/>
    <col min="2" max="9" width="13.5546875" style="2" customWidth="1"/>
    <col min="10" max="16384" width="13.5546875" style="2"/>
  </cols>
  <sheetData>
    <row r="1" spans="1:19" ht="21" x14ac:dyDescent="0.3">
      <c r="B1" s="3" t="s">
        <v>151</v>
      </c>
      <c r="C1" s="3"/>
      <c r="D1" s="3"/>
      <c r="E1" s="3"/>
      <c r="F1" s="3"/>
      <c r="G1" s="3"/>
      <c r="H1" s="4"/>
      <c r="I1" s="3"/>
      <c r="J1" s="3"/>
      <c r="K1" s="3"/>
      <c r="L1" s="3"/>
      <c r="M1" s="3"/>
      <c r="N1" s="3"/>
    </row>
    <row r="3" spans="1:19" ht="16.2" customHeight="1" x14ac:dyDescent="0.3">
      <c r="B3" s="7" t="s">
        <v>0</v>
      </c>
      <c r="D3" s="6" t="s">
        <v>8</v>
      </c>
      <c r="F3" s="52" t="s">
        <v>2</v>
      </c>
      <c r="G3" s="52"/>
      <c r="H3" s="51"/>
      <c r="I3" s="52" t="s">
        <v>3</v>
      </c>
      <c r="J3" s="52"/>
      <c r="K3" s="52"/>
      <c r="L3" s="52"/>
      <c r="M3" s="52"/>
      <c r="N3" s="52"/>
    </row>
    <row r="4" spans="1:19" ht="16.2" customHeight="1" x14ac:dyDescent="0.3">
      <c r="B4" s="28"/>
      <c r="C4" s="28"/>
      <c r="D4" s="28"/>
      <c r="E4" s="29"/>
      <c r="F4" s="53">
        <f>+EOMONTH(G4,-12)</f>
        <v>44926</v>
      </c>
      <c r="G4" s="53">
        <f>+EOMONTH(H4,-12)</f>
        <v>45291</v>
      </c>
      <c r="H4" s="55">
        <f>+DATE(2024,12,31)</f>
        <v>45657</v>
      </c>
      <c r="I4" s="54">
        <f>+EOMONTH(H4,12)</f>
        <v>46022</v>
      </c>
      <c r="J4" s="54">
        <f t="shared" ref="J4:N4" si="0">+EOMONTH(I4,12)</f>
        <v>46387</v>
      </c>
      <c r="K4" s="54">
        <f t="shared" si="0"/>
        <v>46752</v>
      </c>
      <c r="L4" s="54">
        <f t="shared" si="0"/>
        <v>47118</v>
      </c>
      <c r="M4" s="54">
        <f t="shared" si="0"/>
        <v>47483</v>
      </c>
      <c r="N4" s="54">
        <f t="shared" si="0"/>
        <v>47848</v>
      </c>
    </row>
    <row r="5" spans="1:19" ht="16.2" customHeight="1" x14ac:dyDescent="0.3">
      <c r="A5" s="5" t="s">
        <v>4</v>
      </c>
      <c r="B5" s="30" t="s">
        <v>5</v>
      </c>
      <c r="C5" s="31"/>
      <c r="D5" s="31"/>
      <c r="E5" s="31"/>
      <c r="F5" s="31"/>
      <c r="G5" s="32"/>
      <c r="H5" s="31"/>
      <c r="I5" s="31"/>
      <c r="J5" s="31"/>
      <c r="K5" s="31"/>
      <c r="L5" s="31"/>
      <c r="M5" s="31"/>
      <c r="N5" s="31"/>
    </row>
    <row r="6" spans="1:19" ht="16.2" customHeight="1" x14ac:dyDescent="0.3">
      <c r="B6" s="56" t="s">
        <v>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85"/>
    </row>
    <row r="7" spans="1:19" ht="16.2" customHeight="1" x14ac:dyDescent="0.3">
      <c r="A7" s="2"/>
      <c r="B7" s="33" t="s">
        <v>7</v>
      </c>
      <c r="C7" s="33"/>
      <c r="D7" s="33"/>
      <c r="E7" s="34"/>
      <c r="F7" s="14"/>
      <c r="G7" s="14"/>
      <c r="H7" s="14"/>
      <c r="I7" s="38"/>
      <c r="J7" s="38"/>
      <c r="K7" s="38"/>
      <c r="L7" s="38"/>
      <c r="M7" s="38"/>
      <c r="N7" s="38"/>
      <c r="O7" s="18"/>
      <c r="P7" s="18"/>
      <c r="Q7" s="18"/>
      <c r="R7" s="18"/>
      <c r="S7" s="18"/>
    </row>
    <row r="8" spans="1:19" ht="16.2" customHeight="1" x14ac:dyDescent="0.3">
      <c r="A8" s="2"/>
      <c r="B8" s="33" t="s">
        <v>158</v>
      </c>
      <c r="C8" s="33"/>
      <c r="D8" s="33"/>
      <c r="E8" s="34"/>
      <c r="F8" s="20"/>
      <c r="G8" s="75"/>
      <c r="H8" s="75"/>
      <c r="I8" s="35"/>
      <c r="J8" s="35"/>
      <c r="K8" s="35"/>
      <c r="L8" s="35"/>
      <c r="M8" s="35"/>
      <c r="N8" s="35"/>
      <c r="P8" s="18"/>
      <c r="Q8" s="18"/>
      <c r="R8" s="18"/>
      <c r="S8" s="18"/>
    </row>
    <row r="9" spans="1:19" ht="16.2" customHeight="1" x14ac:dyDescent="0.3">
      <c r="A9" s="2"/>
      <c r="B9" s="49" t="s">
        <v>1</v>
      </c>
      <c r="C9" s="33"/>
      <c r="D9" s="33"/>
      <c r="E9" s="34"/>
      <c r="F9" s="20"/>
      <c r="G9" s="20"/>
      <c r="H9" s="20"/>
      <c r="I9" s="16"/>
      <c r="J9" s="16"/>
      <c r="K9" s="16"/>
      <c r="L9" s="16"/>
      <c r="M9" s="16"/>
      <c r="N9" s="16"/>
      <c r="P9" s="18"/>
      <c r="Q9" s="18"/>
      <c r="R9" s="18"/>
      <c r="S9" s="18"/>
    </row>
    <row r="10" spans="1:19" ht="16.2" customHeight="1" x14ac:dyDescent="0.3">
      <c r="A10" s="2"/>
      <c r="B10" s="49" t="s">
        <v>8</v>
      </c>
      <c r="C10" s="33"/>
      <c r="D10" s="33"/>
      <c r="E10" s="34"/>
      <c r="F10" s="20"/>
      <c r="G10" s="20"/>
      <c r="H10" s="20"/>
      <c r="I10" s="16"/>
      <c r="J10" s="16"/>
      <c r="K10" s="16"/>
      <c r="L10" s="16"/>
      <c r="M10" s="16"/>
      <c r="N10" s="16"/>
      <c r="P10" s="18"/>
      <c r="Q10" s="18"/>
      <c r="R10" s="18"/>
      <c r="S10" s="18"/>
    </row>
    <row r="11" spans="1:19" ht="16.2" customHeight="1" x14ac:dyDescent="0.3">
      <c r="A11" s="2"/>
      <c r="B11" s="49" t="s">
        <v>9</v>
      </c>
      <c r="C11" s="33"/>
      <c r="D11" s="33"/>
      <c r="E11" s="34"/>
      <c r="F11" s="20"/>
      <c r="G11" s="20"/>
      <c r="H11" s="20"/>
      <c r="I11" s="16"/>
      <c r="J11" s="16"/>
      <c r="K11" s="16"/>
      <c r="L11" s="16"/>
      <c r="M11" s="16"/>
      <c r="N11" s="16"/>
      <c r="P11" s="18"/>
      <c r="Q11" s="18"/>
      <c r="R11" s="18"/>
      <c r="S11" s="18"/>
    </row>
    <row r="12" spans="1:19" ht="16.2" customHeight="1" x14ac:dyDescent="0.3">
      <c r="A12" s="2"/>
      <c r="B12" s="49" t="s">
        <v>10</v>
      </c>
      <c r="C12" s="33"/>
      <c r="D12" s="33"/>
      <c r="E12" s="34"/>
      <c r="F12" s="20"/>
      <c r="G12" s="20"/>
      <c r="H12" s="20"/>
      <c r="I12" s="16"/>
      <c r="J12" s="16"/>
      <c r="K12" s="16"/>
      <c r="L12" s="16"/>
      <c r="M12" s="16"/>
      <c r="N12" s="16"/>
      <c r="P12" s="18"/>
      <c r="Q12" s="18"/>
      <c r="R12" s="18"/>
      <c r="S12" s="18"/>
    </row>
    <row r="13" spans="1:19" s="73" customFormat="1" ht="14.4" x14ac:dyDescent="0.3">
      <c r="E13" s="74"/>
      <c r="F13" s="74"/>
      <c r="G13" s="74"/>
    </row>
    <row r="14" spans="1:19" ht="16.2" customHeight="1" x14ac:dyDescent="0.3">
      <c r="A14" s="2"/>
      <c r="B14" s="33" t="s">
        <v>11</v>
      </c>
      <c r="C14" s="33"/>
      <c r="D14" s="33"/>
      <c r="E14" s="34"/>
      <c r="F14" s="35"/>
      <c r="G14" s="35"/>
      <c r="H14" s="35"/>
      <c r="I14" s="16"/>
      <c r="J14" s="16"/>
      <c r="K14" s="16"/>
      <c r="L14" s="16"/>
      <c r="M14" s="16"/>
      <c r="N14" s="16"/>
    </row>
    <row r="15" spans="1:19" ht="16.2" customHeight="1" x14ac:dyDescent="0.3">
      <c r="A15" s="2"/>
      <c r="B15" s="33"/>
      <c r="C15" s="33"/>
      <c r="D15" s="33"/>
      <c r="E15" s="34"/>
      <c r="F15" s="36"/>
      <c r="G15" s="36"/>
      <c r="H15" s="36"/>
      <c r="I15" s="37"/>
      <c r="J15" s="37"/>
      <c r="K15" s="37"/>
      <c r="L15" s="37"/>
      <c r="M15" s="37"/>
      <c r="N15" s="37"/>
    </row>
    <row r="16" spans="1:19" ht="16.2" customHeight="1" x14ac:dyDescent="0.3">
      <c r="B16" s="56" t="s">
        <v>12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85"/>
    </row>
    <row r="17" spans="1:19" ht="16.2" customHeight="1" x14ac:dyDescent="0.3">
      <c r="A17" s="2"/>
      <c r="B17" s="33" t="s">
        <v>7</v>
      </c>
      <c r="C17" s="33"/>
      <c r="D17" s="33"/>
      <c r="E17" s="34"/>
      <c r="F17" s="14"/>
      <c r="G17" s="14"/>
      <c r="H17" s="14"/>
      <c r="I17" s="38"/>
      <c r="J17" s="38"/>
      <c r="K17" s="38"/>
      <c r="L17" s="38"/>
      <c r="M17" s="38"/>
      <c r="N17" s="38"/>
      <c r="O17" s="18"/>
      <c r="P17" s="18"/>
      <c r="Q17" s="18"/>
      <c r="R17" s="18"/>
      <c r="S17" s="18"/>
    </row>
    <row r="18" spans="1:19" ht="16.2" customHeight="1" x14ac:dyDescent="0.3">
      <c r="A18" s="2"/>
      <c r="B18" s="33" t="s">
        <v>158</v>
      </c>
      <c r="C18" s="33"/>
      <c r="D18" s="33"/>
      <c r="E18" s="34"/>
      <c r="F18" s="20"/>
      <c r="G18" s="75"/>
      <c r="H18" s="75"/>
      <c r="I18" s="35"/>
      <c r="J18" s="35"/>
      <c r="K18" s="35"/>
      <c r="L18" s="35"/>
      <c r="M18" s="35"/>
      <c r="N18" s="35"/>
      <c r="P18" s="18"/>
      <c r="Q18" s="18"/>
      <c r="R18" s="18"/>
      <c r="S18" s="18"/>
    </row>
    <row r="19" spans="1:19" ht="16.2" customHeight="1" x14ac:dyDescent="0.3">
      <c r="A19" s="2"/>
      <c r="B19" s="49" t="s">
        <v>1</v>
      </c>
      <c r="C19" s="33"/>
      <c r="D19" s="33"/>
      <c r="E19" s="34"/>
      <c r="F19" s="20"/>
      <c r="G19" s="20"/>
      <c r="H19" s="20"/>
      <c r="I19" s="16"/>
      <c r="J19" s="16"/>
      <c r="K19" s="16"/>
      <c r="L19" s="16"/>
      <c r="M19" s="16"/>
      <c r="N19" s="16"/>
      <c r="P19" s="18"/>
      <c r="Q19" s="18"/>
      <c r="R19" s="18"/>
      <c r="S19" s="18"/>
    </row>
    <row r="20" spans="1:19" ht="16.2" customHeight="1" x14ac:dyDescent="0.3">
      <c r="A20" s="2"/>
      <c r="B20" s="49" t="s">
        <v>8</v>
      </c>
      <c r="C20" s="33"/>
      <c r="D20" s="33"/>
      <c r="E20" s="34"/>
      <c r="F20" s="20"/>
      <c r="G20" s="20"/>
      <c r="H20" s="20"/>
      <c r="I20" s="16"/>
      <c r="J20" s="16"/>
      <c r="K20" s="16"/>
      <c r="L20" s="16"/>
      <c r="M20" s="16"/>
      <c r="N20" s="16"/>
      <c r="P20" s="18"/>
      <c r="Q20" s="18"/>
      <c r="R20" s="18"/>
      <c r="S20" s="18"/>
    </row>
    <row r="21" spans="1:19" ht="16.2" customHeight="1" x14ac:dyDescent="0.3">
      <c r="A21" s="2"/>
      <c r="B21" s="49" t="s">
        <v>9</v>
      </c>
      <c r="C21" s="33"/>
      <c r="D21" s="33"/>
      <c r="E21" s="34"/>
      <c r="F21" s="20"/>
      <c r="G21" s="20"/>
      <c r="H21" s="20"/>
      <c r="I21" s="16"/>
      <c r="J21" s="16"/>
      <c r="K21" s="16"/>
      <c r="L21" s="16"/>
      <c r="M21" s="16"/>
      <c r="N21" s="16"/>
      <c r="P21" s="18"/>
      <c r="Q21" s="18"/>
      <c r="R21" s="18"/>
      <c r="S21" s="18"/>
    </row>
    <row r="22" spans="1:19" ht="16.2" customHeight="1" x14ac:dyDescent="0.3">
      <c r="A22" s="2"/>
      <c r="B22" s="49" t="s">
        <v>10</v>
      </c>
      <c r="C22" s="33"/>
      <c r="D22" s="33"/>
      <c r="E22" s="34"/>
      <c r="F22" s="20"/>
      <c r="G22" s="20"/>
      <c r="H22" s="20"/>
      <c r="I22" s="16"/>
      <c r="J22" s="16"/>
      <c r="K22" s="16"/>
      <c r="L22" s="16"/>
      <c r="M22" s="16"/>
      <c r="N22" s="16"/>
      <c r="P22" s="18"/>
      <c r="Q22" s="18"/>
      <c r="R22" s="18"/>
      <c r="S22" s="18"/>
    </row>
    <row r="23" spans="1:19" s="73" customFormat="1" ht="14.4" x14ac:dyDescent="0.3">
      <c r="E23" s="74"/>
      <c r="F23" s="74"/>
      <c r="G23" s="74"/>
    </row>
    <row r="24" spans="1:19" ht="16.2" customHeight="1" x14ac:dyDescent="0.3">
      <c r="A24" s="2"/>
      <c r="B24" s="33" t="s">
        <v>11</v>
      </c>
      <c r="C24" s="33"/>
      <c r="D24" s="33"/>
      <c r="E24" s="34"/>
      <c r="F24" s="35"/>
      <c r="G24" s="35"/>
      <c r="H24" s="35"/>
      <c r="I24" s="16"/>
      <c r="J24" s="16"/>
      <c r="K24" s="16"/>
      <c r="L24" s="16"/>
      <c r="M24" s="16"/>
      <c r="N24" s="16"/>
    </row>
    <row r="25" spans="1:19" ht="16.2" customHeight="1" x14ac:dyDescent="0.3">
      <c r="A25" s="2"/>
      <c r="B25" s="33"/>
      <c r="C25" s="33"/>
      <c r="D25" s="33"/>
      <c r="E25" s="34"/>
      <c r="F25" s="36"/>
      <c r="G25" s="36"/>
      <c r="H25" s="36"/>
      <c r="I25" s="37"/>
      <c r="J25" s="37"/>
      <c r="K25" s="37"/>
      <c r="L25" s="37"/>
      <c r="M25" s="37"/>
      <c r="N25" s="37"/>
    </row>
    <row r="26" spans="1:19" ht="16.2" customHeight="1" x14ac:dyDescent="0.3">
      <c r="B26" s="56" t="s">
        <v>13</v>
      </c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85"/>
    </row>
    <row r="27" spans="1:19" ht="16.2" customHeight="1" x14ac:dyDescent="0.3">
      <c r="A27" s="2"/>
      <c r="B27" s="33" t="s">
        <v>7</v>
      </c>
      <c r="C27" s="33"/>
      <c r="D27" s="33"/>
      <c r="E27" s="34"/>
      <c r="F27" s="14"/>
      <c r="G27" s="14"/>
      <c r="H27" s="14"/>
      <c r="I27" s="38"/>
      <c r="J27" s="38"/>
      <c r="K27" s="38"/>
      <c r="L27" s="38"/>
      <c r="M27" s="38"/>
      <c r="N27" s="38"/>
      <c r="O27" s="18"/>
      <c r="P27" s="18"/>
      <c r="Q27" s="18"/>
      <c r="R27" s="18"/>
      <c r="S27" s="18"/>
    </row>
    <row r="28" spans="1:19" ht="16.2" customHeight="1" x14ac:dyDescent="0.3">
      <c r="A28" s="2"/>
      <c r="B28" s="33" t="s">
        <v>158</v>
      </c>
      <c r="C28" s="33"/>
      <c r="D28" s="33"/>
      <c r="E28" s="34"/>
      <c r="F28" s="20"/>
      <c r="G28" s="75"/>
      <c r="H28" s="75"/>
      <c r="I28" s="35"/>
      <c r="J28" s="35"/>
      <c r="K28" s="35"/>
      <c r="L28" s="35"/>
      <c r="M28" s="35"/>
      <c r="N28" s="35"/>
      <c r="P28" s="18"/>
      <c r="Q28" s="18"/>
      <c r="R28" s="18"/>
      <c r="S28" s="18"/>
    </row>
    <row r="29" spans="1:19" ht="16.2" customHeight="1" x14ac:dyDescent="0.3">
      <c r="A29" s="2"/>
      <c r="B29" s="49" t="s">
        <v>1</v>
      </c>
      <c r="C29" s="33"/>
      <c r="D29" s="33"/>
      <c r="E29" s="34"/>
      <c r="F29" s="20"/>
      <c r="G29" s="20"/>
      <c r="H29" s="20"/>
      <c r="I29" s="16"/>
      <c r="J29" s="16"/>
      <c r="K29" s="16"/>
      <c r="L29" s="16"/>
      <c r="M29" s="16"/>
      <c r="N29" s="16"/>
      <c r="P29" s="18"/>
      <c r="Q29" s="18"/>
      <c r="R29" s="18"/>
      <c r="S29" s="18"/>
    </row>
    <row r="30" spans="1:19" ht="16.2" customHeight="1" x14ac:dyDescent="0.3">
      <c r="A30" s="2"/>
      <c r="B30" s="49" t="s">
        <v>8</v>
      </c>
      <c r="C30" s="33"/>
      <c r="D30" s="33"/>
      <c r="E30" s="34"/>
      <c r="F30" s="20"/>
      <c r="G30" s="20"/>
      <c r="H30" s="20"/>
      <c r="I30" s="16"/>
      <c r="J30" s="16"/>
      <c r="K30" s="16"/>
      <c r="L30" s="16"/>
      <c r="M30" s="16"/>
      <c r="N30" s="16"/>
      <c r="P30" s="18"/>
      <c r="Q30" s="18"/>
      <c r="R30" s="18"/>
      <c r="S30" s="18"/>
    </row>
    <row r="31" spans="1:19" ht="16.2" customHeight="1" x14ac:dyDescent="0.3">
      <c r="A31" s="2"/>
      <c r="B31" s="49" t="s">
        <v>9</v>
      </c>
      <c r="C31" s="33"/>
      <c r="D31" s="33"/>
      <c r="E31" s="34"/>
      <c r="F31" s="20"/>
      <c r="G31" s="20"/>
      <c r="H31" s="20"/>
      <c r="I31" s="16"/>
      <c r="J31" s="16"/>
      <c r="K31" s="16"/>
      <c r="L31" s="16"/>
      <c r="M31" s="16"/>
      <c r="N31" s="16"/>
      <c r="P31" s="18"/>
      <c r="Q31" s="18"/>
      <c r="R31" s="18"/>
      <c r="S31" s="18"/>
    </row>
    <row r="32" spans="1:19" ht="16.2" customHeight="1" x14ac:dyDescent="0.3">
      <c r="A32" s="2"/>
      <c r="B32" s="49" t="s">
        <v>10</v>
      </c>
      <c r="C32" s="33"/>
      <c r="D32" s="33"/>
      <c r="E32" s="34"/>
      <c r="F32" s="20"/>
      <c r="G32" s="20"/>
      <c r="H32" s="20"/>
      <c r="I32" s="16"/>
      <c r="J32" s="16"/>
      <c r="K32" s="16"/>
      <c r="L32" s="16"/>
      <c r="M32" s="16"/>
      <c r="N32" s="16"/>
      <c r="P32" s="18"/>
      <c r="Q32" s="18"/>
      <c r="R32" s="18"/>
      <c r="S32" s="18"/>
    </row>
    <row r="33" spans="1:19" s="73" customFormat="1" ht="14.4" x14ac:dyDescent="0.3">
      <c r="E33" s="74"/>
      <c r="F33" s="74"/>
      <c r="G33" s="74"/>
    </row>
    <row r="34" spans="1:19" ht="16.2" customHeight="1" x14ac:dyDescent="0.3">
      <c r="A34" s="2"/>
      <c r="B34" s="33" t="s">
        <v>11</v>
      </c>
      <c r="C34" s="33"/>
      <c r="D34" s="33"/>
      <c r="E34" s="34"/>
      <c r="F34" s="35"/>
      <c r="G34" s="35"/>
      <c r="H34" s="35"/>
      <c r="I34" s="16"/>
      <c r="J34" s="16"/>
      <c r="K34" s="16"/>
      <c r="L34" s="16"/>
      <c r="M34" s="16"/>
      <c r="N34" s="16"/>
    </row>
    <row r="35" spans="1:19" ht="16.2" customHeight="1" x14ac:dyDescent="0.3">
      <c r="A35" s="2"/>
      <c r="B35" s="33"/>
      <c r="C35" s="33"/>
      <c r="D35" s="33"/>
      <c r="E35" s="34"/>
      <c r="F35" s="36"/>
      <c r="G35" s="36"/>
      <c r="H35" s="36"/>
      <c r="I35" s="37"/>
      <c r="J35" s="37"/>
      <c r="K35" s="37"/>
      <c r="L35" s="37"/>
      <c r="M35" s="37"/>
      <c r="N35" s="37"/>
    </row>
    <row r="36" spans="1:19" ht="16.2" customHeight="1" x14ac:dyDescent="0.3">
      <c r="B36" s="56" t="s">
        <v>14</v>
      </c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85"/>
    </row>
    <row r="37" spans="1:19" ht="16.2" customHeight="1" x14ac:dyDescent="0.3">
      <c r="A37" s="2"/>
      <c r="B37" s="33" t="s">
        <v>7</v>
      </c>
      <c r="C37" s="33"/>
      <c r="D37" s="33"/>
      <c r="E37" s="34"/>
      <c r="F37" s="14"/>
      <c r="G37" s="14"/>
      <c r="H37" s="14"/>
      <c r="I37" s="38"/>
      <c r="J37" s="38"/>
      <c r="K37" s="38"/>
      <c r="L37" s="38"/>
      <c r="M37" s="38"/>
      <c r="N37" s="38"/>
      <c r="O37" s="18"/>
      <c r="P37" s="18"/>
      <c r="Q37" s="18"/>
      <c r="R37" s="18"/>
      <c r="S37" s="18"/>
    </row>
    <row r="38" spans="1:19" ht="16.2" customHeight="1" x14ac:dyDescent="0.3">
      <c r="A38" s="2"/>
      <c r="B38" s="33" t="s">
        <v>158</v>
      </c>
      <c r="C38" s="33"/>
      <c r="D38" s="33"/>
      <c r="E38" s="34"/>
      <c r="F38" s="20"/>
      <c r="G38" s="75"/>
      <c r="H38" s="75"/>
      <c r="I38" s="35"/>
      <c r="J38" s="35"/>
      <c r="K38" s="35"/>
      <c r="L38" s="35"/>
      <c r="M38" s="35"/>
      <c r="N38" s="35"/>
      <c r="P38" s="18"/>
      <c r="Q38" s="18"/>
      <c r="R38" s="18"/>
      <c r="S38" s="18"/>
    </row>
    <row r="39" spans="1:19" ht="16.2" customHeight="1" x14ac:dyDescent="0.3">
      <c r="A39" s="2"/>
      <c r="B39" s="49" t="s">
        <v>1</v>
      </c>
      <c r="C39" s="33"/>
      <c r="D39" s="33"/>
      <c r="E39" s="34"/>
      <c r="F39" s="20"/>
      <c r="G39" s="20"/>
      <c r="H39" s="20"/>
      <c r="I39" s="16"/>
      <c r="J39" s="16"/>
      <c r="K39" s="16"/>
      <c r="L39" s="16"/>
      <c r="M39" s="16"/>
      <c r="N39" s="16"/>
      <c r="P39" s="18"/>
      <c r="Q39" s="18"/>
      <c r="R39" s="18"/>
      <c r="S39" s="18"/>
    </row>
    <row r="40" spans="1:19" ht="16.2" customHeight="1" x14ac:dyDescent="0.3">
      <c r="A40" s="2"/>
      <c r="B40" s="49" t="s">
        <v>8</v>
      </c>
      <c r="C40" s="33"/>
      <c r="D40" s="33"/>
      <c r="E40" s="34"/>
      <c r="F40" s="20"/>
      <c r="G40" s="20"/>
      <c r="H40" s="20"/>
      <c r="I40" s="16"/>
      <c r="J40" s="16"/>
      <c r="K40" s="16"/>
      <c r="L40" s="16"/>
      <c r="M40" s="16"/>
      <c r="N40" s="16"/>
      <c r="P40" s="18"/>
      <c r="Q40" s="18"/>
      <c r="R40" s="18"/>
      <c r="S40" s="18"/>
    </row>
    <row r="41" spans="1:19" ht="16.2" customHeight="1" x14ac:dyDescent="0.3">
      <c r="A41" s="2"/>
      <c r="B41" s="49" t="s">
        <v>9</v>
      </c>
      <c r="C41" s="33"/>
      <c r="D41" s="33"/>
      <c r="E41" s="34"/>
      <c r="F41" s="20"/>
      <c r="G41" s="20"/>
      <c r="H41" s="20"/>
      <c r="I41" s="16"/>
      <c r="J41" s="16"/>
      <c r="K41" s="16"/>
      <c r="L41" s="16"/>
      <c r="M41" s="16"/>
      <c r="N41" s="16"/>
      <c r="P41" s="18"/>
      <c r="Q41" s="18"/>
      <c r="R41" s="18"/>
      <c r="S41" s="18"/>
    </row>
    <row r="42" spans="1:19" ht="16.2" customHeight="1" x14ac:dyDescent="0.3">
      <c r="A42" s="2"/>
      <c r="B42" s="49" t="s">
        <v>10</v>
      </c>
      <c r="C42" s="33"/>
      <c r="D42" s="33"/>
      <c r="E42" s="34"/>
      <c r="F42" s="20"/>
      <c r="G42" s="20"/>
      <c r="H42" s="20"/>
      <c r="I42" s="16"/>
      <c r="J42" s="16"/>
      <c r="K42" s="16"/>
      <c r="L42" s="16"/>
      <c r="M42" s="16"/>
      <c r="N42" s="16"/>
      <c r="P42" s="18"/>
      <c r="Q42" s="18"/>
      <c r="R42" s="18"/>
      <c r="S42" s="18"/>
    </row>
    <row r="43" spans="1:19" s="73" customFormat="1" ht="14.4" x14ac:dyDescent="0.3">
      <c r="E43" s="74"/>
      <c r="F43" s="74"/>
      <c r="G43" s="74"/>
    </row>
    <row r="44" spans="1:19" ht="16.2" customHeight="1" x14ac:dyDescent="0.3">
      <c r="A44" s="2"/>
      <c r="B44" s="33" t="s">
        <v>11</v>
      </c>
      <c r="C44" s="33"/>
      <c r="D44" s="33"/>
      <c r="E44" s="34"/>
      <c r="F44" s="35"/>
      <c r="G44" s="35"/>
      <c r="H44" s="35"/>
      <c r="I44" s="16"/>
      <c r="J44" s="16"/>
      <c r="K44" s="16"/>
      <c r="L44" s="16"/>
      <c r="M44" s="16"/>
      <c r="N44" s="16"/>
    </row>
    <row r="45" spans="1:19" ht="16.2" customHeight="1" x14ac:dyDescent="0.3">
      <c r="A45" s="2"/>
      <c r="B45" s="33"/>
      <c r="C45" s="33"/>
      <c r="D45" s="33"/>
      <c r="E45" s="34"/>
      <c r="F45" s="36"/>
      <c r="G45" s="36"/>
      <c r="H45" s="36"/>
      <c r="I45" s="37"/>
      <c r="J45" s="37"/>
      <c r="K45" s="37"/>
      <c r="L45" s="37"/>
      <c r="M45" s="37"/>
      <c r="N45" s="37"/>
    </row>
    <row r="46" spans="1:19" ht="16.2" customHeight="1" x14ac:dyDescent="0.3">
      <c r="A46" s="5" t="s">
        <v>4</v>
      </c>
      <c r="B46" s="30" t="s">
        <v>15</v>
      </c>
      <c r="C46" s="31"/>
      <c r="D46" s="31"/>
      <c r="E46" s="31"/>
      <c r="F46" s="31"/>
      <c r="G46" s="32"/>
      <c r="H46" s="31"/>
      <c r="I46" s="31"/>
      <c r="J46" s="31"/>
      <c r="K46" s="31"/>
      <c r="L46" s="31"/>
      <c r="M46" s="31"/>
      <c r="N46" s="31"/>
    </row>
    <row r="47" spans="1:19" ht="16.2" customHeight="1" x14ac:dyDescent="0.3">
      <c r="A47" s="2"/>
      <c r="B47" s="33" t="s">
        <v>16</v>
      </c>
      <c r="C47" s="33"/>
      <c r="D47" s="33"/>
      <c r="E47" s="34"/>
      <c r="F47" s="35"/>
      <c r="G47" s="35"/>
      <c r="H47" s="35"/>
      <c r="I47" s="16"/>
      <c r="J47" s="16"/>
      <c r="K47" s="16"/>
      <c r="L47" s="16"/>
      <c r="M47" s="16"/>
      <c r="N47" s="16"/>
    </row>
    <row r="48" spans="1:19" ht="16.2" customHeight="1" x14ac:dyDescent="0.3">
      <c r="A48" s="2"/>
      <c r="B48" s="33"/>
      <c r="C48" s="33"/>
      <c r="D48" s="33"/>
      <c r="E48" s="34"/>
      <c r="F48" s="36"/>
      <c r="G48" s="36"/>
      <c r="H48" s="36"/>
      <c r="I48" s="37"/>
      <c r="J48" s="37"/>
      <c r="K48" s="37"/>
      <c r="L48" s="37"/>
      <c r="M48" s="37"/>
      <c r="N48" s="37"/>
    </row>
    <row r="49" spans="1:14" ht="16.2" customHeight="1" x14ac:dyDescent="0.3">
      <c r="A49" s="2"/>
      <c r="B49" s="33" t="s">
        <v>17</v>
      </c>
      <c r="C49" s="33"/>
      <c r="D49" s="33"/>
      <c r="E49" s="34"/>
      <c r="F49" s="35"/>
      <c r="G49" s="35"/>
      <c r="H49" s="35"/>
      <c r="I49" s="16"/>
      <c r="J49" s="16"/>
      <c r="K49" s="16"/>
      <c r="L49" s="16"/>
      <c r="M49" s="16"/>
      <c r="N49" s="16"/>
    </row>
    <row r="50" spans="1:14" ht="16.2" customHeight="1" x14ac:dyDescent="0.3">
      <c r="A50" s="2"/>
      <c r="B50" s="33"/>
      <c r="C50" s="33"/>
      <c r="D50" s="33"/>
      <c r="E50" s="34"/>
      <c r="F50" s="36"/>
      <c r="G50" s="36"/>
      <c r="H50" s="36"/>
      <c r="I50" s="37"/>
      <c r="J50" s="37"/>
      <c r="K50" s="37"/>
      <c r="L50" s="37"/>
      <c r="M50" s="37"/>
      <c r="N50" s="37"/>
    </row>
    <row r="51" spans="1:14" ht="16.2" customHeight="1" x14ac:dyDescent="0.3">
      <c r="A51" s="2"/>
      <c r="B51" s="33" t="s">
        <v>18</v>
      </c>
      <c r="C51" s="33"/>
      <c r="D51" s="33"/>
      <c r="E51" s="34"/>
      <c r="F51" s="35"/>
      <c r="G51" s="35"/>
      <c r="H51" s="35"/>
      <c r="I51" s="16"/>
      <c r="J51" s="16"/>
      <c r="K51" s="16"/>
      <c r="L51" s="16"/>
      <c r="M51" s="16"/>
      <c r="N51" s="16"/>
    </row>
    <row r="52" spans="1:14" ht="16.2" customHeight="1" x14ac:dyDescent="0.3">
      <c r="A52" s="2"/>
      <c r="B52" s="33"/>
      <c r="C52" s="33"/>
      <c r="D52" s="33"/>
      <c r="E52" s="34"/>
      <c r="F52" s="36"/>
      <c r="G52" s="36"/>
      <c r="H52" s="36"/>
      <c r="I52" s="37"/>
      <c r="J52" s="37"/>
      <c r="K52" s="37"/>
      <c r="L52" s="37"/>
      <c r="M52" s="37"/>
      <c r="N52" s="37"/>
    </row>
    <row r="53" spans="1:14" ht="16.2" customHeight="1" x14ac:dyDescent="0.3">
      <c r="A53" s="2"/>
      <c r="B53" s="33" t="s">
        <v>19</v>
      </c>
      <c r="C53" s="33"/>
      <c r="D53" s="33"/>
      <c r="E53" s="34"/>
      <c r="F53" s="35"/>
      <c r="G53" s="35"/>
      <c r="H53" s="35"/>
      <c r="I53" s="16"/>
      <c r="J53" s="16"/>
      <c r="K53" s="16"/>
      <c r="L53" s="16"/>
      <c r="M53" s="16"/>
      <c r="N53" s="16"/>
    </row>
    <row r="54" spans="1:14" ht="16.2" customHeight="1" x14ac:dyDescent="0.3">
      <c r="A54" s="2"/>
      <c r="B54" s="33"/>
      <c r="C54" s="33"/>
      <c r="D54" s="33"/>
      <c r="E54" s="34"/>
      <c r="F54" s="38"/>
      <c r="G54" s="38"/>
      <c r="H54" s="38"/>
    </row>
    <row r="55" spans="1:14" ht="16.2" customHeight="1" x14ac:dyDescent="0.3">
      <c r="A55" s="5" t="s">
        <v>4</v>
      </c>
      <c r="B55" s="30" t="s">
        <v>20</v>
      </c>
      <c r="C55" s="31"/>
      <c r="D55" s="31"/>
      <c r="E55" s="31"/>
      <c r="F55" s="31"/>
      <c r="G55" s="32"/>
      <c r="H55" s="31"/>
      <c r="I55" s="31"/>
      <c r="J55" s="31"/>
      <c r="K55" s="31"/>
      <c r="L55" s="31"/>
      <c r="M55" s="31"/>
      <c r="N55" s="31"/>
    </row>
    <row r="56" spans="1:14" ht="16.2" customHeight="1" x14ac:dyDescent="0.3">
      <c r="A56" s="2"/>
      <c r="B56" s="33" t="s">
        <v>21</v>
      </c>
      <c r="C56" s="33"/>
      <c r="D56" s="33"/>
      <c r="E56" s="34"/>
      <c r="F56" s="35"/>
      <c r="G56" s="35"/>
      <c r="H56" s="35"/>
      <c r="I56" s="16"/>
      <c r="J56" s="16"/>
      <c r="K56" s="16"/>
      <c r="L56" s="16"/>
      <c r="M56" s="16"/>
      <c r="N56" s="16"/>
    </row>
    <row r="57" spans="1:14" ht="16.2" customHeight="1" x14ac:dyDescent="0.3">
      <c r="A57" s="2"/>
      <c r="B57" s="33" t="s">
        <v>22</v>
      </c>
      <c r="C57" s="33"/>
      <c r="D57" s="33"/>
      <c r="E57" s="34"/>
      <c r="F57" s="35"/>
      <c r="G57" s="35"/>
      <c r="H57" s="35"/>
      <c r="I57" s="16"/>
      <c r="J57" s="16"/>
      <c r="K57" s="16"/>
      <c r="L57" s="16"/>
      <c r="M57" s="16"/>
      <c r="N57" s="16"/>
    </row>
    <row r="58" spans="1:14" ht="16.2" customHeight="1" x14ac:dyDescent="0.3">
      <c r="A58" s="2"/>
      <c r="B58" s="33" t="s">
        <v>23</v>
      </c>
      <c r="C58" s="33"/>
      <c r="D58" s="33"/>
      <c r="E58" s="34"/>
      <c r="F58" s="35"/>
      <c r="G58" s="35"/>
      <c r="H58" s="35"/>
      <c r="I58" s="16"/>
      <c r="J58" s="16"/>
      <c r="K58" s="16"/>
      <c r="L58" s="16"/>
      <c r="M58" s="16"/>
      <c r="N58" s="16"/>
    </row>
    <row r="59" spans="1:14" ht="16.2" customHeight="1" x14ac:dyDescent="0.3">
      <c r="A59" s="2"/>
      <c r="B59" s="33" t="s">
        <v>24</v>
      </c>
      <c r="C59" s="33"/>
      <c r="D59" s="33"/>
      <c r="E59" s="34"/>
      <c r="F59" s="35"/>
      <c r="G59" s="35"/>
      <c r="H59" s="35"/>
      <c r="I59" s="16"/>
      <c r="J59" s="16"/>
      <c r="K59" s="16"/>
      <c r="L59" s="16"/>
      <c r="M59" s="16"/>
      <c r="N59" s="16"/>
    </row>
    <row r="60" spans="1:14" ht="16.2" customHeight="1" x14ac:dyDescent="0.3">
      <c r="A60" s="2"/>
      <c r="B60" s="33"/>
      <c r="C60" s="33"/>
      <c r="D60" s="33"/>
      <c r="E60" s="34"/>
      <c r="F60" s="36"/>
      <c r="G60" s="36"/>
      <c r="H60" s="36"/>
      <c r="I60" s="37"/>
      <c r="J60" s="37"/>
      <c r="K60" s="37"/>
      <c r="L60" s="37"/>
      <c r="M60" s="37"/>
      <c r="N60" s="37"/>
    </row>
    <row r="61" spans="1:14" ht="16.2" customHeight="1" x14ac:dyDescent="0.3">
      <c r="A61" s="2"/>
      <c r="B61" s="33" t="s">
        <v>25</v>
      </c>
      <c r="C61" s="33"/>
      <c r="D61" s="33"/>
      <c r="E61" s="34"/>
      <c r="F61" s="35"/>
      <c r="G61" s="35"/>
      <c r="H61" s="35"/>
      <c r="I61" s="16"/>
      <c r="J61" s="16"/>
      <c r="K61" s="16"/>
      <c r="L61" s="16"/>
      <c r="M61" s="16"/>
      <c r="N61" s="16"/>
    </row>
    <row r="62" spans="1:14" ht="16.2" customHeight="1" x14ac:dyDescent="0.3">
      <c r="A62" s="2"/>
      <c r="B62" s="33" t="s">
        <v>149</v>
      </c>
      <c r="C62" s="33"/>
      <c r="D62" s="33"/>
      <c r="E62" s="34"/>
      <c r="F62" s="35"/>
      <c r="G62" s="35"/>
      <c r="H62" s="35"/>
      <c r="I62" s="16"/>
      <c r="J62" s="16"/>
      <c r="K62" s="16"/>
      <c r="L62" s="16"/>
      <c r="M62" s="16"/>
      <c r="N62" s="16"/>
    </row>
    <row r="63" spans="1:14" ht="16.2" customHeight="1" x14ac:dyDescent="0.3">
      <c r="A63" s="2"/>
      <c r="B63" s="33" t="s">
        <v>150</v>
      </c>
      <c r="C63" s="33"/>
      <c r="D63" s="33"/>
      <c r="E63" s="34"/>
      <c r="F63" s="35"/>
      <c r="G63" s="35"/>
      <c r="H63" s="35"/>
      <c r="I63" s="16"/>
      <c r="J63" s="16"/>
      <c r="K63" s="16"/>
      <c r="L63" s="16"/>
      <c r="M63" s="16"/>
      <c r="N63" s="16"/>
    </row>
    <row r="64" spans="1:14" ht="16.2" customHeight="1" x14ac:dyDescent="0.3">
      <c r="A64" s="2"/>
      <c r="B64" s="33"/>
      <c r="C64" s="33"/>
      <c r="D64" s="33"/>
      <c r="E64" s="34"/>
      <c r="F64" s="35"/>
      <c r="G64" s="35"/>
      <c r="H64" s="35"/>
      <c r="I64" s="37"/>
      <c r="J64" s="37"/>
      <c r="K64" s="37"/>
      <c r="L64" s="37"/>
      <c r="M64" s="37"/>
      <c r="N64" s="37"/>
    </row>
    <row r="65" spans="1:14" ht="16.2" customHeight="1" x14ac:dyDescent="0.3">
      <c r="A65" s="2"/>
      <c r="B65" s="33" t="s">
        <v>26</v>
      </c>
      <c r="D65" s="33"/>
      <c r="E65" s="34"/>
      <c r="F65" s="35"/>
      <c r="G65" s="35"/>
      <c r="H65" s="35"/>
      <c r="I65" s="16"/>
      <c r="J65" s="16"/>
      <c r="K65" s="16"/>
      <c r="L65" s="16"/>
      <c r="M65" s="16"/>
      <c r="N65" s="16"/>
    </row>
    <row r="66" spans="1:14" ht="16.2" customHeight="1" x14ac:dyDescent="0.3">
      <c r="A66" s="2"/>
      <c r="B66" s="33"/>
      <c r="C66" s="33"/>
      <c r="D66" s="33"/>
      <c r="E66" s="34"/>
      <c r="F66" s="36"/>
      <c r="G66" s="36"/>
      <c r="H66" s="36"/>
    </row>
    <row r="67" spans="1:14" ht="16.2" customHeight="1" x14ac:dyDescent="0.3">
      <c r="A67" s="2"/>
      <c r="B67" s="33" t="s">
        <v>27</v>
      </c>
      <c r="C67" s="33"/>
      <c r="D67" s="33"/>
      <c r="E67" s="34"/>
      <c r="F67" s="59"/>
      <c r="G67" s="35"/>
      <c r="H67" s="35"/>
      <c r="I67" s="16"/>
      <c r="J67" s="16"/>
      <c r="K67" s="16"/>
      <c r="L67" s="16"/>
      <c r="M67" s="16"/>
      <c r="N67" s="16"/>
    </row>
    <row r="68" spans="1:14" ht="16.2" customHeight="1" x14ac:dyDescent="0.3">
      <c r="A68" s="2"/>
      <c r="B68" s="33" t="s">
        <v>28</v>
      </c>
      <c r="C68" s="33"/>
      <c r="D68" s="33"/>
      <c r="E68" s="34"/>
      <c r="F68" s="59"/>
      <c r="G68" s="59"/>
      <c r="H68" s="59"/>
      <c r="I68" s="15"/>
      <c r="J68" s="15"/>
      <c r="K68" s="15"/>
      <c r="L68" s="15"/>
      <c r="M68" s="15"/>
      <c r="N68" s="15"/>
    </row>
    <row r="69" spans="1:14" ht="16.2" customHeight="1" x14ac:dyDescent="0.3">
      <c r="A69" s="2"/>
      <c r="B69" s="33"/>
      <c r="C69" s="33"/>
      <c r="D69" s="33"/>
      <c r="E69" s="34"/>
      <c r="F69" s="36"/>
      <c r="G69" s="36"/>
      <c r="H69" s="36"/>
    </row>
    <row r="70" spans="1:14" ht="16.2" customHeight="1" x14ac:dyDescent="0.3">
      <c r="A70" s="2"/>
      <c r="B70" s="33" t="s">
        <v>29</v>
      </c>
      <c r="C70" s="33"/>
      <c r="D70" s="33"/>
      <c r="E70" s="34"/>
      <c r="F70" s="59"/>
      <c r="G70" s="35"/>
      <c r="H70" s="35"/>
      <c r="I70" s="16"/>
      <c r="J70" s="16"/>
      <c r="K70" s="16"/>
      <c r="L70" s="16"/>
      <c r="M70" s="16"/>
      <c r="N70" s="16"/>
    </row>
    <row r="71" spans="1:14" ht="16.2" customHeight="1" x14ac:dyDescent="0.3">
      <c r="A71" s="2"/>
      <c r="B71" s="33"/>
      <c r="C71" s="33"/>
      <c r="D71" s="33"/>
      <c r="E71" s="34"/>
      <c r="F71" s="36"/>
      <c r="G71" s="36"/>
      <c r="H71" s="36"/>
    </row>
    <row r="72" spans="1:14" ht="16.2" customHeight="1" x14ac:dyDescent="0.3">
      <c r="A72" s="2"/>
      <c r="B72" s="33" t="s">
        <v>30</v>
      </c>
      <c r="C72" s="33"/>
      <c r="D72" s="33"/>
      <c r="E72" s="34"/>
      <c r="F72" s="38"/>
      <c r="G72" s="38"/>
      <c r="H72" s="38"/>
      <c r="I72" s="38"/>
      <c r="J72" s="38"/>
      <c r="K72" s="38"/>
      <c r="L72" s="38"/>
      <c r="M72" s="38"/>
      <c r="N72" s="38"/>
    </row>
    <row r="73" spans="1:14" ht="16.2" customHeight="1" x14ac:dyDescent="0.3">
      <c r="A73" s="2"/>
      <c r="B73" s="33" t="s">
        <v>31</v>
      </c>
      <c r="C73" s="33"/>
      <c r="D73" s="33"/>
      <c r="E73" s="34"/>
      <c r="F73" s="35"/>
      <c r="G73" s="35"/>
      <c r="H73" s="35"/>
      <c r="I73" s="16"/>
      <c r="J73" s="16"/>
      <c r="K73" s="16"/>
      <c r="L73" s="16"/>
      <c r="M73" s="16"/>
      <c r="N73" s="16"/>
    </row>
    <row r="74" spans="1:14" ht="16.2" customHeight="1" x14ac:dyDescent="0.3">
      <c r="A74" s="2"/>
      <c r="B74" s="33" t="s">
        <v>32</v>
      </c>
      <c r="C74" s="33"/>
      <c r="D74" s="33"/>
      <c r="E74" s="34"/>
      <c r="F74" s="35"/>
      <c r="G74" s="35"/>
      <c r="H74" s="35"/>
      <c r="I74" s="66"/>
    </row>
    <row r="75" spans="1:14" ht="16.2" customHeight="1" x14ac:dyDescent="0.3">
      <c r="A75" s="2"/>
      <c r="B75" s="33"/>
      <c r="C75" s="33"/>
      <c r="D75" s="33"/>
      <c r="E75" s="34"/>
      <c r="F75" s="35"/>
      <c r="G75" s="35"/>
      <c r="H75" s="35"/>
      <c r="I75" s="37"/>
      <c r="J75" s="37"/>
      <c r="K75" s="37"/>
      <c r="L75" s="37"/>
      <c r="M75" s="37"/>
      <c r="N75" s="37"/>
    </row>
    <row r="76" spans="1:14" ht="16.2" customHeight="1" x14ac:dyDescent="0.3">
      <c r="A76" s="2"/>
      <c r="B76" s="33" t="s">
        <v>33</v>
      </c>
      <c r="C76" s="33"/>
      <c r="D76" s="33"/>
      <c r="E76" s="34"/>
      <c r="F76" s="40"/>
      <c r="G76" s="40"/>
      <c r="H76" s="40"/>
      <c r="I76" s="38"/>
      <c r="J76" s="38"/>
      <c r="K76" s="38"/>
      <c r="L76" s="38"/>
      <c r="M76" s="38"/>
      <c r="N76" s="38"/>
    </row>
    <row r="77" spans="1:14" ht="16.2" customHeight="1" x14ac:dyDescent="0.3">
      <c r="A77" s="2"/>
      <c r="B77" s="33" t="s">
        <v>34</v>
      </c>
      <c r="C77" s="33"/>
      <c r="D77" s="33"/>
      <c r="E77" s="34"/>
      <c r="F77" s="35"/>
      <c r="G77" s="35"/>
      <c r="H77" s="35"/>
      <c r="I77" s="16"/>
      <c r="J77" s="16"/>
      <c r="K77" s="16"/>
      <c r="L77" s="16"/>
      <c r="M77" s="16"/>
      <c r="N77" s="16"/>
    </row>
    <row r="78" spans="1:14" ht="16.2" customHeight="1" x14ac:dyDescent="0.3">
      <c r="A78" s="2"/>
      <c r="B78" s="33" t="s">
        <v>35</v>
      </c>
      <c r="C78" s="33"/>
      <c r="D78" s="33"/>
      <c r="E78" s="34"/>
      <c r="F78" s="35"/>
      <c r="G78" s="35"/>
      <c r="H78" s="35"/>
      <c r="I78" s="27"/>
    </row>
    <row r="79" spans="1:14" ht="16.2" customHeight="1" x14ac:dyDescent="0.3">
      <c r="A79" s="2"/>
      <c r="B79" s="33" t="s">
        <v>36</v>
      </c>
      <c r="C79" s="33"/>
      <c r="D79" s="33"/>
      <c r="E79" s="34"/>
      <c r="F79" s="35"/>
      <c r="G79" s="35"/>
      <c r="H79" s="35"/>
      <c r="I79" s="66"/>
    </row>
    <row r="80" spans="1:14" ht="16.2" customHeight="1" x14ac:dyDescent="0.3">
      <c r="A80" s="2"/>
      <c r="B80" s="33" t="s">
        <v>37</v>
      </c>
      <c r="C80" s="33"/>
      <c r="D80" s="33"/>
      <c r="E80" s="34"/>
      <c r="F80" s="35"/>
      <c r="G80" s="35"/>
      <c r="H80" s="35"/>
      <c r="I80" s="66"/>
    </row>
    <row r="81" spans="1:14" ht="16.2" customHeight="1" x14ac:dyDescent="0.3">
      <c r="A81" s="2"/>
      <c r="B81" s="33"/>
      <c r="C81" s="33"/>
      <c r="D81" s="33"/>
      <c r="E81" s="34"/>
      <c r="F81" s="35"/>
      <c r="G81" s="35"/>
      <c r="H81" s="35"/>
      <c r="I81" s="37"/>
      <c r="J81" s="37"/>
      <c r="K81" s="37"/>
      <c r="L81" s="37"/>
      <c r="M81" s="37"/>
      <c r="N81" s="37"/>
    </row>
    <row r="82" spans="1:14" ht="16.2" customHeight="1" x14ac:dyDescent="0.3">
      <c r="A82" s="2"/>
      <c r="B82" s="33" t="s">
        <v>38</v>
      </c>
      <c r="C82" s="33"/>
      <c r="D82" s="33"/>
      <c r="E82" s="34"/>
      <c r="F82" s="59"/>
      <c r="G82" s="59"/>
      <c r="H82" s="59"/>
      <c r="I82" s="57"/>
      <c r="J82" s="57"/>
      <c r="K82" s="57"/>
      <c r="L82" s="57"/>
      <c r="M82" s="57"/>
      <c r="N82" s="57"/>
    </row>
    <row r="83" spans="1:14" ht="16.2" customHeight="1" x14ac:dyDescent="0.3">
      <c r="A83" s="2"/>
      <c r="B83" s="33"/>
      <c r="C83" s="33"/>
      <c r="D83" s="33"/>
      <c r="E83" s="34"/>
      <c r="F83" s="36"/>
      <c r="G83" s="36"/>
      <c r="H83" s="36"/>
      <c r="I83" s="37"/>
      <c r="J83" s="37"/>
      <c r="K83" s="37"/>
      <c r="L83" s="37"/>
      <c r="M83" s="37"/>
      <c r="N83" s="37"/>
    </row>
    <row r="84" spans="1:14" ht="16.2" customHeight="1" x14ac:dyDescent="0.3">
      <c r="A84" s="2"/>
      <c r="B84" s="33" t="s">
        <v>39</v>
      </c>
      <c r="C84" s="33"/>
      <c r="D84" s="33"/>
      <c r="E84" s="34"/>
      <c r="F84" s="38"/>
      <c r="G84" s="38"/>
      <c r="H84" s="38"/>
      <c r="I84" s="57"/>
      <c r="J84" s="57"/>
      <c r="K84" s="57"/>
      <c r="L84" s="57"/>
      <c r="M84" s="57"/>
      <c r="N84" s="57"/>
    </row>
    <row r="85" spans="1:14" ht="16.2" customHeight="1" x14ac:dyDescent="0.3">
      <c r="A85" s="2"/>
      <c r="B85" s="33"/>
      <c r="C85" s="33"/>
      <c r="D85" s="33"/>
      <c r="E85" s="34"/>
      <c r="F85" s="35"/>
      <c r="G85" s="36"/>
      <c r="H85" s="36"/>
      <c r="I85" s="37"/>
      <c r="J85" s="37"/>
      <c r="K85" s="37"/>
      <c r="L85" s="37"/>
      <c r="M85" s="37"/>
      <c r="N85" s="37"/>
    </row>
    <row r="86" spans="1:14" ht="16.2" customHeight="1" x14ac:dyDescent="0.3">
      <c r="A86" s="2"/>
      <c r="B86" s="33" t="s">
        <v>40</v>
      </c>
      <c r="C86" s="33"/>
      <c r="D86" s="33"/>
      <c r="E86" s="34"/>
      <c r="F86" s="38"/>
      <c r="G86" s="38"/>
      <c r="H86" s="38"/>
      <c r="I86" s="17"/>
      <c r="J86" s="17"/>
      <c r="K86" s="17"/>
      <c r="L86" s="17"/>
      <c r="M86" s="17"/>
      <c r="N86" s="17"/>
    </row>
    <row r="87" spans="1:14" ht="16.2" customHeight="1" x14ac:dyDescent="0.3">
      <c r="A87" s="2"/>
      <c r="B87" s="33" t="s">
        <v>41</v>
      </c>
      <c r="C87" s="33"/>
      <c r="D87" s="33"/>
      <c r="E87" s="34"/>
      <c r="F87" s="76"/>
      <c r="G87" s="76"/>
      <c r="H87" s="76"/>
      <c r="I87" s="39"/>
      <c r="J87" s="39"/>
      <c r="K87" s="39"/>
      <c r="L87" s="39"/>
      <c r="M87" s="39"/>
      <c r="N87" s="39"/>
    </row>
    <row r="88" spans="1:14" ht="16.2" customHeight="1" x14ac:dyDescent="0.3">
      <c r="A88" s="2"/>
      <c r="B88" s="33" t="s">
        <v>42</v>
      </c>
      <c r="C88" s="33"/>
      <c r="D88" s="33"/>
      <c r="E88" s="34"/>
      <c r="F88" s="77"/>
      <c r="G88" s="77"/>
      <c r="H88" s="77"/>
      <c r="I88" s="78"/>
      <c r="J88" s="78"/>
      <c r="K88" s="78"/>
      <c r="L88" s="78"/>
      <c r="M88" s="78"/>
      <c r="N88" s="78"/>
    </row>
    <row r="89" spans="1:14" ht="16.2" customHeight="1" x14ac:dyDescent="0.3">
      <c r="A89" s="2"/>
      <c r="B89" s="33"/>
      <c r="C89" s="33"/>
      <c r="D89" s="33"/>
      <c r="E89" s="34"/>
      <c r="F89" s="38"/>
      <c r="G89" s="38"/>
      <c r="H89" s="38"/>
    </row>
    <row r="90" spans="1:14" ht="16.2" customHeight="1" x14ac:dyDescent="0.3">
      <c r="A90" s="2"/>
      <c r="B90" s="33" t="s">
        <v>159</v>
      </c>
      <c r="C90" s="33"/>
      <c r="D90" s="33"/>
      <c r="E90" s="34"/>
      <c r="F90" s="60"/>
      <c r="G90" s="60"/>
      <c r="H90" s="60"/>
      <c r="I90" s="15"/>
      <c r="J90" s="15"/>
      <c r="K90" s="15"/>
      <c r="L90" s="15"/>
      <c r="M90" s="15"/>
      <c r="N90" s="15"/>
    </row>
    <row r="91" spans="1:14" ht="16.2" customHeight="1" x14ac:dyDescent="0.3">
      <c r="A91" s="2"/>
      <c r="B91" s="33" t="s">
        <v>43</v>
      </c>
      <c r="C91" s="33"/>
      <c r="D91" s="33"/>
      <c r="E91" s="34"/>
      <c r="F91" s="60"/>
      <c r="G91" s="60"/>
      <c r="H91" s="60"/>
      <c r="I91" s="79"/>
    </row>
    <row r="92" spans="1:14" ht="16.2" customHeight="1" x14ac:dyDescent="0.3">
      <c r="A92" s="2"/>
      <c r="B92" s="33" t="s">
        <v>160</v>
      </c>
      <c r="C92" s="33"/>
      <c r="D92" s="33"/>
      <c r="E92" s="34"/>
      <c r="F92" s="60"/>
      <c r="G92" s="60"/>
      <c r="H92" s="60"/>
      <c r="I92" s="57"/>
      <c r="J92" s="57"/>
      <c r="K92" s="57"/>
      <c r="L92" s="15"/>
      <c r="M92" s="15"/>
      <c r="N92" s="15"/>
    </row>
    <row r="93" spans="1:14" ht="16.2" customHeight="1" x14ac:dyDescent="0.3">
      <c r="A93" s="2"/>
      <c r="H93" s="10"/>
    </row>
    <row r="94" spans="1:14" ht="16.2" customHeight="1" x14ac:dyDescent="0.3">
      <c r="A94" s="5" t="s">
        <v>4</v>
      </c>
      <c r="B94" s="30" t="s">
        <v>44</v>
      </c>
      <c r="C94" s="31"/>
      <c r="D94" s="31"/>
      <c r="E94" s="31"/>
      <c r="F94" s="31"/>
      <c r="G94" s="32"/>
      <c r="H94" s="31"/>
      <c r="I94" s="31"/>
      <c r="J94" s="31"/>
      <c r="K94" s="31"/>
      <c r="L94" s="31"/>
      <c r="M94" s="31"/>
      <c r="N94" s="31"/>
    </row>
    <row r="95" spans="1:14" ht="16.2" customHeight="1" x14ac:dyDescent="0.3">
      <c r="B95" s="2" t="s">
        <v>45</v>
      </c>
      <c r="F95" s="14"/>
      <c r="G95" s="14"/>
      <c r="H95" s="14"/>
      <c r="I95" s="14"/>
      <c r="J95" s="14"/>
      <c r="K95" s="14"/>
      <c r="L95" s="14"/>
      <c r="M95" s="14"/>
      <c r="N95" s="14"/>
    </row>
    <row r="96" spans="1:14" ht="16.2" customHeight="1" x14ac:dyDescent="0.3">
      <c r="B96" s="50" t="s">
        <v>6</v>
      </c>
      <c r="F96" s="40"/>
      <c r="G96" s="40"/>
      <c r="H96" s="40"/>
      <c r="I96" s="14"/>
      <c r="J96" s="14"/>
      <c r="K96" s="14"/>
      <c r="L96" s="14"/>
      <c r="M96" s="14"/>
      <c r="N96" s="14"/>
    </row>
    <row r="97" spans="2:14" ht="16.2" customHeight="1" x14ac:dyDescent="0.3">
      <c r="B97" s="50" t="s">
        <v>12</v>
      </c>
      <c r="F97" s="40"/>
      <c r="G97" s="40"/>
      <c r="H97" s="40"/>
      <c r="I97" s="14"/>
      <c r="J97" s="14"/>
      <c r="K97" s="14"/>
      <c r="L97" s="14"/>
      <c r="M97" s="14"/>
      <c r="N97" s="14"/>
    </row>
    <row r="98" spans="2:14" ht="16.2" customHeight="1" x14ac:dyDescent="0.3">
      <c r="B98" s="50" t="s">
        <v>13</v>
      </c>
      <c r="F98" s="40"/>
      <c r="G98" s="40"/>
      <c r="H98" s="40"/>
      <c r="I98" s="14"/>
      <c r="J98" s="14"/>
      <c r="K98" s="14"/>
      <c r="L98" s="14"/>
      <c r="M98" s="14"/>
      <c r="N98" s="14"/>
    </row>
    <row r="99" spans="2:14" ht="16.2" customHeight="1" x14ac:dyDescent="0.3">
      <c r="B99" s="50" t="s">
        <v>14</v>
      </c>
      <c r="F99" s="40"/>
      <c r="G99" s="40"/>
      <c r="H99" s="40"/>
      <c r="I99" s="14"/>
      <c r="J99" s="14"/>
      <c r="K99" s="14"/>
      <c r="L99" s="14"/>
      <c r="M99" s="14"/>
      <c r="N99" s="14"/>
    </row>
    <row r="100" spans="2:14" ht="16.2" customHeight="1" x14ac:dyDescent="0.3">
      <c r="B100" s="50" t="s">
        <v>46</v>
      </c>
      <c r="F100" s="40"/>
      <c r="G100" s="40"/>
      <c r="H100" s="40"/>
      <c r="I100" s="40"/>
      <c r="J100" s="40"/>
      <c r="K100" s="40"/>
      <c r="L100" s="40"/>
      <c r="M100" s="40"/>
      <c r="N100" s="40"/>
    </row>
    <row r="101" spans="2:14" ht="16.2" customHeight="1" x14ac:dyDescent="0.3">
      <c r="B101" s="50" t="s">
        <v>47</v>
      </c>
      <c r="F101" s="40"/>
      <c r="G101" s="40"/>
      <c r="H101" s="40"/>
      <c r="I101" s="14"/>
      <c r="J101" s="14"/>
      <c r="K101" s="14"/>
      <c r="L101" s="14"/>
      <c r="M101" s="14"/>
      <c r="N101" s="14"/>
    </row>
    <row r="102" spans="2:14" ht="16.2" customHeight="1" x14ac:dyDescent="0.3">
      <c r="F102" s="14"/>
      <c r="G102" s="14"/>
      <c r="H102" s="80"/>
      <c r="I102" s="80"/>
      <c r="J102" s="80"/>
      <c r="K102" s="80"/>
      <c r="L102" s="80"/>
      <c r="M102" s="80"/>
      <c r="N102" s="80"/>
    </row>
    <row r="103" spans="2:14" ht="16.2" customHeight="1" x14ac:dyDescent="0.3">
      <c r="B103" s="2" t="s">
        <v>48</v>
      </c>
      <c r="F103" s="14"/>
      <c r="G103" s="14"/>
      <c r="H103" s="14"/>
      <c r="I103" s="14"/>
      <c r="J103" s="14"/>
      <c r="K103" s="14"/>
      <c r="L103" s="14"/>
      <c r="M103" s="14"/>
      <c r="N103" s="14"/>
    </row>
    <row r="104" spans="2:14" ht="16.2" customHeight="1" x14ac:dyDescent="0.3">
      <c r="B104" s="50" t="s">
        <v>6</v>
      </c>
      <c r="F104" s="40"/>
      <c r="G104" s="40"/>
      <c r="H104" s="40"/>
      <c r="I104" s="14"/>
      <c r="J104" s="14"/>
      <c r="K104" s="14"/>
      <c r="L104" s="14"/>
      <c r="M104" s="14"/>
      <c r="N104" s="14"/>
    </row>
    <row r="105" spans="2:14" ht="16.2" customHeight="1" x14ac:dyDescent="0.3">
      <c r="B105" s="50" t="s">
        <v>12</v>
      </c>
      <c r="F105" s="40"/>
      <c r="G105" s="40"/>
      <c r="H105" s="40"/>
      <c r="I105" s="14"/>
      <c r="J105" s="14"/>
      <c r="K105" s="14"/>
      <c r="L105" s="14"/>
      <c r="M105" s="14"/>
      <c r="N105" s="14"/>
    </row>
    <row r="106" spans="2:14" ht="16.2" customHeight="1" x14ac:dyDescent="0.3">
      <c r="B106" s="50" t="s">
        <v>13</v>
      </c>
      <c r="F106" s="40"/>
      <c r="G106" s="40"/>
      <c r="H106" s="40"/>
      <c r="I106" s="14"/>
      <c r="J106" s="14"/>
      <c r="K106" s="14"/>
      <c r="L106" s="14"/>
      <c r="M106" s="14"/>
      <c r="N106" s="14"/>
    </row>
    <row r="107" spans="2:14" ht="16.2" customHeight="1" x14ac:dyDescent="0.3">
      <c r="B107" s="50" t="s">
        <v>14</v>
      </c>
      <c r="F107" s="40"/>
      <c r="G107" s="40"/>
      <c r="H107" s="40"/>
      <c r="I107" s="14"/>
      <c r="J107" s="14"/>
      <c r="K107" s="14"/>
      <c r="L107" s="14"/>
      <c r="M107" s="14"/>
      <c r="N107" s="14"/>
    </row>
    <row r="108" spans="2:14" ht="16.2" customHeight="1" x14ac:dyDescent="0.3">
      <c r="B108" s="50" t="s">
        <v>46</v>
      </c>
      <c r="F108" s="40"/>
      <c r="G108" s="40"/>
      <c r="H108" s="40"/>
      <c r="I108" s="40"/>
      <c r="J108" s="40"/>
      <c r="K108" s="40"/>
      <c r="L108" s="40"/>
      <c r="M108" s="40"/>
      <c r="N108" s="40"/>
    </row>
    <row r="109" spans="2:14" ht="16.2" customHeight="1" x14ac:dyDescent="0.3">
      <c r="B109" s="50" t="s">
        <v>49</v>
      </c>
      <c r="F109" s="40"/>
      <c r="G109" s="40"/>
      <c r="H109" s="40"/>
      <c r="I109" s="40"/>
      <c r="J109" s="40"/>
      <c r="K109" s="40"/>
      <c r="L109" s="40"/>
      <c r="M109" s="40"/>
      <c r="N109" s="40"/>
    </row>
    <row r="110" spans="2:14" ht="16.2" customHeight="1" x14ac:dyDescent="0.3">
      <c r="B110" s="50" t="s">
        <v>50</v>
      </c>
      <c r="F110" s="40"/>
      <c r="G110" s="40"/>
      <c r="H110" s="40"/>
      <c r="I110" s="40"/>
      <c r="J110" s="40"/>
      <c r="K110" s="40"/>
      <c r="L110" s="40"/>
      <c r="M110" s="40"/>
      <c r="N110" s="40"/>
    </row>
    <row r="111" spans="2:14" ht="16.2" customHeight="1" x14ac:dyDescent="0.3">
      <c r="B111" s="50" t="s">
        <v>51</v>
      </c>
      <c r="F111" s="40"/>
      <c r="G111" s="40"/>
      <c r="H111" s="40"/>
      <c r="I111" s="14"/>
      <c r="J111" s="14"/>
      <c r="K111" s="14"/>
      <c r="L111" s="14"/>
      <c r="M111" s="14"/>
      <c r="N111" s="14"/>
    </row>
    <row r="112" spans="2:14" ht="16.2" customHeight="1" x14ac:dyDescent="0.3">
      <c r="B112" s="11" t="s">
        <v>52</v>
      </c>
      <c r="C112" s="11"/>
      <c r="D112" s="11"/>
      <c r="E112" s="11"/>
      <c r="F112" s="12"/>
      <c r="G112" s="12"/>
      <c r="H112" s="12"/>
      <c r="I112" s="12"/>
      <c r="J112" s="12"/>
      <c r="K112" s="12"/>
      <c r="L112" s="12"/>
      <c r="M112" s="12"/>
      <c r="N112" s="12"/>
    </row>
    <row r="113" spans="1:14" ht="16.2" customHeight="1" x14ac:dyDescent="0.3">
      <c r="F113" s="18"/>
      <c r="G113" s="18"/>
      <c r="H113" s="18"/>
      <c r="I113" s="18"/>
      <c r="J113" s="18"/>
      <c r="K113" s="18"/>
      <c r="L113" s="18"/>
      <c r="M113" s="18"/>
      <c r="N113" s="18"/>
    </row>
    <row r="114" spans="1:14" ht="16.2" customHeight="1" x14ac:dyDescent="0.3">
      <c r="B114" s="2" t="s">
        <v>53</v>
      </c>
      <c r="F114" s="40"/>
      <c r="G114" s="40"/>
      <c r="H114" s="40"/>
      <c r="I114" s="14"/>
      <c r="J114" s="14"/>
      <c r="K114" s="14"/>
      <c r="L114" s="14"/>
      <c r="M114" s="14"/>
      <c r="N114" s="14"/>
    </row>
    <row r="115" spans="1:14" ht="16.2" customHeight="1" x14ac:dyDescent="0.3">
      <c r="B115" s="2" t="s">
        <v>54</v>
      </c>
      <c r="F115" s="40"/>
      <c r="G115" s="40"/>
      <c r="H115" s="40"/>
      <c r="I115" s="14"/>
      <c r="J115" s="14"/>
      <c r="K115" s="14"/>
      <c r="L115" s="14"/>
      <c r="M115" s="14"/>
      <c r="N115" s="14"/>
    </row>
    <row r="116" spans="1:14" ht="16.2" customHeight="1" x14ac:dyDescent="0.3">
      <c r="B116" s="2" t="s">
        <v>55</v>
      </c>
      <c r="F116" s="40"/>
      <c r="G116" s="40"/>
      <c r="H116" s="40"/>
      <c r="I116" s="20"/>
      <c r="J116" s="20"/>
      <c r="K116" s="20"/>
      <c r="L116" s="20"/>
      <c r="M116" s="20"/>
      <c r="N116" s="20"/>
    </row>
    <row r="117" spans="1:14" s="7" customFormat="1" ht="16.2" customHeight="1" x14ac:dyDescent="0.3">
      <c r="A117" s="25"/>
      <c r="B117" s="11" t="s">
        <v>56</v>
      </c>
      <c r="C117" s="11"/>
      <c r="D117" s="11"/>
      <c r="E117" s="11"/>
      <c r="F117" s="12"/>
      <c r="G117" s="12"/>
      <c r="H117" s="12"/>
      <c r="I117" s="12"/>
      <c r="J117" s="12"/>
      <c r="K117" s="12"/>
      <c r="L117" s="12"/>
      <c r="M117" s="12"/>
      <c r="N117" s="12"/>
    </row>
    <row r="118" spans="1:14" s="7" customFormat="1" ht="16.2" customHeight="1" x14ac:dyDescent="0.3">
      <c r="A118" s="25"/>
      <c r="F118" s="9"/>
      <c r="G118" s="9"/>
      <c r="H118" s="9"/>
      <c r="I118" s="9"/>
      <c r="J118" s="9"/>
      <c r="K118" s="9"/>
      <c r="L118" s="9"/>
      <c r="M118" s="9"/>
      <c r="N118" s="9"/>
    </row>
    <row r="119" spans="1:14" ht="16.2" customHeight="1" x14ac:dyDescent="0.3">
      <c r="B119" s="2" t="s">
        <v>57</v>
      </c>
      <c r="F119" s="40"/>
      <c r="G119" s="40"/>
      <c r="H119" s="40"/>
      <c r="I119" s="20"/>
      <c r="J119" s="20"/>
      <c r="K119" s="20"/>
      <c r="L119" s="20"/>
      <c r="M119" s="20"/>
      <c r="N119" s="20"/>
    </row>
    <row r="120" spans="1:14" ht="16.2" customHeight="1" x14ac:dyDescent="0.3">
      <c r="B120" s="2" t="s">
        <v>58</v>
      </c>
      <c r="F120" s="40"/>
      <c r="G120" s="40"/>
      <c r="H120" s="40"/>
      <c r="I120" s="17"/>
      <c r="J120" s="17"/>
      <c r="K120" s="17"/>
      <c r="L120" s="17"/>
      <c r="M120" s="17"/>
      <c r="N120" s="17"/>
    </row>
    <row r="121" spans="1:14" s="7" customFormat="1" ht="16.2" customHeight="1" x14ac:dyDescent="0.3">
      <c r="A121" s="25"/>
      <c r="B121" s="11" t="s">
        <v>59</v>
      </c>
      <c r="C121" s="11"/>
      <c r="D121" s="11"/>
      <c r="E121" s="11"/>
      <c r="F121" s="12"/>
      <c r="G121" s="12"/>
      <c r="H121" s="12"/>
      <c r="I121" s="12"/>
      <c r="J121" s="12"/>
      <c r="K121" s="12"/>
      <c r="L121" s="12"/>
      <c r="M121" s="12"/>
      <c r="N121" s="12"/>
    </row>
    <row r="122" spans="1:14" ht="16.2" customHeight="1" x14ac:dyDescent="0.3">
      <c r="F122" s="40"/>
      <c r="G122" s="40"/>
      <c r="H122" s="40"/>
      <c r="I122" s="17"/>
      <c r="J122" s="17"/>
      <c r="K122" s="17"/>
      <c r="L122" s="17"/>
      <c r="M122" s="17"/>
      <c r="N122" s="17"/>
    </row>
    <row r="123" spans="1:14" ht="16.2" customHeight="1" x14ac:dyDescent="0.3">
      <c r="B123" s="2" t="s">
        <v>60</v>
      </c>
      <c r="F123" s="40"/>
      <c r="G123" s="40"/>
      <c r="H123" s="40"/>
      <c r="I123" s="40"/>
      <c r="J123" s="40"/>
      <c r="K123" s="40"/>
      <c r="L123" s="40"/>
      <c r="M123" s="40"/>
      <c r="N123" s="40"/>
    </row>
    <row r="124" spans="1:14" ht="16.2" customHeight="1" x14ac:dyDescent="0.3">
      <c r="B124" s="2" t="s">
        <v>61</v>
      </c>
      <c r="F124" s="40"/>
      <c r="G124" s="40"/>
      <c r="H124" s="40"/>
      <c r="I124" s="14"/>
      <c r="J124" s="14"/>
      <c r="K124" s="14"/>
      <c r="L124" s="14"/>
      <c r="M124" s="14"/>
      <c r="N124" s="14"/>
    </row>
    <row r="125" spans="1:14" ht="16.2" customHeight="1" x14ac:dyDescent="0.3">
      <c r="B125" s="2" t="s">
        <v>62</v>
      </c>
      <c r="E125" s="13"/>
      <c r="F125" s="40"/>
      <c r="G125" s="40"/>
      <c r="H125" s="40"/>
      <c r="I125" s="14"/>
      <c r="J125" s="14"/>
      <c r="K125" s="14"/>
      <c r="L125" s="14"/>
      <c r="M125" s="14"/>
      <c r="N125" s="14"/>
    </row>
    <row r="126" spans="1:14" ht="16.2" customHeight="1" x14ac:dyDescent="0.3">
      <c r="B126" s="2" t="s">
        <v>63</v>
      </c>
      <c r="F126" s="40"/>
      <c r="G126" s="40"/>
      <c r="H126" s="40"/>
      <c r="I126" s="14"/>
      <c r="J126" s="14"/>
      <c r="K126" s="14"/>
      <c r="L126" s="14"/>
      <c r="M126" s="14"/>
      <c r="N126" s="14"/>
    </row>
    <row r="127" spans="1:14" s="7" customFormat="1" ht="16.2" customHeight="1" x14ac:dyDescent="0.3">
      <c r="A127" s="25"/>
      <c r="B127" s="11" t="s">
        <v>64</v>
      </c>
      <c r="C127" s="11"/>
      <c r="D127" s="11"/>
      <c r="E127" s="11"/>
      <c r="F127" s="12"/>
      <c r="G127" s="12"/>
      <c r="H127" s="12"/>
      <c r="I127" s="12"/>
      <c r="J127" s="12"/>
      <c r="K127" s="12"/>
      <c r="L127" s="12"/>
      <c r="M127" s="12"/>
      <c r="N127" s="12"/>
    </row>
    <row r="128" spans="1:14" ht="16.2" customHeight="1" x14ac:dyDescent="0.3">
      <c r="B128" s="2" t="s">
        <v>65</v>
      </c>
      <c r="F128" s="40"/>
      <c r="G128" s="40"/>
      <c r="H128" s="40"/>
      <c r="I128" s="14"/>
      <c r="J128" s="14"/>
      <c r="K128" s="14"/>
      <c r="L128" s="14"/>
      <c r="M128" s="14"/>
      <c r="N128" s="14"/>
    </row>
    <row r="129" spans="1:17" s="7" customFormat="1" ht="16.2" customHeight="1" x14ac:dyDescent="0.3">
      <c r="A129" s="25"/>
      <c r="B129" s="11" t="s">
        <v>66</v>
      </c>
      <c r="C129" s="11"/>
      <c r="D129" s="11"/>
      <c r="E129" s="11"/>
      <c r="F129" s="12"/>
      <c r="G129" s="12"/>
      <c r="H129" s="12"/>
      <c r="I129" s="12"/>
      <c r="J129" s="12"/>
      <c r="K129" s="12"/>
      <c r="L129" s="12"/>
      <c r="M129" s="12"/>
      <c r="N129" s="12"/>
    </row>
    <row r="130" spans="1:17" ht="16.2" customHeight="1" x14ac:dyDescent="0.3">
      <c r="B130" s="2" t="s">
        <v>67</v>
      </c>
      <c r="F130" s="40"/>
      <c r="G130" s="40"/>
      <c r="H130" s="40"/>
      <c r="I130" s="40"/>
      <c r="J130" s="40"/>
      <c r="K130" s="40"/>
      <c r="L130" s="40"/>
      <c r="M130" s="40"/>
      <c r="N130" s="40"/>
    </row>
    <row r="131" spans="1:17" s="7" customFormat="1" ht="16.2" customHeight="1" thickBot="1" x14ac:dyDescent="0.35">
      <c r="A131" s="25"/>
      <c r="B131" s="21" t="s">
        <v>68</v>
      </c>
      <c r="C131" s="21"/>
      <c r="D131" s="21"/>
      <c r="E131" s="21"/>
      <c r="F131" s="22"/>
      <c r="G131" s="22"/>
      <c r="H131" s="22"/>
      <c r="I131" s="22"/>
      <c r="J131" s="22"/>
      <c r="K131" s="22"/>
      <c r="L131" s="22"/>
      <c r="M131" s="22"/>
      <c r="N131" s="22"/>
    </row>
    <row r="132" spans="1:17" ht="16.2" customHeight="1" thickTop="1" x14ac:dyDescent="0.3">
      <c r="F132" s="18"/>
      <c r="G132" s="18"/>
      <c r="H132" s="18"/>
      <c r="I132" s="18"/>
      <c r="J132" s="18"/>
    </row>
    <row r="133" spans="1:17" ht="16.2" customHeight="1" x14ac:dyDescent="0.3">
      <c r="A133" s="5" t="s">
        <v>4</v>
      </c>
      <c r="B133" s="30" t="s">
        <v>69</v>
      </c>
      <c r="C133" s="31"/>
      <c r="D133" s="31"/>
      <c r="E133" s="31"/>
      <c r="F133" s="31"/>
      <c r="G133" s="32"/>
      <c r="H133" s="31"/>
      <c r="I133" s="31"/>
      <c r="J133" s="31"/>
      <c r="K133" s="31"/>
      <c r="L133" s="31"/>
      <c r="M133" s="31"/>
      <c r="N133" s="31"/>
    </row>
    <row r="134" spans="1:17" ht="16.2" customHeight="1" x14ac:dyDescent="0.3">
      <c r="B134" s="2" t="s">
        <v>70</v>
      </c>
      <c r="F134" s="40"/>
      <c r="G134" s="40"/>
      <c r="H134" s="40"/>
      <c r="I134" s="14"/>
      <c r="J134" s="14"/>
      <c r="K134" s="14"/>
      <c r="L134" s="14"/>
      <c r="M134" s="14"/>
      <c r="N134" s="14"/>
      <c r="P134" s="39"/>
      <c r="Q134" s="39"/>
    </row>
    <row r="135" spans="1:17" ht="16.2" customHeight="1" x14ac:dyDescent="0.3">
      <c r="B135" s="2" t="s">
        <v>71</v>
      </c>
      <c r="F135" s="40"/>
      <c r="G135" s="40"/>
      <c r="H135" s="40"/>
      <c r="I135" s="14"/>
      <c r="J135" s="14"/>
      <c r="K135" s="14"/>
      <c r="L135" s="14"/>
      <c r="M135" s="14"/>
      <c r="N135" s="14"/>
      <c r="P135" s="39"/>
      <c r="Q135" s="39"/>
    </row>
    <row r="136" spans="1:17" ht="16.2" customHeight="1" x14ac:dyDescent="0.3">
      <c r="B136" s="2" t="s">
        <v>72</v>
      </c>
      <c r="F136" s="40"/>
      <c r="G136" s="40"/>
      <c r="H136" s="40"/>
      <c r="I136" s="14"/>
      <c r="J136" s="14"/>
      <c r="K136" s="14"/>
      <c r="L136" s="14"/>
      <c r="M136" s="14"/>
      <c r="N136" s="14"/>
      <c r="P136" s="39"/>
      <c r="Q136" s="39"/>
    </row>
    <row r="137" spans="1:17" ht="16.2" customHeight="1" x14ac:dyDescent="0.3">
      <c r="B137" s="42" t="s">
        <v>73</v>
      </c>
      <c r="C137" s="42"/>
      <c r="D137" s="42"/>
      <c r="E137" s="42"/>
      <c r="F137" s="43"/>
      <c r="G137" s="43"/>
      <c r="H137" s="43"/>
      <c r="I137" s="44"/>
      <c r="J137" s="44"/>
      <c r="K137" s="44"/>
      <c r="L137" s="44"/>
      <c r="M137" s="44"/>
      <c r="N137" s="44"/>
      <c r="P137" s="39"/>
      <c r="Q137" s="39"/>
    </row>
    <row r="138" spans="1:17" s="7" customFormat="1" ht="16.2" customHeight="1" x14ac:dyDescent="0.3">
      <c r="A138" s="25"/>
      <c r="B138" s="7" t="s">
        <v>74</v>
      </c>
      <c r="F138" s="9"/>
      <c r="G138" s="9"/>
      <c r="H138" s="9"/>
      <c r="I138" s="9"/>
      <c r="J138" s="9"/>
      <c r="K138" s="9"/>
      <c r="L138" s="9"/>
      <c r="M138" s="9"/>
      <c r="N138" s="9"/>
      <c r="P138" s="39"/>
      <c r="Q138" s="39"/>
    </row>
    <row r="139" spans="1:17" ht="16.2" customHeight="1" x14ac:dyDescent="0.3">
      <c r="F139" s="13"/>
      <c r="G139" s="13"/>
      <c r="H139" s="13"/>
      <c r="P139" s="39"/>
      <c r="Q139" s="39"/>
    </row>
    <row r="140" spans="1:17" ht="16.2" customHeight="1" x14ac:dyDescent="0.3">
      <c r="B140" s="2" t="s">
        <v>75</v>
      </c>
      <c r="F140" s="40"/>
      <c r="G140" s="40"/>
      <c r="H140" s="40"/>
      <c r="I140" s="14"/>
      <c r="J140" s="14"/>
      <c r="K140" s="14"/>
      <c r="L140" s="14"/>
      <c r="M140" s="14"/>
      <c r="N140" s="14"/>
      <c r="P140" s="39"/>
      <c r="Q140" s="39"/>
    </row>
    <row r="141" spans="1:17" ht="16.2" customHeight="1" x14ac:dyDescent="0.3">
      <c r="B141" s="2" t="s">
        <v>76</v>
      </c>
      <c r="F141" s="40"/>
      <c r="G141" s="40"/>
      <c r="H141" s="40"/>
      <c r="I141" s="14"/>
      <c r="J141" s="14"/>
      <c r="K141" s="14"/>
      <c r="L141" s="14"/>
      <c r="M141" s="14"/>
      <c r="N141" s="14"/>
      <c r="P141" s="39"/>
      <c r="Q141" s="39"/>
    </row>
    <row r="142" spans="1:17" ht="16.2" customHeight="1" x14ac:dyDescent="0.3">
      <c r="B142" s="2" t="s">
        <v>77</v>
      </c>
      <c r="F142" s="40"/>
      <c r="G142" s="40"/>
      <c r="H142" s="40"/>
      <c r="I142" s="14"/>
      <c r="J142" s="14"/>
      <c r="K142" s="14"/>
      <c r="L142" s="14"/>
      <c r="M142" s="14"/>
      <c r="N142" s="14"/>
      <c r="P142" s="39"/>
      <c r="Q142" s="39"/>
    </row>
    <row r="143" spans="1:17" ht="16.2" customHeight="1" x14ac:dyDescent="0.3">
      <c r="B143" s="2" t="s">
        <v>78</v>
      </c>
      <c r="F143" s="40"/>
      <c r="G143" s="40"/>
      <c r="H143" s="40"/>
      <c r="I143" s="14"/>
      <c r="J143" s="14"/>
      <c r="K143" s="14"/>
      <c r="L143" s="14"/>
      <c r="M143" s="14"/>
      <c r="N143" s="14"/>
      <c r="P143" s="39"/>
      <c r="Q143" s="39"/>
    </row>
    <row r="144" spans="1:17" ht="16.2" customHeight="1" x14ac:dyDescent="0.3">
      <c r="B144" s="2" t="s">
        <v>79</v>
      </c>
      <c r="F144" s="40"/>
      <c r="G144" s="40"/>
      <c r="H144" s="40"/>
      <c r="I144" s="20"/>
      <c r="J144" s="20"/>
      <c r="K144" s="20"/>
      <c r="L144" s="20"/>
      <c r="M144" s="20"/>
      <c r="N144" s="20"/>
      <c r="P144" s="39"/>
      <c r="Q144" s="39"/>
    </row>
    <row r="145" spans="1:17" ht="16.2" customHeight="1" x14ac:dyDescent="0.3">
      <c r="B145" s="42" t="s">
        <v>80</v>
      </c>
      <c r="C145" s="42"/>
      <c r="D145" s="42"/>
      <c r="E145" s="42"/>
      <c r="F145" s="43"/>
      <c r="G145" s="43"/>
      <c r="H145" s="43"/>
      <c r="I145" s="44"/>
      <c r="J145" s="44"/>
      <c r="K145" s="44"/>
      <c r="L145" s="44"/>
      <c r="M145" s="44"/>
      <c r="N145" s="44"/>
      <c r="P145" s="39"/>
      <c r="Q145" s="39"/>
    </row>
    <row r="146" spans="1:17" s="7" customFormat="1" ht="16.2" customHeight="1" x14ac:dyDescent="0.3">
      <c r="A146" s="25"/>
      <c r="B146" s="7" t="s">
        <v>81</v>
      </c>
      <c r="F146" s="9"/>
      <c r="G146" s="9"/>
      <c r="H146" s="9"/>
      <c r="I146" s="9"/>
      <c r="J146" s="9"/>
      <c r="K146" s="9"/>
      <c r="L146" s="9"/>
      <c r="M146" s="9"/>
      <c r="N146" s="9"/>
      <c r="P146" s="39"/>
      <c r="Q146" s="39"/>
    </row>
    <row r="147" spans="1:17" s="7" customFormat="1" ht="16.2" customHeight="1" thickBot="1" x14ac:dyDescent="0.35">
      <c r="A147" s="25"/>
      <c r="B147" s="21" t="s">
        <v>82</v>
      </c>
      <c r="C147" s="21"/>
      <c r="D147" s="21"/>
      <c r="E147" s="21"/>
      <c r="F147" s="22"/>
      <c r="G147" s="22"/>
      <c r="H147" s="22"/>
      <c r="I147" s="22"/>
      <c r="J147" s="22"/>
      <c r="K147" s="22"/>
      <c r="L147" s="22"/>
      <c r="M147" s="22"/>
      <c r="N147" s="22"/>
      <c r="P147" s="39"/>
      <c r="Q147" s="39"/>
    </row>
    <row r="148" spans="1:17" ht="16.2" customHeight="1" thickTop="1" x14ac:dyDescent="0.3">
      <c r="F148" s="17"/>
      <c r="G148" s="17"/>
      <c r="H148" s="17"/>
      <c r="I148" s="17"/>
      <c r="J148" s="17"/>
      <c r="K148" s="17"/>
      <c r="L148" s="17"/>
      <c r="M148" s="17"/>
      <c r="N148" s="17"/>
      <c r="P148" s="39"/>
      <c r="Q148" s="39"/>
    </row>
    <row r="149" spans="1:17" ht="16.2" customHeight="1" x14ac:dyDescent="0.3">
      <c r="B149" s="2" t="s">
        <v>83</v>
      </c>
      <c r="F149" s="40"/>
      <c r="G149" s="40"/>
      <c r="H149" s="40"/>
      <c r="I149" s="14"/>
      <c r="J149" s="14"/>
      <c r="K149" s="14"/>
      <c r="L149" s="14"/>
      <c r="M149" s="14"/>
      <c r="N149" s="14"/>
      <c r="P149" s="39"/>
      <c r="Q149" s="39"/>
    </row>
    <row r="150" spans="1:17" ht="16.2" customHeight="1" x14ac:dyDescent="0.3">
      <c r="B150" s="2" t="s">
        <v>84</v>
      </c>
      <c r="F150" s="40"/>
      <c r="G150" s="40"/>
      <c r="H150" s="40"/>
      <c r="I150" s="14"/>
      <c r="J150" s="14"/>
      <c r="K150" s="14"/>
      <c r="L150" s="14"/>
      <c r="M150" s="14"/>
      <c r="N150" s="14"/>
      <c r="P150" s="39"/>
      <c r="Q150" s="39"/>
    </row>
    <row r="151" spans="1:17" s="7" customFormat="1" ht="16.2" customHeight="1" x14ac:dyDescent="0.3">
      <c r="A151" s="25"/>
      <c r="B151" s="11" t="s">
        <v>85</v>
      </c>
      <c r="C151" s="11"/>
      <c r="D151" s="11"/>
      <c r="E151" s="11"/>
      <c r="F151" s="12"/>
      <c r="G151" s="12"/>
      <c r="H151" s="12"/>
      <c r="I151" s="12"/>
      <c r="J151" s="12"/>
      <c r="K151" s="12"/>
      <c r="L151" s="12"/>
      <c r="M151" s="12"/>
      <c r="N151" s="12"/>
      <c r="P151" s="39"/>
      <c r="Q151" s="39"/>
    </row>
    <row r="152" spans="1:17" ht="16.2" customHeight="1" x14ac:dyDescent="0.3">
      <c r="F152" s="18"/>
      <c r="G152" s="18"/>
      <c r="H152" s="18"/>
      <c r="I152" s="17"/>
      <c r="J152" s="17"/>
      <c r="K152" s="17"/>
      <c r="L152" s="17"/>
      <c r="M152" s="17"/>
      <c r="N152" s="17"/>
      <c r="P152" s="39"/>
      <c r="Q152" s="39"/>
    </row>
    <row r="153" spans="1:17" ht="16.2" customHeight="1" x14ac:dyDescent="0.3">
      <c r="B153" s="2" t="s">
        <v>86</v>
      </c>
      <c r="F153" s="40"/>
      <c r="G153" s="40"/>
      <c r="H153" s="40"/>
      <c r="I153" s="14"/>
      <c r="J153" s="14"/>
      <c r="K153" s="14"/>
      <c r="L153" s="14"/>
      <c r="M153" s="14"/>
      <c r="N153" s="14"/>
      <c r="P153" s="39"/>
      <c r="Q153" s="39"/>
    </row>
    <row r="154" spans="1:17" ht="16.2" customHeight="1" x14ac:dyDescent="0.3">
      <c r="B154" s="2" t="s">
        <v>87</v>
      </c>
      <c r="F154" s="40"/>
      <c r="G154" s="40"/>
      <c r="H154" s="40"/>
      <c r="I154" s="20"/>
      <c r="J154" s="20"/>
      <c r="K154" s="20"/>
      <c r="L154" s="20"/>
      <c r="M154" s="20"/>
      <c r="N154" s="20"/>
      <c r="P154" s="39"/>
      <c r="Q154" s="39"/>
    </row>
    <row r="155" spans="1:17" ht="16.2" customHeight="1" x14ac:dyDescent="0.3">
      <c r="B155" s="2" t="s">
        <v>88</v>
      </c>
      <c r="F155" s="40"/>
      <c r="G155" s="40"/>
      <c r="H155" s="40"/>
      <c r="I155" s="14"/>
      <c r="J155" s="14"/>
      <c r="K155" s="14"/>
      <c r="L155" s="14"/>
      <c r="M155" s="14"/>
      <c r="N155" s="14"/>
      <c r="P155" s="39"/>
      <c r="Q155" s="39"/>
    </row>
    <row r="156" spans="1:17" s="7" customFormat="1" ht="16.2" customHeight="1" x14ac:dyDescent="0.3">
      <c r="A156" s="25"/>
      <c r="B156" s="11" t="s">
        <v>89</v>
      </c>
      <c r="C156" s="11"/>
      <c r="D156" s="11"/>
      <c r="E156" s="11"/>
      <c r="F156" s="12"/>
      <c r="G156" s="12"/>
      <c r="H156" s="12"/>
      <c r="I156" s="12"/>
      <c r="J156" s="12"/>
      <c r="K156" s="12"/>
      <c r="L156" s="12"/>
      <c r="M156" s="12"/>
      <c r="N156" s="12"/>
      <c r="P156" s="39"/>
      <c r="Q156" s="39"/>
    </row>
    <row r="157" spans="1:17" s="7" customFormat="1" ht="16.2" customHeight="1" thickBot="1" x14ac:dyDescent="0.35">
      <c r="A157" s="25"/>
      <c r="B157" s="21" t="s">
        <v>90</v>
      </c>
      <c r="C157" s="21"/>
      <c r="D157" s="21"/>
      <c r="E157" s="21"/>
      <c r="F157" s="22"/>
      <c r="G157" s="22"/>
      <c r="H157" s="22"/>
      <c r="I157" s="22"/>
      <c r="J157" s="22"/>
      <c r="K157" s="22"/>
      <c r="L157" s="22"/>
      <c r="M157" s="22"/>
      <c r="N157" s="22"/>
      <c r="P157" s="39"/>
      <c r="Q157" s="39"/>
    </row>
    <row r="158" spans="1:17" s="7" customFormat="1" ht="16.2" customHeight="1" thickTop="1" x14ac:dyDescent="0.3">
      <c r="A158" s="25"/>
      <c r="F158" s="9"/>
      <c r="G158" s="9"/>
      <c r="H158" s="9"/>
      <c r="I158" s="9"/>
      <c r="J158" s="9"/>
      <c r="K158" s="9"/>
      <c r="L158" s="9"/>
      <c r="M158" s="9"/>
      <c r="N158" s="9"/>
      <c r="P158" s="67"/>
      <c r="Q158" s="67"/>
    </row>
    <row r="159" spans="1:17" ht="16.2" customHeight="1" x14ac:dyDescent="0.3">
      <c r="B159" s="2" t="s">
        <v>91</v>
      </c>
      <c r="F159" s="40"/>
      <c r="G159" s="40"/>
      <c r="H159" s="40"/>
      <c r="I159" s="14"/>
      <c r="J159" s="14"/>
      <c r="K159" s="14"/>
      <c r="L159" s="14"/>
      <c r="M159" s="14"/>
      <c r="N159" s="14"/>
      <c r="P159" s="39"/>
      <c r="Q159" s="39"/>
    </row>
    <row r="160" spans="1:17" ht="16.2" customHeight="1" x14ac:dyDescent="0.3">
      <c r="B160" s="2" t="s">
        <v>92</v>
      </c>
      <c r="F160" s="40"/>
      <c r="G160" s="40"/>
      <c r="H160" s="40"/>
      <c r="I160" s="14"/>
      <c r="J160" s="14"/>
      <c r="K160" s="14"/>
      <c r="L160" s="14"/>
      <c r="M160" s="14"/>
      <c r="N160" s="14"/>
      <c r="P160" s="39"/>
      <c r="Q160" s="39"/>
    </row>
    <row r="161" spans="1:17" ht="16.2" customHeight="1" x14ac:dyDescent="0.3">
      <c r="B161" s="2" t="s">
        <v>93</v>
      </c>
      <c r="F161" s="40"/>
      <c r="G161" s="40"/>
      <c r="H161" s="40"/>
      <c r="I161" s="14"/>
      <c r="J161" s="14"/>
      <c r="K161" s="14"/>
      <c r="L161" s="14"/>
      <c r="M161" s="14"/>
      <c r="N161" s="14"/>
      <c r="P161" s="39"/>
      <c r="Q161" s="39"/>
    </row>
    <row r="162" spans="1:17" ht="16.2" customHeight="1" x14ac:dyDescent="0.3">
      <c r="B162" s="2" t="s">
        <v>94</v>
      </c>
      <c r="F162" s="40"/>
      <c r="G162" s="40"/>
      <c r="H162" s="40"/>
      <c r="I162" s="14"/>
      <c r="J162" s="14"/>
      <c r="K162" s="14"/>
      <c r="L162" s="14"/>
      <c r="M162" s="14"/>
      <c r="N162" s="14"/>
      <c r="P162" s="39"/>
      <c r="Q162" s="39"/>
    </row>
    <row r="163" spans="1:17" ht="16.2" customHeight="1" x14ac:dyDescent="0.3">
      <c r="B163" s="2" t="s">
        <v>95</v>
      </c>
      <c r="F163" s="40"/>
      <c r="G163" s="40"/>
      <c r="H163" s="40"/>
      <c r="I163" s="41"/>
      <c r="J163" s="41"/>
      <c r="K163" s="41"/>
      <c r="L163" s="41"/>
      <c r="M163" s="41"/>
      <c r="N163" s="41"/>
      <c r="P163" s="39"/>
      <c r="Q163" s="39"/>
    </row>
    <row r="164" spans="1:17" s="7" customFormat="1" ht="16.2" customHeight="1" x14ac:dyDescent="0.3">
      <c r="A164" s="25"/>
      <c r="B164" s="11" t="s">
        <v>96</v>
      </c>
      <c r="C164" s="11"/>
      <c r="D164" s="11"/>
      <c r="E164" s="11"/>
      <c r="F164" s="12"/>
      <c r="G164" s="12"/>
      <c r="H164" s="12"/>
      <c r="I164" s="12"/>
      <c r="J164" s="12"/>
      <c r="K164" s="12"/>
      <c r="L164" s="12"/>
      <c r="M164" s="12"/>
      <c r="N164" s="12"/>
      <c r="P164" s="39"/>
      <c r="Q164" s="39"/>
    </row>
    <row r="165" spans="1:17" ht="16.2" customHeight="1" thickBot="1" x14ac:dyDescent="0.35">
      <c r="B165" s="21" t="s">
        <v>97</v>
      </c>
      <c r="C165" s="21"/>
      <c r="D165" s="21"/>
      <c r="E165" s="21"/>
      <c r="F165" s="22"/>
      <c r="G165" s="22"/>
      <c r="H165" s="22"/>
      <c r="I165" s="22"/>
      <c r="J165" s="22"/>
      <c r="K165" s="22"/>
      <c r="L165" s="22"/>
      <c r="M165" s="22"/>
      <c r="N165" s="22"/>
      <c r="P165" s="39"/>
      <c r="Q165" s="39"/>
    </row>
    <row r="166" spans="1:17" s="24" customFormat="1" ht="16.2" customHeight="1" thickTop="1" x14ac:dyDescent="0.3">
      <c r="A166" s="23"/>
      <c r="B166" s="71" t="s">
        <v>98</v>
      </c>
      <c r="F166" s="72">
        <f>+ROUND(F165-F147,2)</f>
        <v>0</v>
      </c>
      <c r="G166" s="72">
        <f t="shared" ref="G166:N166" si="1">+ROUND(G165-G147,2)</f>
        <v>0</v>
      </c>
      <c r="H166" s="72">
        <f t="shared" si="1"/>
        <v>0</v>
      </c>
      <c r="I166" s="72">
        <f t="shared" si="1"/>
        <v>0</v>
      </c>
      <c r="J166" s="72">
        <f t="shared" si="1"/>
        <v>0</v>
      </c>
      <c r="K166" s="72">
        <f t="shared" si="1"/>
        <v>0</v>
      </c>
      <c r="L166" s="72">
        <f t="shared" si="1"/>
        <v>0</v>
      </c>
      <c r="M166" s="72">
        <f t="shared" si="1"/>
        <v>0</v>
      </c>
      <c r="N166" s="72">
        <f t="shared" si="1"/>
        <v>0</v>
      </c>
      <c r="P166" s="39"/>
      <c r="Q166" s="39"/>
    </row>
    <row r="167" spans="1:17" ht="16.2" customHeight="1" x14ac:dyDescent="0.3">
      <c r="G167" s="13"/>
      <c r="H167" s="13"/>
      <c r="I167" s="39"/>
      <c r="J167" s="39"/>
      <c r="K167" s="39"/>
      <c r="L167" s="39"/>
      <c r="M167" s="39"/>
      <c r="N167" s="39"/>
    </row>
    <row r="168" spans="1:17" ht="16.2" customHeight="1" x14ac:dyDescent="0.3">
      <c r="A168" s="5" t="s">
        <v>4</v>
      </c>
      <c r="B168" s="30" t="s">
        <v>99</v>
      </c>
      <c r="C168" s="31"/>
      <c r="D168" s="31"/>
      <c r="E168" s="31"/>
      <c r="F168" s="31"/>
      <c r="G168" s="32"/>
      <c r="H168" s="31"/>
      <c r="I168" s="31"/>
      <c r="J168" s="31"/>
      <c r="K168" s="31"/>
      <c r="L168" s="31"/>
      <c r="M168" s="31"/>
      <c r="N168" s="31"/>
    </row>
    <row r="169" spans="1:17" ht="16.2" customHeight="1" x14ac:dyDescent="0.3">
      <c r="B169" s="7" t="s">
        <v>100</v>
      </c>
      <c r="C169" s="7"/>
      <c r="D169" s="7"/>
      <c r="E169" s="7"/>
      <c r="F169" s="45"/>
      <c r="G169" s="45"/>
      <c r="H169" s="45"/>
      <c r="I169" s="45"/>
      <c r="J169" s="45"/>
      <c r="K169" s="45"/>
      <c r="L169" s="45"/>
      <c r="M169" s="45"/>
      <c r="N169" s="45"/>
    </row>
    <row r="170" spans="1:17" ht="16.2" customHeight="1" x14ac:dyDescent="0.3">
      <c r="B170" s="2" t="s">
        <v>101</v>
      </c>
      <c r="F170" s="40"/>
      <c r="G170" s="40"/>
      <c r="H170" s="40"/>
      <c r="I170" s="40"/>
      <c r="J170" s="40"/>
      <c r="K170" s="40"/>
      <c r="L170" s="40"/>
      <c r="M170" s="40"/>
      <c r="N170" s="40"/>
    </row>
    <row r="171" spans="1:17" ht="16.2" customHeight="1" x14ac:dyDescent="0.3">
      <c r="B171" s="2" t="s">
        <v>102</v>
      </c>
      <c r="F171" s="40"/>
      <c r="G171" s="40"/>
      <c r="H171" s="40"/>
      <c r="I171" s="38"/>
      <c r="J171" s="38"/>
      <c r="K171" s="38"/>
      <c r="L171" s="38"/>
      <c r="M171" s="38"/>
      <c r="N171" s="38"/>
    </row>
    <row r="172" spans="1:17" ht="16.2" customHeight="1" x14ac:dyDescent="0.3">
      <c r="B172" s="2" t="s">
        <v>103</v>
      </c>
      <c r="F172" s="40"/>
      <c r="G172" s="40"/>
      <c r="H172" s="40"/>
      <c r="I172" s="38"/>
      <c r="J172" s="38"/>
      <c r="K172" s="38"/>
      <c r="L172" s="38"/>
      <c r="M172" s="38"/>
      <c r="N172" s="38"/>
    </row>
    <row r="173" spans="1:17" ht="16.2" customHeight="1" x14ac:dyDescent="0.3">
      <c r="B173" s="2" t="s">
        <v>104</v>
      </c>
      <c r="F173" s="40"/>
      <c r="G173" s="40"/>
      <c r="H173" s="40"/>
      <c r="I173" s="14"/>
      <c r="J173" s="14"/>
      <c r="K173" s="14"/>
      <c r="L173" s="14"/>
      <c r="M173" s="14"/>
      <c r="N173" s="14"/>
    </row>
    <row r="174" spans="1:17" s="7" customFormat="1" ht="16.2" customHeight="1" x14ac:dyDescent="0.3">
      <c r="A174" s="25"/>
      <c r="B174" s="11" t="s">
        <v>105</v>
      </c>
      <c r="C174" s="11"/>
      <c r="D174" s="11"/>
      <c r="E174" s="11"/>
      <c r="F174" s="46"/>
      <c r="G174" s="46"/>
      <c r="H174" s="46"/>
      <c r="I174" s="46"/>
      <c r="J174" s="46"/>
      <c r="K174" s="46"/>
      <c r="L174" s="46"/>
      <c r="M174" s="46"/>
      <c r="N174" s="46"/>
    </row>
    <row r="175" spans="1:17" ht="16.2" customHeight="1" x14ac:dyDescent="0.3">
      <c r="F175" s="40"/>
      <c r="G175" s="40"/>
      <c r="H175" s="40"/>
      <c r="I175" s="40"/>
      <c r="J175" s="40"/>
      <c r="K175" s="40"/>
      <c r="L175" s="40"/>
      <c r="M175" s="40"/>
      <c r="N175" s="40"/>
    </row>
    <row r="176" spans="1:17" ht="16.2" customHeight="1" x14ac:dyDescent="0.3">
      <c r="B176" s="7" t="s">
        <v>106</v>
      </c>
      <c r="F176" s="40"/>
      <c r="G176" s="40"/>
      <c r="H176" s="40"/>
      <c r="I176" s="40"/>
      <c r="J176" s="40"/>
      <c r="K176" s="40"/>
      <c r="L176" s="40"/>
      <c r="M176" s="40"/>
      <c r="N176" s="40"/>
    </row>
    <row r="177" spans="1:14" ht="16.2" customHeight="1" x14ac:dyDescent="0.3">
      <c r="B177" s="2" t="s">
        <v>107</v>
      </c>
      <c r="F177" s="40"/>
      <c r="G177" s="40"/>
      <c r="H177" s="40"/>
      <c r="I177" s="38"/>
      <c r="J177" s="38"/>
      <c r="K177" s="38"/>
      <c r="L177" s="38"/>
      <c r="M177" s="38"/>
      <c r="N177" s="38"/>
    </row>
    <row r="178" spans="1:14" ht="16.2" customHeight="1" x14ac:dyDescent="0.3">
      <c r="B178" s="2" t="s">
        <v>108</v>
      </c>
      <c r="F178" s="40"/>
      <c r="G178" s="40"/>
      <c r="H178" s="40"/>
      <c r="I178" s="40"/>
      <c r="J178" s="40"/>
      <c r="K178" s="40"/>
      <c r="L178" s="40"/>
      <c r="M178" s="40"/>
      <c r="N178" s="40"/>
    </row>
    <row r="179" spans="1:14" ht="16.2" customHeight="1" x14ac:dyDescent="0.3">
      <c r="B179" s="2" t="s">
        <v>109</v>
      </c>
      <c r="F179" s="40"/>
      <c r="G179" s="40"/>
      <c r="H179" s="40"/>
      <c r="I179" s="40"/>
      <c r="J179" s="40"/>
      <c r="K179" s="40"/>
      <c r="L179" s="40"/>
      <c r="M179" s="40"/>
      <c r="N179" s="40"/>
    </row>
    <row r="180" spans="1:14" ht="16.2" customHeight="1" x14ac:dyDescent="0.3">
      <c r="B180" s="2" t="s">
        <v>110</v>
      </c>
      <c r="F180" s="40"/>
      <c r="G180" s="40"/>
      <c r="H180" s="40"/>
      <c r="I180" s="40"/>
      <c r="J180" s="40"/>
      <c r="K180" s="40"/>
      <c r="L180" s="40"/>
      <c r="M180" s="40"/>
      <c r="N180" s="40"/>
    </row>
    <row r="181" spans="1:14" s="7" customFormat="1" ht="16.2" customHeight="1" x14ac:dyDescent="0.3">
      <c r="A181" s="25"/>
      <c r="B181" s="11" t="s">
        <v>111</v>
      </c>
      <c r="C181" s="11"/>
      <c r="D181" s="11"/>
      <c r="E181" s="11"/>
      <c r="F181" s="46"/>
      <c r="G181" s="46"/>
      <c r="H181" s="46"/>
      <c r="I181" s="46"/>
      <c r="J181" s="46"/>
      <c r="K181" s="46"/>
      <c r="L181" s="46"/>
      <c r="M181" s="46"/>
      <c r="N181" s="46"/>
    </row>
    <row r="182" spans="1:14" ht="16.2" customHeight="1" x14ac:dyDescent="0.3">
      <c r="F182" s="40"/>
      <c r="G182" s="40"/>
      <c r="H182" s="40"/>
      <c r="I182" s="40"/>
      <c r="J182" s="40"/>
      <c r="K182" s="40"/>
      <c r="L182" s="40"/>
      <c r="M182" s="40"/>
      <c r="N182" s="40"/>
    </row>
    <row r="183" spans="1:14" ht="16.2" customHeight="1" x14ac:dyDescent="0.3">
      <c r="B183" s="7" t="s">
        <v>112</v>
      </c>
      <c r="F183" s="40"/>
      <c r="G183" s="40"/>
      <c r="H183" s="40"/>
      <c r="I183" s="40"/>
      <c r="J183" s="40"/>
      <c r="K183" s="40"/>
      <c r="L183" s="40"/>
      <c r="M183" s="40"/>
      <c r="N183" s="40"/>
    </row>
    <row r="184" spans="1:14" ht="16.2" customHeight="1" x14ac:dyDescent="0.3">
      <c r="B184" s="2" t="s">
        <v>113</v>
      </c>
      <c r="F184" s="40"/>
      <c r="G184" s="40"/>
      <c r="H184" s="40"/>
      <c r="I184" s="38"/>
      <c r="J184" s="38"/>
      <c r="K184" s="38"/>
      <c r="L184" s="38"/>
      <c r="M184" s="38"/>
      <c r="N184" s="38"/>
    </row>
    <row r="185" spans="1:14" ht="16.2" customHeight="1" x14ac:dyDescent="0.3">
      <c r="B185" s="2" t="s">
        <v>114</v>
      </c>
      <c r="F185" s="40"/>
      <c r="G185" s="40"/>
      <c r="H185" s="40"/>
      <c r="I185" s="38"/>
      <c r="J185" s="38"/>
      <c r="K185" s="38"/>
      <c r="L185" s="38"/>
      <c r="M185" s="38"/>
      <c r="N185" s="38"/>
    </row>
    <row r="186" spans="1:14" ht="16.2" customHeight="1" x14ac:dyDescent="0.3">
      <c r="B186" s="2" t="s">
        <v>115</v>
      </c>
      <c r="F186" s="40"/>
      <c r="G186" s="40"/>
      <c r="H186" s="40"/>
      <c r="I186" s="38"/>
      <c r="J186" s="38"/>
      <c r="K186" s="38"/>
      <c r="L186" s="38"/>
      <c r="M186" s="38"/>
      <c r="N186" s="38"/>
    </row>
    <row r="187" spans="1:14" ht="16.2" customHeight="1" x14ac:dyDescent="0.3">
      <c r="B187" s="2" t="s">
        <v>116</v>
      </c>
      <c r="F187" s="40"/>
      <c r="G187" s="40"/>
      <c r="H187" s="40"/>
      <c r="I187" s="40"/>
      <c r="J187" s="40"/>
      <c r="K187" s="40"/>
      <c r="L187" s="40"/>
      <c r="M187" s="40"/>
      <c r="N187" s="40"/>
    </row>
    <row r="188" spans="1:14" s="7" customFormat="1" ht="16.2" customHeight="1" x14ac:dyDescent="0.3">
      <c r="A188" s="25"/>
      <c r="B188" s="11" t="s">
        <v>117</v>
      </c>
      <c r="C188" s="11"/>
      <c r="D188" s="11"/>
      <c r="E188" s="11"/>
      <c r="F188" s="46"/>
      <c r="G188" s="46"/>
      <c r="H188" s="46"/>
      <c r="I188" s="46"/>
      <c r="J188" s="46"/>
      <c r="K188" s="46"/>
      <c r="L188" s="46"/>
      <c r="M188" s="46"/>
      <c r="N188" s="46"/>
    </row>
    <row r="189" spans="1:14" s="7" customFormat="1" ht="16.2" customHeight="1" x14ac:dyDescent="0.3">
      <c r="A189" s="25"/>
      <c r="F189" s="47"/>
      <c r="G189" s="47"/>
      <c r="H189" s="47"/>
      <c r="I189" s="47"/>
      <c r="J189" s="47"/>
      <c r="K189" s="47"/>
      <c r="L189" s="47"/>
      <c r="M189" s="47"/>
      <c r="N189" s="47"/>
    </row>
    <row r="190" spans="1:14" ht="16.2" customHeight="1" x14ac:dyDescent="0.3">
      <c r="B190" s="2" t="s">
        <v>118</v>
      </c>
      <c r="F190" s="40"/>
      <c r="G190" s="40"/>
      <c r="H190" s="40"/>
      <c r="I190" s="40"/>
      <c r="J190" s="40"/>
      <c r="K190" s="40"/>
      <c r="L190" s="40"/>
      <c r="M190" s="40"/>
      <c r="N190" s="40"/>
    </row>
    <row r="191" spans="1:14" ht="16.2" customHeight="1" x14ac:dyDescent="0.3">
      <c r="F191" s="40"/>
      <c r="G191" s="40"/>
      <c r="H191" s="40"/>
      <c r="I191" s="40"/>
      <c r="J191" s="40"/>
      <c r="K191" s="40"/>
      <c r="L191" s="40"/>
      <c r="M191" s="40"/>
      <c r="N191" s="40"/>
    </row>
    <row r="192" spans="1:14" ht="16.2" customHeight="1" x14ac:dyDescent="0.3">
      <c r="B192" s="2" t="s">
        <v>119</v>
      </c>
      <c r="F192" s="40"/>
      <c r="G192" s="14"/>
      <c r="H192" s="14"/>
      <c r="I192" s="14"/>
      <c r="J192" s="14"/>
      <c r="K192" s="14"/>
      <c r="L192" s="14"/>
      <c r="M192" s="14"/>
      <c r="N192" s="14"/>
    </row>
    <row r="193" spans="2:14" ht="16.2" customHeight="1" x14ac:dyDescent="0.3">
      <c r="B193" s="2" t="s">
        <v>120</v>
      </c>
      <c r="F193" s="14"/>
      <c r="G193" s="14"/>
      <c r="H193" s="14"/>
      <c r="I193" s="14"/>
      <c r="J193" s="14"/>
      <c r="K193" s="14"/>
      <c r="L193" s="14"/>
      <c r="M193" s="14"/>
      <c r="N193" s="14"/>
    </row>
    <row r="194" spans="2:14" ht="16.2" customHeight="1" thickBot="1" x14ac:dyDescent="0.35">
      <c r="B194" s="21" t="s">
        <v>121</v>
      </c>
      <c r="C194" s="21"/>
      <c r="D194" s="21"/>
      <c r="E194" s="21"/>
      <c r="F194" s="48"/>
      <c r="G194" s="48"/>
      <c r="H194" s="48"/>
      <c r="I194" s="48"/>
      <c r="J194" s="48"/>
      <c r="K194" s="48"/>
      <c r="L194" s="48"/>
      <c r="M194" s="48"/>
      <c r="N194" s="48"/>
    </row>
    <row r="195" spans="2:14" ht="16.2" customHeight="1" thickTop="1" x14ac:dyDescent="0.3"/>
    <row r="196" spans="2:14" ht="16.2" customHeight="1" x14ac:dyDescent="0.3">
      <c r="I196" s="13"/>
      <c r="J196" s="13"/>
      <c r="K196" s="13"/>
      <c r="L196" s="13"/>
      <c r="M196" s="13"/>
      <c r="N196" s="13"/>
    </row>
  </sheetData>
  <dataValidations disablePrompts="1" count="1">
    <dataValidation type="list" allowBlank="1" showInputMessage="1" showErrorMessage="1" sqref="D3" xr:uid="{E56B0C9E-43AD-4F8E-B330-536EA17DFDC7}">
      <formula1>"Growth, Base, Downside, Extreme downside"</formula1>
    </dataValidation>
  </dataValidations>
  <pageMargins left="0.70866141732283472" right="0.70866141732283472" top="0.74803149606299213" bottom="0.74803149606299213" header="0.31496062992125984" footer="0.31496062992125984"/>
  <pageSetup scale="68" fitToHeight="0" orientation="landscape" r:id="rId1"/>
  <rowBreaks count="4" manualBreakCount="4">
    <brk id="54" max="13" man="1"/>
    <brk id="93" max="13" man="1"/>
    <brk id="132" max="13" man="1"/>
    <brk id="167" max="1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31762-5D09-4C51-99DA-49895837073F}">
  <dimension ref="A1:P62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defaultColWidth="13.5546875" defaultRowHeight="16.2" customHeight="1" x14ac:dyDescent="0.3"/>
  <cols>
    <col min="1" max="1" width="1.6640625" style="2" customWidth="1"/>
    <col min="2" max="16384" width="13.5546875" style="2"/>
  </cols>
  <sheetData>
    <row r="1" spans="1:15" ht="21" x14ac:dyDescent="0.3">
      <c r="A1" s="5"/>
      <c r="B1" s="3" t="s">
        <v>148</v>
      </c>
      <c r="C1" s="3"/>
      <c r="D1" s="3"/>
      <c r="E1" s="3"/>
      <c r="F1" s="3"/>
      <c r="G1" s="3"/>
      <c r="H1" s="4"/>
      <c r="I1" s="3"/>
      <c r="J1" s="3"/>
      <c r="K1" s="3"/>
      <c r="L1" s="3"/>
      <c r="M1" s="3"/>
      <c r="N1" s="3"/>
    </row>
    <row r="2" spans="1:15" customFormat="1" ht="16.2" customHeight="1" x14ac:dyDescent="0.3"/>
    <row r="3" spans="1:15" ht="16.2" customHeight="1" x14ac:dyDescent="0.3">
      <c r="A3" s="5"/>
      <c r="F3" s="52" t="s">
        <v>2</v>
      </c>
      <c r="G3" s="52"/>
      <c r="H3" s="51"/>
      <c r="I3" s="52" t="s">
        <v>3</v>
      </c>
      <c r="J3" s="52"/>
      <c r="K3" s="52"/>
      <c r="L3" s="52"/>
      <c r="M3" s="52"/>
      <c r="N3" s="52"/>
    </row>
    <row r="4" spans="1:15" ht="16.2" customHeight="1" x14ac:dyDescent="0.3">
      <c r="A4" s="5"/>
      <c r="B4" s="28"/>
      <c r="C4" s="28"/>
      <c r="D4" s="28"/>
      <c r="E4" s="29"/>
      <c r="F4" s="53">
        <f>+EOMONTH(G4,-12)</f>
        <v>44926</v>
      </c>
      <c r="G4" s="53">
        <f>+EOMONTH(H4,-12)</f>
        <v>45291</v>
      </c>
      <c r="H4" s="55">
        <f>+DATE(2024,12,31)</f>
        <v>45657</v>
      </c>
      <c r="I4" s="54">
        <f>+EOMONTH(H4,12)</f>
        <v>46022</v>
      </c>
      <c r="J4" s="54">
        <f t="shared" ref="J4:N4" si="0">+EOMONTH(I4,12)</f>
        <v>46387</v>
      </c>
      <c r="K4" s="54">
        <f t="shared" si="0"/>
        <v>46752</v>
      </c>
      <c r="L4" s="54">
        <f t="shared" si="0"/>
        <v>47118</v>
      </c>
      <c r="M4" s="54">
        <f t="shared" si="0"/>
        <v>47483</v>
      </c>
      <c r="N4" s="54">
        <f t="shared" si="0"/>
        <v>47848</v>
      </c>
    </row>
    <row r="5" spans="1:15" customFormat="1" ht="16.2" hidden="1" customHeight="1" x14ac:dyDescent="0.3">
      <c r="B5" s="2" t="s">
        <v>122</v>
      </c>
      <c r="C5" s="2"/>
      <c r="D5" s="2"/>
      <c r="E5" s="10"/>
      <c r="F5" s="68"/>
      <c r="G5" s="68"/>
      <c r="H5" s="68"/>
      <c r="I5" s="17">
        <v>1</v>
      </c>
      <c r="J5" s="17">
        <f>+I5+1</f>
        <v>2</v>
      </c>
      <c r="K5" s="17">
        <f t="shared" ref="K5:N5" si="1">+J5+1</f>
        <v>3</v>
      </c>
      <c r="L5" s="17">
        <f t="shared" si="1"/>
        <v>4</v>
      </c>
      <c r="M5" s="17">
        <f t="shared" si="1"/>
        <v>5</v>
      </c>
      <c r="N5" s="17">
        <f t="shared" si="1"/>
        <v>6</v>
      </c>
      <c r="O5" s="17"/>
    </row>
    <row r="6" spans="1:15" ht="16.2" customHeight="1" x14ac:dyDescent="0.3">
      <c r="A6" s="5" t="s">
        <v>4</v>
      </c>
      <c r="B6" s="30" t="s">
        <v>123</v>
      </c>
      <c r="C6" s="31"/>
      <c r="D6" s="31"/>
      <c r="E6" s="31"/>
      <c r="F6" s="31"/>
      <c r="G6" s="32"/>
      <c r="H6" s="31"/>
      <c r="I6" s="31"/>
      <c r="J6" s="31"/>
      <c r="K6" s="31"/>
      <c r="L6" s="31"/>
      <c r="M6" s="31"/>
      <c r="N6" s="31"/>
    </row>
    <row r="7" spans="1:15" customFormat="1" ht="16.2" customHeight="1" x14ac:dyDescent="0.3">
      <c r="B7" s="2" t="s">
        <v>124</v>
      </c>
      <c r="C7" s="2"/>
      <c r="D7" s="2"/>
      <c r="E7" s="2"/>
      <c r="F7" s="2"/>
      <c r="G7" s="2"/>
      <c r="H7" s="40"/>
      <c r="I7" s="26"/>
      <c r="J7" s="13"/>
      <c r="K7" s="13"/>
      <c r="L7" s="13"/>
      <c r="M7" s="13"/>
      <c r="N7" s="13"/>
    </row>
    <row r="8" spans="1:15" customFormat="1" ht="16.2" customHeight="1" x14ac:dyDescent="0.3">
      <c r="B8" s="2" t="s">
        <v>125</v>
      </c>
      <c r="C8" s="2"/>
      <c r="D8" s="2"/>
      <c r="E8" s="2"/>
      <c r="F8" s="2"/>
      <c r="G8" s="2"/>
      <c r="H8" s="40"/>
      <c r="I8" s="26"/>
      <c r="J8" s="26"/>
      <c r="K8" s="26"/>
      <c r="L8" s="26"/>
      <c r="M8" s="26"/>
      <c r="N8" s="26"/>
    </row>
    <row r="9" spans="1:15" customFormat="1" ht="16.2" customHeight="1" x14ac:dyDescent="0.3">
      <c r="B9" s="11" t="s">
        <v>126</v>
      </c>
      <c r="C9" s="11"/>
      <c r="D9" s="11"/>
      <c r="E9" s="11"/>
      <c r="F9" s="11"/>
      <c r="G9" s="11"/>
      <c r="H9" s="11"/>
      <c r="I9" s="12"/>
      <c r="J9" s="12"/>
      <c r="K9" s="12"/>
      <c r="L9" s="12"/>
      <c r="M9" s="12"/>
      <c r="N9" s="12"/>
    </row>
    <row r="10" spans="1:15" customFormat="1" ht="16.2" customHeight="1" x14ac:dyDescent="0.3">
      <c r="B10" s="7"/>
      <c r="C10" s="7"/>
      <c r="D10" s="7"/>
      <c r="E10" s="7"/>
      <c r="F10" s="7"/>
      <c r="G10" s="7"/>
      <c r="H10" s="7"/>
      <c r="I10" s="9"/>
      <c r="J10" s="9"/>
      <c r="K10" s="9"/>
      <c r="L10" s="9"/>
      <c r="M10" s="9"/>
      <c r="N10" s="9"/>
    </row>
    <row r="11" spans="1:15" customFormat="1" ht="16.2" customHeight="1" x14ac:dyDescent="0.3">
      <c r="B11" s="2" t="s">
        <v>127</v>
      </c>
      <c r="C11" s="2"/>
      <c r="D11" s="2"/>
      <c r="F11" s="69"/>
      <c r="G11" s="61"/>
      <c r="H11" s="61"/>
      <c r="I11" s="62"/>
      <c r="J11" s="62"/>
      <c r="K11" s="62"/>
      <c r="L11" s="62"/>
      <c r="M11" s="62"/>
      <c r="N11" s="62"/>
    </row>
    <row r="12" spans="1:15" customFormat="1" ht="16.2" customHeight="1" x14ac:dyDescent="0.3">
      <c r="B12" s="2" t="s">
        <v>128</v>
      </c>
      <c r="C12" s="2"/>
      <c r="D12" s="2"/>
      <c r="F12" s="69"/>
      <c r="G12" s="63"/>
      <c r="H12" s="63"/>
      <c r="I12" s="2"/>
      <c r="J12" s="2"/>
      <c r="K12" s="2"/>
      <c r="L12" s="2"/>
      <c r="M12" s="2"/>
      <c r="N12" s="2"/>
    </row>
    <row r="13" spans="1:15" customFormat="1" ht="16.2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5" customFormat="1" ht="16.2" customHeight="1" x14ac:dyDescent="0.3">
      <c r="B14" s="7" t="s">
        <v>152</v>
      </c>
      <c r="C14" s="2"/>
      <c r="D14" s="8" t="s">
        <v>155</v>
      </c>
      <c r="E14" s="2"/>
      <c r="F14" s="2"/>
      <c r="G14" s="2"/>
      <c r="H14" s="2"/>
      <c r="I14" s="9"/>
      <c r="J14" s="9"/>
      <c r="K14" s="9"/>
      <c r="L14" s="9"/>
      <c r="M14" s="9"/>
      <c r="N14" s="9"/>
    </row>
    <row r="15" spans="1:15" customFormat="1" ht="16.2" customHeight="1" x14ac:dyDescent="0.3">
      <c r="B15" s="70">
        <f>I4</f>
        <v>46022</v>
      </c>
      <c r="C15" s="2"/>
      <c r="D15" s="86"/>
      <c r="F15" s="2"/>
      <c r="G15" s="2"/>
      <c r="H15" s="2"/>
      <c r="I15" s="14"/>
      <c r="J15" s="14"/>
      <c r="K15" s="14"/>
      <c r="L15" s="14"/>
      <c r="M15" s="14"/>
      <c r="N15" s="14"/>
    </row>
    <row r="16" spans="1:15" customFormat="1" ht="16.2" customHeight="1" x14ac:dyDescent="0.3">
      <c r="B16" s="70">
        <f>J4</f>
        <v>46387</v>
      </c>
      <c r="C16" s="2"/>
      <c r="D16" s="86"/>
      <c r="F16" s="2"/>
      <c r="G16" s="2"/>
      <c r="H16" s="2"/>
      <c r="I16" s="58"/>
      <c r="J16" s="14"/>
      <c r="K16" s="14"/>
      <c r="L16" s="14"/>
      <c r="M16" s="14"/>
      <c r="N16" s="14"/>
    </row>
    <row r="17" spans="1:14" customFormat="1" ht="16.2" customHeight="1" x14ac:dyDescent="0.3">
      <c r="B17" s="70">
        <f>K4</f>
        <v>46752</v>
      </c>
      <c r="C17" s="2"/>
      <c r="D17" s="86"/>
      <c r="F17" s="2"/>
      <c r="G17" s="2"/>
      <c r="H17" s="2"/>
      <c r="I17" s="58"/>
      <c r="J17" s="58"/>
      <c r="K17" s="14"/>
      <c r="L17" s="14"/>
      <c r="M17" s="14"/>
      <c r="N17" s="14"/>
    </row>
    <row r="18" spans="1:14" customFormat="1" ht="16.2" customHeight="1" x14ac:dyDescent="0.3">
      <c r="B18" s="70">
        <f>L4</f>
        <v>47118</v>
      </c>
      <c r="C18" s="2"/>
      <c r="D18" s="86"/>
      <c r="F18" s="2"/>
      <c r="G18" s="2"/>
      <c r="H18" s="2"/>
      <c r="I18" s="58"/>
      <c r="J18" s="58"/>
      <c r="K18" s="58"/>
      <c r="L18" s="14"/>
      <c r="M18" s="14"/>
      <c r="N18" s="14"/>
    </row>
    <row r="19" spans="1:14" customFormat="1" ht="16.2" customHeight="1" x14ac:dyDescent="0.3">
      <c r="B19" s="70">
        <f>M4</f>
        <v>47483</v>
      </c>
      <c r="C19" s="2"/>
      <c r="D19" s="86"/>
      <c r="F19" s="2"/>
      <c r="G19" s="2"/>
      <c r="H19" s="2"/>
      <c r="I19" s="58"/>
      <c r="J19" s="58"/>
      <c r="K19" s="58"/>
      <c r="L19" s="58"/>
      <c r="M19" s="14"/>
      <c r="N19" s="14"/>
    </row>
    <row r="20" spans="1:14" customFormat="1" ht="16.2" customHeight="1" x14ac:dyDescent="0.3">
      <c r="B20" s="70">
        <f>N4</f>
        <v>47848</v>
      </c>
      <c r="C20" s="2"/>
      <c r="D20" s="86"/>
      <c r="F20" s="2"/>
      <c r="G20" s="2"/>
      <c r="H20" s="2"/>
      <c r="I20" s="58"/>
      <c r="J20" s="58"/>
      <c r="K20" s="58"/>
      <c r="L20" s="58"/>
      <c r="M20" s="58"/>
      <c r="N20" s="14"/>
    </row>
    <row r="21" spans="1:14" customFormat="1" ht="16.2" customHeight="1" x14ac:dyDescent="0.3">
      <c r="B21" s="64"/>
      <c r="C21" s="2"/>
      <c r="D21" s="2"/>
      <c r="E21" s="17"/>
      <c r="F21" s="2"/>
      <c r="G21" s="2"/>
      <c r="H21" s="2"/>
      <c r="I21" s="14"/>
      <c r="J21" s="14"/>
      <c r="K21" s="14"/>
      <c r="L21" s="14"/>
      <c r="M21" s="14"/>
      <c r="N21" s="14"/>
    </row>
    <row r="22" spans="1:14" customFormat="1" ht="16.2" customHeight="1" x14ac:dyDescent="0.3">
      <c r="B22" s="7" t="s">
        <v>129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customFormat="1" ht="16.2" customHeight="1" x14ac:dyDescent="0.3">
      <c r="B23" s="2" t="s">
        <v>124</v>
      </c>
      <c r="C23" s="2"/>
      <c r="D23" s="2"/>
      <c r="E23" s="2"/>
      <c r="F23" s="2"/>
      <c r="G23" s="2"/>
      <c r="H23" s="2"/>
      <c r="I23" s="87"/>
      <c r="J23" s="13"/>
      <c r="K23" s="13"/>
      <c r="L23" s="13"/>
      <c r="M23" s="13"/>
      <c r="N23" s="13"/>
    </row>
    <row r="24" spans="1:14" customFormat="1" ht="16.2" customHeight="1" x14ac:dyDescent="0.3">
      <c r="B24" s="2" t="s">
        <v>153</v>
      </c>
      <c r="C24" s="2"/>
      <c r="D24" s="2"/>
      <c r="E24" s="2"/>
      <c r="F24" s="2"/>
      <c r="G24" s="2"/>
      <c r="H24" s="2"/>
      <c r="I24" s="13"/>
      <c r="J24" s="13"/>
      <c r="K24" s="13"/>
      <c r="L24" s="13"/>
      <c r="M24" s="13"/>
      <c r="N24" s="13"/>
    </row>
    <row r="25" spans="1:14" customFormat="1" ht="16.2" customHeight="1" x14ac:dyDescent="0.3">
      <c r="B25" s="50" t="s">
        <v>130</v>
      </c>
      <c r="C25" s="2"/>
      <c r="D25" s="2"/>
      <c r="E25" s="2"/>
      <c r="F25" s="2"/>
      <c r="G25" s="2"/>
      <c r="H25" s="2"/>
      <c r="I25" s="17"/>
      <c r="J25" s="17"/>
      <c r="K25" s="17"/>
      <c r="L25" s="17"/>
      <c r="M25" s="17"/>
      <c r="N25" s="17"/>
    </row>
    <row r="26" spans="1:14" customFormat="1" ht="16.2" customHeight="1" x14ac:dyDescent="0.3">
      <c r="B26" s="50" t="s">
        <v>131</v>
      </c>
      <c r="C26" s="2"/>
      <c r="D26" s="2"/>
      <c r="E26" s="2"/>
      <c r="F26" s="2"/>
      <c r="G26" s="2"/>
      <c r="H26" s="2"/>
      <c r="I26" s="13"/>
      <c r="J26" s="13"/>
      <c r="K26" s="13"/>
      <c r="L26" s="13"/>
      <c r="M26" s="13"/>
      <c r="N26" s="13"/>
    </row>
    <row r="27" spans="1:14" customFormat="1" ht="16.2" customHeight="1" x14ac:dyDescent="0.3">
      <c r="B27" s="11" t="s">
        <v>126</v>
      </c>
      <c r="C27" s="11"/>
      <c r="D27" s="11"/>
      <c r="E27" s="11"/>
      <c r="F27" s="11"/>
      <c r="G27" s="11"/>
      <c r="H27" s="11"/>
      <c r="I27" s="12"/>
      <c r="J27" s="12"/>
      <c r="K27" s="12"/>
      <c r="L27" s="12"/>
      <c r="M27" s="12"/>
      <c r="N27" s="12"/>
    </row>
    <row r="28" spans="1:14" customFormat="1" ht="16.2" customHeight="1" x14ac:dyDescent="0.3">
      <c r="B28" s="7"/>
      <c r="C28" s="7"/>
      <c r="D28" s="7"/>
      <c r="E28" s="7"/>
      <c r="F28" s="7"/>
      <c r="G28" s="7"/>
      <c r="H28" s="7"/>
      <c r="I28" s="9"/>
      <c r="J28" s="9"/>
      <c r="K28" s="9"/>
      <c r="L28" s="9"/>
      <c r="M28" s="9"/>
      <c r="N28" s="9"/>
    </row>
    <row r="29" spans="1:14" customFormat="1" ht="16.2" customHeight="1" thickBot="1" x14ac:dyDescent="0.35">
      <c r="B29" s="21" t="s">
        <v>154</v>
      </c>
      <c r="C29" s="21"/>
      <c r="D29" s="21"/>
      <c r="E29" s="21"/>
      <c r="F29" s="21"/>
      <c r="G29" s="21"/>
      <c r="H29" s="21"/>
      <c r="I29" s="65"/>
      <c r="J29" s="65"/>
      <c r="K29" s="65"/>
      <c r="L29" s="65"/>
      <c r="M29" s="65"/>
      <c r="N29" s="65"/>
    </row>
    <row r="30" spans="1:14" customFormat="1" ht="16.2" customHeight="1" thickTop="1" x14ac:dyDescent="0.3"/>
    <row r="31" spans="1:14" ht="16.2" customHeight="1" x14ac:dyDescent="0.3">
      <c r="A31" s="5" t="s">
        <v>4</v>
      </c>
      <c r="B31" s="30" t="s">
        <v>132</v>
      </c>
      <c r="C31" s="31"/>
      <c r="D31" s="31"/>
      <c r="E31" s="31"/>
      <c r="F31" s="31"/>
      <c r="G31" s="32"/>
      <c r="H31" s="31"/>
      <c r="I31" s="31"/>
      <c r="J31" s="31"/>
      <c r="K31" s="31"/>
      <c r="L31" s="31"/>
      <c r="M31" s="31"/>
      <c r="N31" s="31"/>
    </row>
    <row r="33" spans="2:16" ht="16.2" customHeight="1" x14ac:dyDescent="0.3">
      <c r="D33" s="8" t="s">
        <v>133</v>
      </c>
      <c r="E33" s="8" t="s">
        <v>134</v>
      </c>
    </row>
    <row r="34" spans="2:16" ht="16.2" customHeight="1" x14ac:dyDescent="0.3">
      <c r="B34" s="2" t="s">
        <v>135</v>
      </c>
      <c r="D34" s="84"/>
      <c r="E34" s="84"/>
    </row>
    <row r="35" spans="2:16" ht="16.2" customHeight="1" x14ac:dyDescent="0.3">
      <c r="B35" s="2" t="s">
        <v>136</v>
      </c>
      <c r="D35" s="69"/>
      <c r="E35" s="69"/>
    </row>
    <row r="36" spans="2:16" ht="16.2" customHeight="1" x14ac:dyDescent="0.3">
      <c r="I36" s="13"/>
      <c r="J36" s="13"/>
      <c r="K36" s="13"/>
      <c r="L36" s="13"/>
      <c r="M36" s="13"/>
      <c r="N36" s="13"/>
    </row>
    <row r="37" spans="2:16" ht="16.2" customHeight="1" x14ac:dyDescent="0.3">
      <c r="B37" s="2" t="s">
        <v>137</v>
      </c>
      <c r="F37" s="20"/>
      <c r="G37" s="20"/>
      <c r="H37" s="81"/>
      <c r="I37" s="88"/>
      <c r="J37" s="39"/>
      <c r="K37" s="39"/>
      <c r="L37" s="39"/>
      <c r="M37" s="39"/>
      <c r="N37" s="39"/>
      <c r="O37" s="13"/>
      <c r="P37" s="13"/>
    </row>
    <row r="38" spans="2:16" ht="16.2" customHeight="1" x14ac:dyDescent="0.3">
      <c r="B38" s="2" t="s">
        <v>138</v>
      </c>
      <c r="F38" s="20"/>
      <c r="G38" s="20"/>
      <c r="H38" s="81"/>
      <c r="I38" s="88"/>
      <c r="J38" s="39"/>
      <c r="K38" s="39"/>
      <c r="L38" s="39"/>
      <c r="M38" s="39"/>
      <c r="N38" s="39"/>
      <c r="O38" s="13"/>
      <c r="P38" s="13"/>
    </row>
    <row r="39" spans="2:16" ht="16.2" customHeight="1" x14ac:dyDescent="0.3">
      <c r="F39" s="19"/>
      <c r="G39" s="19"/>
      <c r="H39" s="19"/>
      <c r="I39" s="17"/>
      <c r="J39" s="13"/>
      <c r="K39" s="13"/>
      <c r="L39" s="13"/>
      <c r="M39" s="13"/>
      <c r="N39" s="13"/>
    </row>
    <row r="40" spans="2:16" ht="16.2" customHeight="1" x14ac:dyDescent="0.3">
      <c r="B40" s="2" t="s">
        <v>139</v>
      </c>
      <c r="F40" s="20"/>
      <c r="G40" s="20"/>
      <c r="H40" s="20"/>
      <c r="I40" s="88"/>
      <c r="J40" s="88"/>
      <c r="K40" s="88"/>
      <c r="L40" s="88"/>
      <c r="M40" s="88"/>
      <c r="N40" s="88"/>
      <c r="O40" s="13"/>
      <c r="P40" s="13"/>
    </row>
    <row r="41" spans="2:16" ht="16.2" customHeight="1" x14ac:dyDescent="0.3">
      <c r="B41" s="2" t="s">
        <v>140</v>
      </c>
      <c r="G41" s="17"/>
      <c r="H41" s="17"/>
      <c r="I41" s="88"/>
      <c r="J41" s="88"/>
      <c r="K41" s="88"/>
      <c r="L41" s="88"/>
      <c r="M41" s="88"/>
      <c r="N41" s="88"/>
      <c r="O41" s="13"/>
      <c r="P41" s="13"/>
    </row>
    <row r="42" spans="2:16" ht="16.2" customHeight="1" x14ac:dyDescent="0.3">
      <c r="B42" s="2" t="s">
        <v>141</v>
      </c>
      <c r="G42" s="13"/>
      <c r="H42" s="13"/>
      <c r="I42" s="39"/>
      <c r="J42" s="39"/>
      <c r="K42" s="39"/>
      <c r="L42" s="39"/>
      <c r="M42" s="39"/>
      <c r="N42" s="39"/>
      <c r="O42" s="13"/>
      <c r="P42" s="13"/>
    </row>
    <row r="43" spans="2:16" ht="16.2" customHeight="1" x14ac:dyDescent="0.3">
      <c r="F43" s="40"/>
      <c r="G43" s="40"/>
      <c r="H43" s="40"/>
      <c r="I43" s="13"/>
      <c r="J43" s="13"/>
      <c r="K43" s="13"/>
      <c r="L43" s="13"/>
      <c r="M43" s="13"/>
      <c r="N43" s="13"/>
    </row>
    <row r="44" spans="2:16" ht="16.2" customHeight="1" x14ac:dyDescent="0.3">
      <c r="B44" s="7" t="s">
        <v>142</v>
      </c>
      <c r="F44" s="82"/>
      <c r="G44" s="82"/>
      <c r="H44" s="82"/>
      <c r="I44" s="13"/>
      <c r="J44" s="13"/>
      <c r="K44" s="13"/>
      <c r="L44" s="13"/>
      <c r="M44" s="13"/>
      <c r="N44" s="13"/>
    </row>
    <row r="45" spans="2:16" ht="16.2" customHeight="1" x14ac:dyDescent="0.3">
      <c r="B45" s="2" t="s">
        <v>143</v>
      </c>
      <c r="F45" s="20"/>
      <c r="G45" s="20"/>
      <c r="H45" s="20"/>
      <c r="I45" s="81"/>
      <c r="J45" s="81"/>
      <c r="K45" s="81"/>
      <c r="L45" s="81"/>
      <c r="M45" s="81"/>
      <c r="N45" s="81"/>
    </row>
    <row r="46" spans="2:16" ht="16.2" customHeight="1" x14ac:dyDescent="0.3">
      <c r="B46" s="7" t="s">
        <v>156</v>
      </c>
      <c r="D46" s="8" t="s">
        <v>157</v>
      </c>
      <c r="F46" s="40"/>
      <c r="G46" s="40"/>
      <c r="H46" s="40"/>
      <c r="I46" s="89"/>
    </row>
    <row r="47" spans="2:16" ht="16.2" customHeight="1" x14ac:dyDescent="0.3">
      <c r="B47" s="70">
        <f t="shared" ref="B47:B52" si="2">B15</f>
        <v>46022</v>
      </c>
      <c r="D47" s="90"/>
      <c r="G47" s="17"/>
      <c r="H47" s="17"/>
      <c r="I47" s="39"/>
      <c r="J47" s="39"/>
      <c r="K47" s="39"/>
      <c r="L47" s="39"/>
      <c r="M47" s="39"/>
      <c r="N47" s="39"/>
    </row>
    <row r="48" spans="2:16" ht="16.2" customHeight="1" x14ac:dyDescent="0.3">
      <c r="B48" s="70">
        <f t="shared" si="2"/>
        <v>46387</v>
      </c>
      <c r="D48" s="90"/>
      <c r="G48" s="13"/>
      <c r="H48" s="13"/>
      <c r="I48" s="39"/>
      <c r="J48" s="39"/>
      <c r="K48" s="39"/>
      <c r="L48" s="39"/>
      <c r="M48" s="39"/>
      <c r="N48" s="39"/>
    </row>
    <row r="49" spans="2:14" ht="16.2" customHeight="1" x14ac:dyDescent="0.3">
      <c r="B49" s="70">
        <f t="shared" si="2"/>
        <v>46752</v>
      </c>
      <c r="D49" s="90"/>
      <c r="I49" s="39"/>
      <c r="J49" s="39"/>
      <c r="K49" s="39"/>
      <c r="L49" s="39"/>
      <c r="M49" s="39"/>
      <c r="N49" s="39"/>
    </row>
    <row r="50" spans="2:14" ht="16.2" customHeight="1" x14ac:dyDescent="0.3">
      <c r="B50" s="70">
        <f t="shared" si="2"/>
        <v>47118</v>
      </c>
      <c r="D50" s="90"/>
      <c r="I50" s="39"/>
      <c r="J50" s="39"/>
      <c r="K50" s="39"/>
      <c r="L50" s="39"/>
      <c r="M50" s="39"/>
      <c r="N50" s="39"/>
    </row>
    <row r="51" spans="2:14" ht="16.2" customHeight="1" x14ac:dyDescent="0.3">
      <c r="B51" s="70">
        <f t="shared" si="2"/>
        <v>47483</v>
      </c>
      <c r="D51" s="90"/>
      <c r="I51" s="39"/>
      <c r="J51" s="39"/>
      <c r="K51" s="39"/>
      <c r="L51" s="39"/>
      <c r="M51" s="39"/>
      <c r="N51" s="39"/>
    </row>
    <row r="52" spans="2:14" ht="16.2" customHeight="1" x14ac:dyDescent="0.3">
      <c r="B52" s="70">
        <f t="shared" si="2"/>
        <v>47848</v>
      </c>
      <c r="D52" s="91"/>
      <c r="I52" s="39"/>
      <c r="J52" s="39"/>
      <c r="K52" s="39"/>
      <c r="L52" s="39"/>
      <c r="M52" s="39"/>
      <c r="N52" s="39"/>
    </row>
    <row r="53" spans="2:14" s="7" customFormat="1" ht="16.2" customHeight="1" x14ac:dyDescent="0.3">
      <c r="B53" s="11" t="s">
        <v>144</v>
      </c>
      <c r="C53" s="11"/>
      <c r="D53" s="11"/>
      <c r="E53" s="11"/>
      <c r="F53" s="11"/>
      <c r="G53" s="11"/>
      <c r="H53" s="11"/>
      <c r="I53" s="83"/>
      <c r="J53" s="83"/>
      <c r="K53" s="83"/>
      <c r="L53" s="83"/>
      <c r="M53" s="83"/>
      <c r="N53" s="83"/>
    </row>
    <row r="54" spans="2:14" ht="16.2" customHeight="1" x14ac:dyDescent="0.3">
      <c r="I54" s="13"/>
      <c r="J54" s="13"/>
      <c r="K54" s="13"/>
      <c r="L54" s="13"/>
      <c r="M54" s="13"/>
      <c r="N54" s="13"/>
    </row>
    <row r="55" spans="2:14" ht="16.2" customHeight="1" x14ac:dyDescent="0.3">
      <c r="B55" s="2" t="s">
        <v>145</v>
      </c>
      <c r="F55" s="40"/>
      <c r="G55" s="40"/>
      <c r="H55" s="40"/>
      <c r="I55" s="89"/>
      <c r="J55" s="89"/>
      <c r="K55" s="89"/>
    </row>
    <row r="56" spans="2:14" ht="16.2" customHeight="1" x14ac:dyDescent="0.3">
      <c r="B56" s="70">
        <f t="shared" ref="B56:B61" si="3">B47</f>
        <v>46022</v>
      </c>
      <c r="D56" s="13"/>
      <c r="G56" s="17"/>
      <c r="H56" s="17"/>
      <c r="I56" s="39"/>
      <c r="J56" s="39"/>
      <c r="K56" s="39"/>
      <c r="L56" s="39"/>
      <c r="M56" s="39"/>
      <c r="N56" s="39"/>
    </row>
    <row r="57" spans="2:14" ht="16.2" customHeight="1" x14ac:dyDescent="0.3">
      <c r="B57" s="70">
        <f t="shared" si="3"/>
        <v>46387</v>
      </c>
      <c r="D57" s="13"/>
      <c r="G57" s="13"/>
      <c r="H57" s="13"/>
      <c r="I57" s="39"/>
      <c r="J57" s="39"/>
      <c r="K57" s="39"/>
      <c r="L57" s="39"/>
      <c r="M57" s="39"/>
      <c r="N57" s="39"/>
    </row>
    <row r="58" spans="2:14" ht="16.2" customHeight="1" x14ac:dyDescent="0.3">
      <c r="B58" s="70">
        <f t="shared" si="3"/>
        <v>46752</v>
      </c>
      <c r="D58" s="13"/>
      <c r="I58" s="39"/>
      <c r="J58" s="39"/>
      <c r="K58" s="39"/>
      <c r="L58" s="39"/>
      <c r="M58" s="39"/>
      <c r="N58" s="39"/>
    </row>
    <row r="59" spans="2:14" ht="16.2" customHeight="1" x14ac:dyDescent="0.3">
      <c r="B59" s="70">
        <f t="shared" si="3"/>
        <v>47118</v>
      </c>
      <c r="D59" s="13"/>
      <c r="I59" s="39"/>
      <c r="J59" s="39"/>
      <c r="K59" s="39"/>
      <c r="L59" s="39"/>
      <c r="M59" s="39"/>
      <c r="N59" s="39"/>
    </row>
    <row r="60" spans="2:14" ht="16.2" customHeight="1" x14ac:dyDescent="0.3">
      <c r="B60" s="70">
        <f t="shared" si="3"/>
        <v>47483</v>
      </c>
      <c r="D60" s="13"/>
      <c r="I60" s="39"/>
      <c r="J60" s="39"/>
      <c r="K60" s="39"/>
      <c r="L60" s="39"/>
      <c r="M60" s="39"/>
      <c r="N60" s="39"/>
    </row>
    <row r="61" spans="2:14" ht="16.2" customHeight="1" x14ac:dyDescent="0.3">
      <c r="B61" s="70">
        <f t="shared" si="3"/>
        <v>47848</v>
      </c>
      <c r="D61" s="13"/>
      <c r="I61" s="39"/>
      <c r="J61" s="39"/>
      <c r="K61" s="39"/>
      <c r="L61" s="39"/>
      <c r="M61" s="39"/>
      <c r="N61" s="39"/>
    </row>
    <row r="62" spans="2:14" s="7" customFormat="1" ht="16.2" customHeight="1" x14ac:dyDescent="0.3">
      <c r="B62" s="11" t="s">
        <v>146</v>
      </c>
      <c r="C62" s="11"/>
      <c r="D62" s="11"/>
      <c r="E62" s="11"/>
      <c r="F62" s="11"/>
      <c r="G62" s="11"/>
      <c r="H62" s="11"/>
      <c r="I62" s="83"/>
      <c r="J62" s="83"/>
      <c r="K62" s="83"/>
      <c r="L62" s="83"/>
      <c r="M62" s="83"/>
      <c r="N62" s="8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43C7-9632-4E15-93D2-B8582F254484}">
  <dimension ref="A2:B6"/>
  <sheetViews>
    <sheetView workbookViewId="0"/>
  </sheetViews>
  <sheetFormatPr defaultRowHeight="14.4" x14ac:dyDescent="0.3"/>
  <sheetData>
    <row r="2" spans="1:2" x14ac:dyDescent="0.3">
      <c r="A2" t="s">
        <v>1</v>
      </c>
      <c r="B2" s="1">
        <v>1</v>
      </c>
    </row>
    <row r="3" spans="1:2" x14ac:dyDescent="0.3">
      <c r="A3" t="s">
        <v>8</v>
      </c>
      <c r="B3" s="1">
        <v>2</v>
      </c>
    </row>
    <row r="4" spans="1:2" x14ac:dyDescent="0.3">
      <c r="A4" t="s">
        <v>9</v>
      </c>
      <c r="B4" s="1">
        <v>3</v>
      </c>
    </row>
    <row r="5" spans="1:2" x14ac:dyDescent="0.3">
      <c r="A5" t="s">
        <v>10</v>
      </c>
      <c r="B5" s="1">
        <v>4</v>
      </c>
    </row>
    <row r="6" spans="1:2" x14ac:dyDescent="0.3">
      <c r="A6" t="s">
        <v>147</v>
      </c>
      <c r="B6">
        <f>+VLOOKUP(Operating_Model!D3,$A$2:$B$5,2,FALSE)</f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4AF14EF786EB4E802C5062DBE61414" ma:contentTypeVersion="3" ma:contentTypeDescription="Create a new document." ma:contentTypeScope="" ma:versionID="0dda64a207fdb4b7736dfdf5870d1692">
  <xsd:schema xmlns:xsd="http://www.w3.org/2001/XMLSchema" xmlns:xs="http://www.w3.org/2001/XMLSchema" xmlns:p="http://schemas.microsoft.com/office/2006/metadata/properties" xmlns:ns2="41c67050-7972-4591-ac00-42caa329804c" targetNamespace="http://schemas.microsoft.com/office/2006/metadata/properties" ma:root="true" ma:fieldsID="bfb5b47c9361e9c88839163a693bef6e" ns2:_="">
    <xsd:import namespace="41c67050-7972-4591-ac00-42caa32980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67050-7972-4591-ac00-42caa32980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B4048E-0A00-442B-8F5E-4BC50E4005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E8222A-9DC1-4963-B7AC-6A26AC92AFAF}">
  <ds:schemaRefs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41c67050-7972-4591-ac00-42caa329804c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CE562DF-051A-4FFF-B7EC-76A0066774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c67050-7972-4591-ac00-42caa32980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Operating_Model</vt:lpstr>
      <vt:lpstr>Schedules</vt:lpstr>
      <vt:lpstr>Dropdowns</vt:lpstr>
      <vt:lpstr>Scenario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Meet Sanghavi</dc:creator>
  <cp:keywords/>
  <dc:description/>
  <cp:lastModifiedBy>Meet Sanghavi</cp:lastModifiedBy>
  <cp:revision/>
  <dcterms:created xsi:type="dcterms:W3CDTF">2025-11-14T08:33:05Z</dcterms:created>
  <dcterms:modified xsi:type="dcterms:W3CDTF">2026-07-18T03:00:51Z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0x0101006B4AF14EF786EB4E802C5062DBE61414</vt:lpwstr>
  </property>
  <property fmtid="{D5CDD505-2E9C-101B-9397-08002B2CF9AE}" pid="3" name="Order">
    <vt:r8>315300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